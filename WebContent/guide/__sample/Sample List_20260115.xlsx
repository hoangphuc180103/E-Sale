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1_Guide Samples\20260115\"/>
    </mc:Choice>
  </mc:AlternateContent>
  <xr:revisionPtr revIDLastSave="0" documentId="13_ncr:1_{C8BBB4F6-9793-479F-BF6E-DA03CA994FF3}" xr6:coauthVersionLast="47" xr6:coauthVersionMax="47" xr10:uidLastSave="{00000000-0000-0000-0000-000000000000}"/>
  <bookViews>
    <workbookView xWindow="-110" yWindow="-110" windowWidth="25820" windowHeight="15500" tabRatio="925" xr2:uid="{00000000-000D-0000-FFFF-FFFF00000000}"/>
  </bookViews>
  <sheets>
    <sheet name="Samples + YouTube" sheetId="83" r:id="rId1"/>
  </sheets>
  <definedNames>
    <definedName name="_xlnm._FilterDatabase" localSheetId="0" hidden="1">'Samples + YouTube'!$A$1:$AB$603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3" l="1"/>
  <c r="A4" i="83"/>
  <c r="A326" i="83"/>
  <c r="A6" i="83"/>
  <c r="A7" i="83"/>
  <c r="A8" i="83"/>
  <c r="A9" i="83"/>
  <c r="A10" i="83"/>
  <c r="A11" i="83"/>
  <c r="A12" i="83"/>
  <c r="A13" i="83"/>
  <c r="A14" i="83"/>
  <c r="A15" i="83"/>
  <c r="A16" i="83"/>
  <c r="A17" i="83"/>
  <c r="A18" i="83"/>
  <c r="A19" i="83"/>
  <c r="A20" i="83"/>
  <c r="A21" i="83"/>
  <c r="A22" i="83"/>
  <c r="A23" i="83"/>
  <c r="A24" i="83"/>
  <c r="A25" i="83"/>
  <c r="A26" i="83"/>
  <c r="A27" i="83"/>
  <c r="A28" i="83"/>
  <c r="A29" i="83"/>
  <c r="A30" i="83"/>
  <c r="A31" i="83"/>
  <c r="A32" i="83"/>
  <c r="A33" i="83"/>
  <c r="A34" i="83"/>
  <c r="A35" i="83"/>
  <c r="A36" i="83"/>
  <c r="A37" i="83"/>
  <c r="A38" i="83"/>
  <c r="A39" i="83"/>
  <c r="A143" i="83"/>
  <c r="A144" i="83"/>
  <c r="A42" i="83"/>
  <c r="A43" i="83"/>
  <c r="A44" i="83"/>
  <c r="A45" i="83"/>
  <c r="A46" i="83"/>
  <c r="A47" i="83"/>
  <c r="A48" i="83"/>
  <c r="A49" i="83"/>
  <c r="A50" i="83"/>
  <c r="A51" i="83"/>
  <c r="A52" i="83"/>
  <c r="A53" i="83"/>
  <c r="A54" i="83"/>
  <c r="A426" i="83"/>
  <c r="A442" i="83"/>
  <c r="A83" i="83"/>
  <c r="A523" i="83"/>
  <c r="A251" i="83"/>
  <c r="A407" i="83"/>
  <c r="A107" i="83"/>
  <c r="A486" i="83"/>
  <c r="A412" i="83"/>
  <c r="A451" i="83"/>
  <c r="A65" i="83"/>
  <c r="A98" i="83"/>
  <c r="A270" i="83"/>
  <c r="A448" i="83"/>
  <c r="A70" i="83"/>
  <c r="A58" i="83"/>
  <c r="A372" i="83"/>
  <c r="A196" i="83"/>
  <c r="A585" i="83"/>
  <c r="A74" i="83"/>
  <c r="A75" i="83"/>
  <c r="A76" i="83"/>
  <c r="A77" i="83"/>
  <c r="A88" i="83"/>
  <c r="A443" i="83"/>
  <c r="A573" i="83"/>
  <c r="A593" i="83"/>
  <c r="A140" i="83"/>
  <c r="A135" i="83"/>
  <c r="A131" i="83"/>
  <c r="A141" i="83"/>
  <c r="A139" i="83"/>
  <c r="A584" i="83"/>
  <c r="A299" i="83"/>
  <c r="A247" i="83"/>
  <c r="A277" i="83"/>
  <c r="A271" i="83"/>
  <c r="A214" i="83"/>
  <c r="A257" i="83"/>
  <c r="A254" i="83"/>
  <c r="A482" i="83"/>
  <c r="A601" i="83"/>
  <c r="A324" i="83"/>
  <c r="A322" i="83"/>
  <c r="A321" i="83"/>
  <c r="A325" i="83"/>
  <c r="A318" i="83"/>
  <c r="A319" i="83"/>
  <c r="A317" i="83"/>
  <c r="A316" i="83"/>
  <c r="A323" i="83"/>
  <c r="A201" i="83"/>
  <c r="A328" i="83"/>
  <c r="A366" i="83"/>
  <c r="A432" i="83"/>
  <c r="A60" i="83"/>
  <c r="A73" i="83"/>
  <c r="A556" i="83"/>
  <c r="A533" i="83"/>
  <c r="A595" i="83"/>
  <c r="A527" i="83"/>
  <c r="A582" i="83"/>
  <c r="A116" i="83"/>
  <c r="A198" i="83"/>
  <c r="A390" i="83"/>
  <c r="A602" i="83"/>
  <c r="A416" i="83"/>
  <c r="A256" i="83"/>
  <c r="A414" i="83"/>
  <c r="A425" i="83"/>
  <c r="A518" i="83"/>
  <c r="A405" i="83"/>
  <c r="A106" i="83"/>
  <c r="A105" i="83"/>
  <c r="A93" i="83"/>
  <c r="A397" i="83"/>
  <c r="A404" i="83"/>
  <c r="A329" i="83"/>
  <c r="A282" i="83"/>
  <c r="A283" i="83"/>
  <c r="A278" i="83"/>
  <c r="A279" i="83"/>
  <c r="A583" i="83"/>
  <c r="A590" i="83"/>
  <c r="A591" i="83"/>
  <c r="A586" i="83"/>
  <c r="A291" i="83"/>
  <c r="A112" i="83"/>
  <c r="A499" i="83"/>
  <c r="A525" i="83"/>
  <c r="A330" i="83"/>
  <c r="A409" i="83"/>
  <c r="A145" i="83"/>
  <c r="A589" i="83"/>
  <c r="A600" i="83"/>
  <c r="A531" i="83"/>
  <c r="A151" i="83"/>
  <c r="A152" i="83"/>
  <c r="A269" i="83"/>
  <c r="A194" i="83"/>
  <c r="A532" i="83"/>
  <c r="A156" i="83"/>
  <c r="A110" i="83"/>
  <c r="A158" i="83"/>
  <c r="A146" i="83"/>
  <c r="A109" i="83"/>
  <c r="A111" i="83"/>
  <c r="A125" i="83"/>
  <c r="A225" i="83"/>
  <c r="A226" i="83"/>
  <c r="A138" i="83"/>
  <c r="A458" i="83"/>
  <c r="A489" i="83"/>
  <c r="A124" i="83"/>
  <c r="A137" i="83"/>
  <c r="A457" i="83"/>
  <c r="A488" i="83"/>
  <c r="A123" i="83"/>
  <c r="A173" i="83"/>
  <c r="A136" i="83"/>
  <c r="A456" i="83"/>
  <c r="A487" i="83"/>
  <c r="A207" i="83"/>
  <c r="A208" i="83"/>
  <c r="A331" i="83"/>
  <c r="A332" i="83"/>
  <c r="A117" i="83"/>
  <c r="A203" i="83"/>
  <c r="A298" i="83"/>
  <c r="A517" i="83"/>
  <c r="A515" i="83"/>
  <c r="A418" i="83"/>
  <c r="A503" i="83"/>
  <c r="A435" i="83"/>
  <c r="A121" i="83"/>
  <c r="A115" i="83"/>
  <c r="A120" i="83"/>
  <c r="A199" i="83"/>
  <c r="A250" i="83"/>
  <c r="A534" i="83"/>
  <c r="A234" i="83"/>
  <c r="A210" i="83"/>
  <c r="A301" i="83"/>
  <c r="A104" i="83"/>
  <c r="A5" i="83"/>
  <c r="A433" i="83"/>
  <c r="A302" i="83"/>
  <c r="A67" i="83"/>
  <c r="A335" i="83"/>
  <c r="A419" i="83"/>
  <c r="A420" i="83"/>
  <c r="A243" i="83"/>
  <c r="A147" i="83"/>
  <c r="A597" i="83"/>
  <c r="A119" i="83"/>
  <c r="A484" i="83"/>
  <c r="A498" i="83"/>
  <c r="A290" i="83"/>
  <c r="A392" i="83"/>
  <c r="A148" i="83"/>
  <c r="A219" i="83"/>
  <c r="A218" i="83"/>
  <c r="A192" i="83"/>
  <c r="A541" i="83"/>
  <c r="A544" i="83"/>
  <c r="A221" i="83"/>
  <c r="A223" i="83"/>
  <c r="A222" i="83"/>
  <c r="A395" i="83"/>
  <c r="A535" i="83"/>
  <c r="A537" i="83"/>
  <c r="A539" i="83"/>
  <c r="A80" i="83"/>
  <c r="A478" i="83"/>
  <c r="A553" i="83"/>
  <c r="A86" i="83"/>
  <c r="A538" i="83"/>
  <c r="A424" i="83"/>
  <c r="A255" i="83"/>
  <c r="A264" i="83"/>
  <c r="A516" i="83"/>
  <c r="A114" i="83"/>
  <c r="A237" i="83"/>
  <c r="A238" i="83"/>
  <c r="A524" i="83"/>
  <c r="A281" i="83"/>
  <c r="A438" i="83"/>
  <c r="A242" i="83"/>
  <c r="A336" i="83"/>
  <c r="A540" i="83"/>
  <c r="A563" i="83"/>
  <c r="A337" i="83"/>
  <c r="A82" i="83"/>
  <c r="A479" i="83"/>
  <c r="A87" i="83"/>
  <c r="A90" i="83"/>
  <c r="A473" i="83"/>
  <c r="A153" i="83"/>
  <c r="A399" i="83"/>
  <c r="A400" i="83"/>
  <c r="A579" i="83"/>
  <c r="A422" i="83"/>
  <c r="A466" i="83"/>
  <c r="A467" i="83"/>
  <c r="A555" i="83"/>
  <c r="A246" i="83"/>
  <c r="A260" i="83"/>
  <c r="A502" i="83"/>
  <c r="A154" i="83"/>
  <c r="A483" i="83"/>
  <c r="A272" i="83"/>
  <c r="A377" i="83"/>
  <c r="A275" i="83"/>
  <c r="A155" i="83"/>
  <c r="A157" i="83"/>
  <c r="A576" i="83"/>
  <c r="A430" i="83"/>
  <c r="A101" i="83"/>
  <c r="A113" i="83"/>
  <c r="A465" i="83"/>
  <c r="A462" i="83"/>
  <c r="A202" i="83"/>
  <c r="A471" i="83"/>
  <c r="A369" i="83"/>
  <c r="A294" i="83"/>
  <c r="A248" i="83"/>
  <c r="A548" i="83"/>
  <c r="A261" i="83"/>
  <c r="A421" i="83"/>
  <c r="A284" i="83"/>
  <c r="A285" i="83"/>
  <c r="A286" i="83"/>
  <c r="A287" i="83"/>
  <c r="A288" i="83"/>
  <c r="A289" i="83"/>
  <c r="A232" i="83"/>
  <c r="A549" i="83"/>
  <c r="A550" i="83"/>
  <c r="A40" i="83"/>
  <c r="A293" i="83"/>
  <c r="A295" i="83"/>
  <c r="A296" i="83"/>
  <c r="A274" i="83"/>
  <c r="A91" i="83"/>
  <c r="A206" i="83"/>
  <c r="A376" i="83"/>
  <c r="A387" i="83"/>
  <c r="A338" i="83"/>
  <c r="A403" i="83"/>
  <c r="A197" i="83"/>
  <c r="A311" i="83"/>
  <c r="A450" i="83"/>
  <c r="A445" i="83"/>
  <c r="A444" i="83"/>
  <c r="A276" i="83"/>
  <c r="A391" i="83"/>
  <c r="A310" i="83"/>
  <c r="A304" i="83"/>
  <c r="A393" i="83"/>
  <c r="A446" i="83"/>
  <c r="A191" i="83"/>
  <c r="A598" i="83"/>
  <c r="A59" i="83"/>
  <c r="A64" i="83"/>
  <c r="A447" i="83"/>
  <c r="A195" i="83"/>
  <c r="A159" i="83"/>
  <c r="A402" i="83"/>
  <c r="A314" i="83"/>
  <c r="A312" i="83"/>
  <c r="A313" i="83"/>
  <c r="A280" i="83"/>
  <c r="A327" i="83"/>
  <c r="A552" i="83"/>
  <c r="A63" i="83"/>
  <c r="A66" i="83"/>
  <c r="A268" i="83"/>
  <c r="A258" i="83"/>
  <c r="A266" i="83"/>
  <c r="A134" i="83"/>
  <c r="A480" i="83"/>
  <c r="A370" i="83"/>
  <c r="A205" i="83"/>
  <c r="A320" i="83"/>
  <c r="A339" i="83"/>
  <c r="A413" i="83"/>
  <c r="A340" i="83"/>
  <c r="A342" i="83"/>
  <c r="A364" i="83"/>
  <c r="A341" i="83"/>
  <c r="A365" i="83"/>
  <c r="A212" i="83"/>
  <c r="A95" i="83"/>
  <c r="A97" i="83"/>
  <c r="A437" i="83"/>
  <c r="A71" i="83"/>
  <c r="A561" i="83"/>
  <c r="A476" i="83"/>
  <c r="A481" i="83"/>
  <c r="A128" i="83"/>
  <c r="A130" i="83"/>
  <c r="A345" i="83"/>
  <c r="A357" i="83"/>
  <c r="A545" i="83"/>
  <c r="A546" i="83"/>
  <c r="A160" i="83"/>
  <c r="A161" i="83"/>
  <c r="A162" i="83"/>
  <c r="A163" i="83"/>
  <c r="A220" i="83"/>
  <c r="A55" i="83"/>
  <c r="A581" i="83"/>
  <c r="A265" i="83"/>
  <c r="A259" i="83"/>
  <c r="A521" i="83"/>
  <c r="A522" i="83"/>
  <c r="A252" i="83"/>
  <c r="A68" i="83"/>
  <c r="A580" i="83"/>
  <c r="A559" i="83"/>
  <c r="A558" i="83"/>
  <c r="A410" i="83"/>
  <c r="A455" i="83"/>
  <c r="A240" i="83"/>
  <c r="A236" i="83"/>
  <c r="A565" i="83"/>
  <c r="A346" i="83"/>
  <c r="A428" i="83"/>
  <c r="A383" i="83"/>
  <c r="A384" i="83"/>
  <c r="A470" i="83"/>
  <c r="A347" i="83"/>
  <c r="A594" i="83"/>
  <c r="A164" i="83"/>
  <c r="A230" i="83"/>
  <c r="A388" i="83"/>
  <c r="A165" i="83"/>
  <c r="A244" i="83"/>
  <c r="A231" i="83"/>
  <c r="A394" i="83"/>
  <c r="A166" i="83"/>
  <c r="A239" i="83"/>
  <c r="A241" i="83"/>
  <c r="A303" i="83"/>
  <c r="A367" i="83"/>
  <c r="A348" i="83"/>
  <c r="A354" i="83"/>
  <c r="A530" i="83"/>
  <c r="A574" i="83"/>
  <c r="A596" i="83"/>
  <c r="A84" i="83"/>
  <c r="A85" i="83"/>
  <c r="A209" i="83"/>
  <c r="A211" i="83"/>
  <c r="A41" i="83"/>
  <c r="A382" i="83"/>
  <c r="A385" i="83"/>
  <c r="A378" i="83"/>
  <c r="A460" i="83"/>
  <c r="A568" i="83"/>
  <c r="A233" i="83"/>
  <c r="A554" i="83"/>
  <c r="A423" i="83"/>
  <c r="A227" i="83"/>
  <c r="A398" i="83"/>
  <c r="A396" i="83"/>
  <c r="A490" i="83"/>
  <c r="A78" i="83"/>
  <c r="A79" i="83"/>
  <c r="A99" i="83"/>
  <c r="A245" i="83"/>
  <c r="A126" i="83"/>
  <c r="A108" i="83"/>
  <c r="A187" i="83"/>
  <c r="A575" i="83"/>
  <c r="A474" i="83"/>
  <c r="A587" i="83"/>
  <c r="A417" i="83"/>
  <c r="A389" i="83"/>
  <c r="A434" i="83"/>
  <c r="A411" i="83"/>
  <c r="A167" i="83"/>
  <c r="A371" i="83"/>
  <c r="A368" i="83"/>
  <c r="A168" i="83"/>
  <c r="A564" i="83"/>
  <c r="A566" i="83"/>
  <c r="A406" i="83"/>
  <c r="A459" i="83"/>
  <c r="A427" i="83"/>
  <c r="A349" i="83"/>
  <c r="A408" i="83"/>
  <c r="A190" i="83"/>
  <c r="A381" i="83"/>
  <c r="A380" i="83"/>
  <c r="A379" i="83"/>
  <c r="A386" i="83"/>
  <c r="A415" i="83"/>
  <c r="A184" i="83"/>
  <c r="A235" i="83"/>
  <c r="A118" i="83"/>
  <c r="A469" i="83"/>
  <c r="A567" i="83"/>
  <c r="A350" i="83"/>
  <c r="A169" i="83"/>
  <c r="A217" i="83"/>
  <c r="A92" i="83"/>
  <c r="A122" i="83"/>
  <c r="A127" i="83"/>
  <c r="A129" i="83"/>
  <c r="A477" i="83"/>
  <c r="A96" i="83"/>
  <c r="A429" i="83"/>
  <c r="A401" i="83"/>
  <c r="A81" i="83"/>
  <c r="A170" i="83"/>
  <c r="A475" i="83"/>
  <c r="A297" i="83"/>
  <c r="A69" i="83"/>
  <c r="A529" i="83"/>
  <c r="A588" i="83"/>
  <c r="A560" i="83"/>
  <c r="A174" i="83"/>
  <c r="A453" i="83"/>
  <c r="A189" i="83"/>
  <c r="A185" i="83"/>
  <c r="A551" i="83"/>
  <c r="A215" i="83"/>
  <c r="A175" i="83"/>
  <c r="A186" i="83"/>
  <c r="A183" i="83"/>
  <c r="A249" i="83"/>
  <c r="A599" i="83"/>
  <c r="A373" i="83"/>
  <c r="A351" i="83"/>
  <c r="A200" i="83"/>
  <c r="A491" i="83"/>
  <c r="A492" i="83"/>
  <c r="A493" i="83"/>
  <c r="A494" i="83"/>
  <c r="A495" i="83"/>
  <c r="A496" i="83"/>
  <c r="A497" i="83"/>
  <c r="A133" i="83"/>
  <c r="A132" i="83"/>
  <c r="A263" i="83"/>
  <c r="A224" i="83"/>
  <c r="A547" i="83"/>
  <c r="A216" i="83"/>
  <c r="A504" i="83"/>
  <c r="A505" i="83"/>
  <c r="A506" i="83"/>
  <c r="A507" i="83"/>
  <c r="A508" i="83"/>
  <c r="A509" i="83"/>
  <c r="A510" i="83"/>
  <c r="A511" i="83"/>
  <c r="A512" i="83"/>
  <c r="A513" i="83"/>
  <c r="A514" i="83"/>
  <c r="A229" i="83"/>
  <c r="A142" i="83"/>
  <c r="A352" i="83"/>
  <c r="A439" i="83"/>
  <c r="A519" i="83"/>
  <c r="A572" i="83"/>
  <c r="A57" i="83"/>
  <c r="A500" i="83"/>
  <c r="A273" i="83"/>
  <c r="A431" i="83"/>
  <c r="A440" i="83"/>
  <c r="A464" i="83"/>
  <c r="A463" i="83"/>
  <c r="A468" i="83"/>
  <c r="A176" i="83"/>
  <c r="A177" i="83"/>
  <c r="A178" i="83"/>
  <c r="A179" i="83"/>
  <c r="A102" i="83"/>
  <c r="A375" i="83"/>
  <c r="A472" i="83"/>
  <c r="A536" i="83"/>
  <c r="A204" i="83"/>
  <c r="A315" i="83"/>
  <c r="A461" i="83"/>
  <c r="A359" i="83"/>
  <c r="A188" i="83"/>
  <c r="A542" i="83"/>
  <c r="A543" i="83"/>
  <c r="A362" i="83"/>
  <c r="A228" i="83"/>
  <c r="A374" i="83"/>
  <c r="A360" i="83"/>
  <c r="A363" i="83"/>
  <c r="A355" i="83"/>
  <c r="A356" i="83"/>
  <c r="A353" i="83"/>
  <c r="A56" i="83"/>
  <c r="A528" i="83"/>
  <c r="A103" i="83"/>
  <c r="A72" i="83"/>
  <c r="A592" i="83"/>
  <c r="A562" i="83"/>
  <c r="A89" i="83"/>
  <c r="A520" i="83"/>
  <c r="A577" i="83"/>
  <c r="A62" i="83"/>
  <c r="A557" i="83"/>
  <c r="A61" i="83"/>
  <c r="A501" i="83"/>
  <c r="A253" i="83"/>
  <c r="A454" i="83"/>
  <c r="A485" i="83"/>
  <c r="A150" i="83"/>
  <c r="A172" i="83"/>
  <c r="A193" i="83"/>
  <c r="A267" i="83"/>
  <c r="A526" i="83"/>
  <c r="A213" i="83"/>
  <c r="A570" i="83"/>
  <c r="A571" i="83"/>
  <c r="A449" i="83"/>
  <c r="A569" i="83"/>
  <c r="A578" i="83"/>
  <c r="A343" i="83"/>
  <c r="A344" i="83"/>
  <c r="A149" i="83"/>
  <c r="A171" i="83"/>
  <c r="A603" i="83"/>
  <c r="A604" i="83"/>
  <c r="A182" i="83"/>
  <c r="A181" i="83"/>
  <c r="A180" i="83"/>
  <c r="A94" i="83"/>
  <c r="A100" i="83"/>
  <c r="A300" i="83"/>
  <c r="A292" i="83"/>
  <c r="A361" i="83"/>
  <c r="A334" i="83"/>
  <c r="A305" i="83"/>
  <c r="A309" i="83"/>
  <c r="A306" i="83"/>
  <c r="A307" i="83"/>
  <c r="A308" i="83"/>
  <c r="A262" i="83"/>
  <c r="A358" i="83"/>
  <c r="A333" i="83"/>
  <c r="A436" i="83"/>
  <c r="A441" i="83"/>
  <c r="A452" i="83"/>
  <c r="A2" i="83"/>
  <c r="X604" i="83" l="1"/>
  <c r="Y604" i="83" s="1"/>
  <c r="V604" i="83"/>
  <c r="Z604" i="83" s="1"/>
  <c r="X452" i="83"/>
  <c r="Y452" i="83" s="1"/>
  <c r="X441" i="83"/>
  <c r="Y441" i="83" s="1"/>
  <c r="X436" i="83"/>
  <c r="Y436" i="83" s="1"/>
  <c r="X333" i="83"/>
  <c r="Y333" i="83" s="1"/>
  <c r="X358" i="83"/>
  <c r="Y358" i="83" s="1"/>
  <c r="X262" i="83"/>
  <c r="Y262" i="83" s="1"/>
  <c r="X308" i="83"/>
  <c r="Y308" i="83" s="1"/>
  <c r="X307" i="83"/>
  <c r="Y307" i="83" s="1"/>
  <c r="X306" i="83"/>
  <c r="Y306" i="83" s="1"/>
  <c r="X309" i="83"/>
  <c r="Y309" i="83" s="1"/>
  <c r="X305" i="83"/>
  <c r="Y305" i="83" s="1"/>
  <c r="X334" i="83"/>
  <c r="Y334" i="83" s="1"/>
  <c r="X361" i="83"/>
  <c r="Y361" i="83" s="1"/>
  <c r="X292" i="83"/>
  <c r="Y292" i="83" s="1"/>
  <c r="X300" i="83"/>
  <c r="Y300" i="83" s="1"/>
  <c r="X100" i="83"/>
  <c r="Y100" i="83" s="1"/>
  <c r="V452" i="83"/>
  <c r="Z452" i="83" s="1"/>
  <c r="V441" i="83"/>
  <c r="Z441" i="83" s="1"/>
  <c r="V436" i="83"/>
  <c r="Z436" i="83" s="1"/>
  <c r="V333" i="83"/>
  <c r="Z333" i="83" s="1"/>
  <c r="V358" i="83"/>
  <c r="Z358" i="83" s="1"/>
  <c r="V262" i="83"/>
  <c r="Z262" i="83" s="1"/>
  <c r="V308" i="83"/>
  <c r="Z308" i="83" s="1"/>
  <c r="V307" i="83"/>
  <c r="Z307" i="83" s="1"/>
  <c r="V306" i="83"/>
  <c r="Z306" i="83" s="1"/>
  <c r="V309" i="83"/>
  <c r="Z309" i="83" s="1"/>
  <c r="V305" i="83"/>
  <c r="Z305" i="83" s="1"/>
  <c r="V334" i="83"/>
  <c r="Z334" i="83" s="1"/>
  <c r="V361" i="83"/>
  <c r="Z361" i="83" s="1"/>
  <c r="V292" i="83"/>
  <c r="Z292" i="83" s="1"/>
  <c r="V300" i="83"/>
  <c r="Z300" i="83" s="1"/>
  <c r="V100" i="83"/>
  <c r="Z100" i="83" s="1"/>
  <c r="X94" i="83"/>
  <c r="Y94" i="83" s="1"/>
  <c r="X180" i="83"/>
  <c r="Y180" i="83" s="1"/>
  <c r="X181" i="83"/>
  <c r="Y181" i="83" s="1"/>
  <c r="V94" i="83"/>
  <c r="Z94" i="83" s="1"/>
  <c r="V180" i="83"/>
  <c r="Z180" i="83" s="1"/>
  <c r="V181" i="83"/>
  <c r="Z181" i="83" s="1"/>
  <c r="X182" i="83"/>
  <c r="Y182" i="83" s="1"/>
  <c r="V182" i="83"/>
  <c r="Z182" i="83" s="1"/>
  <c r="AA16" i="83"/>
  <c r="V603" i="83"/>
  <c r="Z603" i="83" s="1"/>
  <c r="X603" i="83"/>
  <c r="Y603" i="83" s="1"/>
  <c r="X602" i="83"/>
  <c r="Y602" i="83" s="1"/>
  <c r="X601" i="83"/>
  <c r="Y601" i="83" s="1"/>
  <c r="X600" i="83"/>
  <c r="Y600" i="83" s="1"/>
  <c r="X599" i="83"/>
  <c r="Y599" i="83" s="1"/>
  <c r="X578" i="83"/>
  <c r="X598" i="83"/>
  <c r="Y598" i="83" s="1"/>
  <c r="X597" i="83"/>
  <c r="Y597" i="83" s="1"/>
  <c r="X596" i="83"/>
  <c r="Y596" i="83" s="1"/>
  <c r="X595" i="83"/>
  <c r="Y595" i="83" s="1"/>
  <c r="X594" i="83"/>
  <c r="Y594" i="83" s="1"/>
  <c r="X593" i="83"/>
  <c r="Y593" i="83" s="1"/>
  <c r="X592" i="83"/>
  <c r="Y592" i="83" s="1"/>
  <c r="X591" i="83"/>
  <c r="Y591" i="83" s="1"/>
  <c r="X590" i="83"/>
  <c r="Y590" i="83" s="1"/>
  <c r="X589" i="83"/>
  <c r="Y589" i="83" s="1"/>
  <c r="X588" i="83"/>
  <c r="Y588" i="83" s="1"/>
  <c r="X587" i="83"/>
  <c r="Y587" i="83" s="1"/>
  <c r="X586" i="83"/>
  <c r="Y586" i="83" s="1"/>
  <c r="X585" i="83"/>
  <c r="Y585" i="83" s="1"/>
  <c r="X584" i="83"/>
  <c r="Y584" i="83" s="1"/>
  <c r="X583" i="83"/>
  <c r="Y583" i="83" s="1"/>
  <c r="X582" i="83"/>
  <c r="Y582" i="83" s="1"/>
  <c r="X581" i="83"/>
  <c r="Y581" i="83" s="1"/>
  <c r="X580" i="83"/>
  <c r="Y580" i="83" s="1"/>
  <c r="X579" i="83"/>
  <c r="Y579" i="83" s="1"/>
  <c r="X577" i="83"/>
  <c r="Y577" i="83" s="1"/>
  <c r="X576" i="83"/>
  <c r="Y576" i="83" s="1"/>
  <c r="X575" i="83"/>
  <c r="Y575" i="83" s="1"/>
  <c r="X574" i="83"/>
  <c r="Y574" i="83" s="1"/>
  <c r="X573" i="83"/>
  <c r="Y573" i="83" s="1"/>
  <c r="X572" i="83"/>
  <c r="Y572" i="83" s="1"/>
  <c r="X571" i="83"/>
  <c r="Y571" i="83" s="1"/>
  <c r="X570" i="83"/>
  <c r="Y570" i="83" s="1"/>
  <c r="X569" i="83"/>
  <c r="Y569" i="83" s="1"/>
  <c r="X568" i="83"/>
  <c r="Y568" i="83" s="1"/>
  <c r="X567" i="83"/>
  <c r="Y567" i="83" s="1"/>
  <c r="X566" i="83"/>
  <c r="Y566" i="83" s="1"/>
  <c r="X565" i="83"/>
  <c r="Y565" i="83" s="1"/>
  <c r="X564" i="83"/>
  <c r="Y564" i="83" s="1"/>
  <c r="X563" i="83"/>
  <c r="Y563" i="83" s="1"/>
  <c r="X562" i="83"/>
  <c r="Y562" i="83" s="1"/>
  <c r="X561" i="83"/>
  <c r="Y561" i="83" s="1"/>
  <c r="X560" i="83"/>
  <c r="Y560" i="83" s="1"/>
  <c r="X559" i="83"/>
  <c r="Y559" i="83" s="1"/>
  <c r="X558" i="83"/>
  <c r="Y558" i="83" s="1"/>
  <c r="X557" i="83"/>
  <c r="Y557" i="83" s="1"/>
  <c r="X536" i="83"/>
  <c r="X556" i="83"/>
  <c r="Y556" i="83" s="1"/>
  <c r="X555" i="83"/>
  <c r="Y555" i="83" s="1"/>
  <c r="X554" i="83"/>
  <c r="Y554" i="83" s="1"/>
  <c r="X553" i="83"/>
  <c r="Y553" i="83" s="1"/>
  <c r="X552" i="83"/>
  <c r="Y552" i="83" s="1"/>
  <c r="X551" i="83"/>
  <c r="Y551" i="83" s="1"/>
  <c r="X550" i="83"/>
  <c r="Y550" i="83" s="1"/>
  <c r="X549" i="83"/>
  <c r="Y549" i="83" s="1"/>
  <c r="X548" i="83"/>
  <c r="Y548" i="83" s="1"/>
  <c r="X547" i="83"/>
  <c r="Y547" i="83" s="1"/>
  <c r="X546" i="83"/>
  <c r="Y546" i="83" s="1"/>
  <c r="X545" i="83"/>
  <c r="Y545" i="83" s="1"/>
  <c r="X544" i="83"/>
  <c r="Y544" i="83" s="1"/>
  <c r="X541" i="83"/>
  <c r="Y541" i="83" s="1"/>
  <c r="X540" i="83"/>
  <c r="Y540" i="83" s="1"/>
  <c r="X539" i="83"/>
  <c r="Y539" i="83" s="1"/>
  <c r="X538" i="83"/>
  <c r="Y538" i="83" s="1"/>
  <c r="X537" i="83"/>
  <c r="Y537" i="83" s="1"/>
  <c r="X535" i="83"/>
  <c r="Y535" i="83" s="1"/>
  <c r="X534" i="83"/>
  <c r="Y534" i="83" s="1"/>
  <c r="X533" i="83"/>
  <c r="Y533" i="83" s="1"/>
  <c r="X514" i="83"/>
  <c r="X513" i="83"/>
  <c r="X512" i="83"/>
  <c r="X511" i="83"/>
  <c r="X493" i="83"/>
  <c r="X492" i="83"/>
  <c r="X46" i="83"/>
  <c r="X394" i="83"/>
  <c r="X45" i="83"/>
  <c r="X47" i="83"/>
  <c r="X491" i="83"/>
  <c r="X532" i="83"/>
  <c r="Y532" i="83" s="1"/>
  <c r="X531" i="83"/>
  <c r="Y531" i="83" s="1"/>
  <c r="X530" i="83"/>
  <c r="Y530" i="83" s="1"/>
  <c r="X529" i="83"/>
  <c r="Y529" i="83" s="1"/>
  <c r="X528" i="83"/>
  <c r="Y528" i="83" s="1"/>
  <c r="X527" i="83"/>
  <c r="Y527" i="83" s="1"/>
  <c r="X497" i="83"/>
  <c r="X494" i="83"/>
  <c r="X504" i="83"/>
  <c r="X496" i="83"/>
  <c r="X510" i="83"/>
  <c r="X505" i="83"/>
  <c r="X495" i="83"/>
  <c r="X526" i="83"/>
  <c r="Y526" i="83" s="1"/>
  <c r="X525" i="83"/>
  <c r="Y525" i="83" s="1"/>
  <c r="X524" i="83"/>
  <c r="Y524" i="83" s="1"/>
  <c r="X523" i="83"/>
  <c r="Y523" i="83" s="1"/>
  <c r="X522" i="83"/>
  <c r="Y522" i="83" s="1"/>
  <c r="X521" i="83"/>
  <c r="Y521" i="83" s="1"/>
  <c r="X520" i="83"/>
  <c r="Y520" i="83" s="1"/>
  <c r="X519" i="83"/>
  <c r="Y519" i="83" s="1"/>
  <c r="X518" i="83"/>
  <c r="Y518" i="83" s="1"/>
  <c r="X517" i="83"/>
  <c r="Y517" i="83" s="1"/>
  <c r="X516" i="83"/>
  <c r="Y516" i="83" s="1"/>
  <c r="X515" i="83"/>
  <c r="Y515" i="83" s="1"/>
  <c r="X503" i="83"/>
  <c r="Y503" i="83" s="1"/>
  <c r="X502" i="83"/>
  <c r="Y502" i="83" s="1"/>
  <c r="X501" i="83"/>
  <c r="Y501" i="83" s="1"/>
  <c r="X500" i="83"/>
  <c r="Y500" i="83" s="1"/>
  <c r="X499" i="83"/>
  <c r="Y499" i="83" s="1"/>
  <c r="X498" i="83"/>
  <c r="Y498" i="83" s="1"/>
  <c r="X490" i="83"/>
  <c r="Y490" i="83" s="1"/>
  <c r="X489" i="83"/>
  <c r="Y489" i="83" s="1"/>
  <c r="X488" i="83"/>
  <c r="Y488" i="83" s="1"/>
  <c r="X487" i="83"/>
  <c r="Y487" i="83" s="1"/>
  <c r="X486" i="83"/>
  <c r="Y486" i="83" s="1"/>
  <c r="X485" i="83"/>
  <c r="Y485" i="83" s="1"/>
  <c r="X484" i="83"/>
  <c r="Y484" i="83" s="1"/>
  <c r="X483" i="83"/>
  <c r="Y483" i="83" s="1"/>
  <c r="X482" i="83"/>
  <c r="Y482" i="83" s="1"/>
  <c r="X481" i="83"/>
  <c r="Y481" i="83" s="1"/>
  <c r="X480" i="83"/>
  <c r="Y480" i="83" s="1"/>
  <c r="X479" i="83"/>
  <c r="Y479" i="83" s="1"/>
  <c r="X478" i="83"/>
  <c r="Y478" i="83" s="1"/>
  <c r="X477" i="83"/>
  <c r="Y477" i="83" s="1"/>
  <c r="X476" i="83"/>
  <c r="Y476" i="83" s="1"/>
  <c r="X475" i="83"/>
  <c r="Y475" i="83" s="1"/>
  <c r="X474" i="83"/>
  <c r="Y474" i="83" s="1"/>
  <c r="X473" i="83"/>
  <c r="Y473" i="83" s="1"/>
  <c r="X472" i="83"/>
  <c r="Y472" i="83" s="1"/>
  <c r="X471" i="83"/>
  <c r="Y471" i="83" s="1"/>
  <c r="X470" i="83"/>
  <c r="Y470" i="83" s="1"/>
  <c r="X469" i="83"/>
  <c r="Y469" i="83" s="1"/>
  <c r="X468" i="83"/>
  <c r="Y468" i="83" s="1"/>
  <c r="X467" i="83"/>
  <c r="Y467" i="83" s="1"/>
  <c r="X466" i="83"/>
  <c r="Y466" i="83" s="1"/>
  <c r="X465" i="83"/>
  <c r="Y465" i="83" s="1"/>
  <c r="X464" i="83"/>
  <c r="Y464" i="83" s="1"/>
  <c r="X463" i="83"/>
  <c r="Y463" i="83" s="1"/>
  <c r="X462" i="83"/>
  <c r="Y462" i="83" s="1"/>
  <c r="X461" i="83"/>
  <c r="Y461" i="83" s="1"/>
  <c r="X460" i="83"/>
  <c r="Y460" i="83" s="1"/>
  <c r="X459" i="83"/>
  <c r="Y459" i="83" s="1"/>
  <c r="X458" i="83"/>
  <c r="Y458" i="83" s="1"/>
  <c r="X457" i="83"/>
  <c r="Y457" i="83" s="1"/>
  <c r="X456" i="83"/>
  <c r="Y456" i="83" s="1"/>
  <c r="X455" i="83"/>
  <c r="Y455" i="83" s="1"/>
  <c r="X454" i="83"/>
  <c r="Y454" i="83" s="1"/>
  <c r="X453" i="83"/>
  <c r="Y453" i="83" s="1"/>
  <c r="X434" i="83"/>
  <c r="X451" i="83"/>
  <c r="Y451" i="83" s="1"/>
  <c r="X450" i="83"/>
  <c r="Y450" i="83" s="1"/>
  <c r="X449" i="83"/>
  <c r="Y449" i="83" s="1"/>
  <c r="X448" i="83"/>
  <c r="Y448" i="83" s="1"/>
  <c r="X447" i="83"/>
  <c r="Y447" i="83" s="1"/>
  <c r="X446" i="83"/>
  <c r="Y446" i="83" s="1"/>
  <c r="X445" i="83"/>
  <c r="Y445" i="83" s="1"/>
  <c r="X444" i="83"/>
  <c r="Y444" i="83" s="1"/>
  <c r="X443" i="83"/>
  <c r="Y443" i="83" s="1"/>
  <c r="X442" i="83"/>
  <c r="Y442" i="83" s="1"/>
  <c r="X440" i="83"/>
  <c r="Y440" i="83" s="1"/>
  <c r="X439" i="83"/>
  <c r="Y439" i="83" s="1"/>
  <c r="X438" i="83"/>
  <c r="Y438" i="83" s="1"/>
  <c r="X437" i="83"/>
  <c r="Y437" i="83" s="1"/>
  <c r="X435" i="83"/>
  <c r="Y435" i="83" s="1"/>
  <c r="X433" i="83"/>
  <c r="Y433" i="83" s="1"/>
  <c r="X432" i="83"/>
  <c r="Y432" i="83" s="1"/>
  <c r="X431" i="83"/>
  <c r="Y431" i="83" s="1"/>
  <c r="X430" i="83"/>
  <c r="Y430" i="83" s="1"/>
  <c r="X429" i="83"/>
  <c r="Y429" i="83" s="1"/>
  <c r="X428" i="83"/>
  <c r="Y428" i="83" s="1"/>
  <c r="X427" i="83"/>
  <c r="Y427" i="83" s="1"/>
  <c r="X426" i="83"/>
  <c r="Y426" i="83" s="1"/>
  <c r="X425" i="83"/>
  <c r="Y425" i="83" s="1"/>
  <c r="X424" i="83"/>
  <c r="Y424" i="83" s="1"/>
  <c r="X423" i="83"/>
  <c r="Y423" i="83" s="1"/>
  <c r="X422" i="83"/>
  <c r="Y422" i="83" s="1"/>
  <c r="X420" i="83"/>
  <c r="Y420" i="83" s="1"/>
  <c r="X419" i="83"/>
  <c r="Y419" i="83" s="1"/>
  <c r="X418" i="83"/>
  <c r="Y418" i="83" s="1"/>
  <c r="X417" i="83"/>
  <c r="Y417" i="83" s="1"/>
  <c r="X416" i="83"/>
  <c r="Y416" i="83" s="1"/>
  <c r="X415" i="83"/>
  <c r="Y415" i="83" s="1"/>
  <c r="X414" i="83"/>
  <c r="Y414" i="83" s="1"/>
  <c r="X413" i="83"/>
  <c r="Y413" i="83" s="1"/>
  <c r="X412" i="83"/>
  <c r="Y412" i="83" s="1"/>
  <c r="X411" i="83"/>
  <c r="Y411" i="83" s="1"/>
  <c r="X421" i="83"/>
  <c r="Y421" i="83" s="1"/>
  <c r="X410" i="83"/>
  <c r="Y410" i="83" s="1"/>
  <c r="X11" i="83"/>
  <c r="X409" i="83"/>
  <c r="Y409" i="83" s="1"/>
  <c r="X408" i="83"/>
  <c r="Y408" i="83" s="1"/>
  <c r="X407" i="83"/>
  <c r="Y407" i="83" s="1"/>
  <c r="X406" i="83"/>
  <c r="Y406" i="83" s="1"/>
  <c r="X405" i="83"/>
  <c r="Y405" i="83" s="1"/>
  <c r="X404" i="83"/>
  <c r="Y404" i="83" s="1"/>
  <c r="X403" i="83"/>
  <c r="Y403" i="83" s="1"/>
  <c r="X402" i="83"/>
  <c r="Y402" i="83" s="1"/>
  <c r="X401" i="83"/>
  <c r="Y401" i="83" s="1"/>
  <c r="X384" i="83"/>
  <c r="X383" i="83"/>
  <c r="X400" i="83"/>
  <c r="Y400" i="83" s="1"/>
  <c r="X399" i="83"/>
  <c r="Y399" i="83" s="1"/>
  <c r="X398" i="83"/>
  <c r="Y398" i="83" s="1"/>
  <c r="X397" i="83"/>
  <c r="Y397" i="83" s="1"/>
  <c r="X396" i="83"/>
  <c r="Y396" i="83" s="1"/>
  <c r="X395" i="83"/>
  <c r="Y395" i="83" s="1"/>
  <c r="X393" i="83"/>
  <c r="Y393" i="83" s="1"/>
  <c r="X392" i="83"/>
  <c r="Y392" i="83" s="1"/>
  <c r="X391" i="83"/>
  <c r="Y391" i="83" s="1"/>
  <c r="X390" i="83"/>
  <c r="Y390" i="83" s="1"/>
  <c r="X389" i="83"/>
  <c r="Y389" i="83" s="1"/>
  <c r="X388" i="83"/>
  <c r="Y388" i="83" s="1"/>
  <c r="X387" i="83"/>
  <c r="Y387" i="83" s="1"/>
  <c r="X386" i="83"/>
  <c r="Y386" i="83" s="1"/>
  <c r="X385" i="83"/>
  <c r="Y385" i="83" s="1"/>
  <c r="X382" i="83"/>
  <c r="Y382" i="83" s="1"/>
  <c r="X381" i="83"/>
  <c r="Y381" i="83" s="1"/>
  <c r="X380" i="83"/>
  <c r="Y380" i="83" s="1"/>
  <c r="X379" i="83"/>
  <c r="Y379" i="83" s="1"/>
  <c r="X378" i="83"/>
  <c r="Y378" i="83" s="1"/>
  <c r="X377" i="83"/>
  <c r="Y377" i="83" s="1"/>
  <c r="X376" i="83"/>
  <c r="Y376" i="83" s="1"/>
  <c r="X375" i="83"/>
  <c r="Y375" i="83" s="1"/>
  <c r="X374" i="83"/>
  <c r="Y374" i="83" s="1"/>
  <c r="X373" i="83"/>
  <c r="Y373" i="83" s="1"/>
  <c r="X372" i="83"/>
  <c r="Y372" i="83" s="1"/>
  <c r="X371" i="83"/>
  <c r="Y371" i="83" s="1"/>
  <c r="X370" i="83"/>
  <c r="Y370" i="83" s="1"/>
  <c r="X369" i="83"/>
  <c r="Y369" i="83" s="1"/>
  <c r="X368" i="83"/>
  <c r="Y368" i="83" s="1"/>
  <c r="X367" i="83"/>
  <c r="Y367" i="83" s="1"/>
  <c r="X366" i="83"/>
  <c r="Y366" i="83" s="1"/>
  <c r="X365" i="83"/>
  <c r="Y365" i="83" s="1"/>
  <c r="X364" i="83"/>
  <c r="Y364" i="83" s="1"/>
  <c r="X363" i="83"/>
  <c r="Y363" i="83" s="1"/>
  <c r="X362" i="83"/>
  <c r="Y362" i="83" s="1"/>
  <c r="X360" i="83"/>
  <c r="Y360" i="83" s="1"/>
  <c r="X359" i="83"/>
  <c r="Y359" i="83" s="1"/>
  <c r="X356" i="83"/>
  <c r="Y356" i="83" s="1"/>
  <c r="X355" i="83"/>
  <c r="Y355" i="83" s="1"/>
  <c r="X342" i="83"/>
  <c r="X354" i="83"/>
  <c r="Y354" i="83" s="1"/>
  <c r="X353" i="83"/>
  <c r="Y353" i="83" s="1"/>
  <c r="X339" i="83"/>
  <c r="X352" i="83"/>
  <c r="Y352" i="83" s="1"/>
  <c r="X351" i="83"/>
  <c r="Y351" i="83" s="1"/>
  <c r="X350" i="83"/>
  <c r="Y350" i="83" s="1"/>
  <c r="X349" i="83"/>
  <c r="Y349" i="83" s="1"/>
  <c r="X348" i="83"/>
  <c r="Y348" i="83" s="1"/>
  <c r="X347" i="83"/>
  <c r="Y347" i="83" s="1"/>
  <c r="X346" i="83"/>
  <c r="Y346" i="83" s="1"/>
  <c r="X345" i="83"/>
  <c r="Y345" i="83" s="1"/>
  <c r="X344" i="83"/>
  <c r="Y344" i="83" s="1"/>
  <c r="X343" i="83"/>
  <c r="Y343" i="83" s="1"/>
  <c r="X341" i="83"/>
  <c r="Y341" i="83" s="1"/>
  <c r="X327" i="83"/>
  <c r="X340" i="83"/>
  <c r="Y340" i="83" s="1"/>
  <c r="X338" i="83"/>
  <c r="Y338" i="83" s="1"/>
  <c r="X337" i="83"/>
  <c r="Y337" i="83" s="1"/>
  <c r="X336" i="83"/>
  <c r="Y336" i="83" s="1"/>
  <c r="X335" i="83"/>
  <c r="Y335" i="83" s="1"/>
  <c r="X332" i="83"/>
  <c r="Y332" i="83" s="1"/>
  <c r="X331" i="83"/>
  <c r="Y331" i="83" s="1"/>
  <c r="X330" i="83"/>
  <c r="Y330" i="83" s="1"/>
  <c r="X329" i="83"/>
  <c r="Y329" i="83" s="1"/>
  <c r="X328" i="83"/>
  <c r="Y328" i="83" s="1"/>
  <c r="X326" i="83"/>
  <c r="Y326" i="83" s="1"/>
  <c r="X325" i="83"/>
  <c r="Y325" i="83" s="1"/>
  <c r="X324" i="83"/>
  <c r="Y324" i="83" s="1"/>
  <c r="X323" i="83"/>
  <c r="Y323" i="83" s="1"/>
  <c r="X322" i="83"/>
  <c r="Y322" i="83" s="1"/>
  <c r="X321" i="83"/>
  <c r="Y321" i="83" s="1"/>
  <c r="X320" i="83"/>
  <c r="Y320" i="83" s="1"/>
  <c r="X319" i="83"/>
  <c r="Y319" i="83" s="1"/>
  <c r="X318" i="83"/>
  <c r="Y318" i="83" s="1"/>
  <c r="X317" i="83"/>
  <c r="Y317" i="83" s="1"/>
  <c r="X316" i="83"/>
  <c r="Y316" i="83" s="1"/>
  <c r="X315" i="83"/>
  <c r="Y315" i="83" s="1"/>
  <c r="X314" i="83"/>
  <c r="Y314" i="83" s="1"/>
  <c r="X313" i="83"/>
  <c r="Y313" i="83" s="1"/>
  <c r="X312" i="83"/>
  <c r="Y312" i="83" s="1"/>
  <c r="X311" i="83"/>
  <c r="Y311" i="83" s="1"/>
  <c r="X310" i="83"/>
  <c r="Y310" i="83" s="1"/>
  <c r="X304" i="83"/>
  <c r="Y304" i="83" s="1"/>
  <c r="X303" i="83"/>
  <c r="Y303" i="83" s="1"/>
  <c r="X302" i="83"/>
  <c r="Y302" i="83" s="1"/>
  <c r="X296" i="83"/>
  <c r="X295" i="83"/>
  <c r="X301" i="83"/>
  <c r="Y301" i="83" s="1"/>
  <c r="X299" i="83"/>
  <c r="Y299" i="83" s="1"/>
  <c r="X298" i="83"/>
  <c r="Y298" i="83" s="1"/>
  <c r="X297" i="83"/>
  <c r="Y297" i="83" s="1"/>
  <c r="X294" i="83"/>
  <c r="Y294" i="83" s="1"/>
  <c r="X289" i="83"/>
  <c r="X288" i="83"/>
  <c r="X287" i="83"/>
  <c r="X286" i="83"/>
  <c r="X285" i="83"/>
  <c r="X284" i="83"/>
  <c r="X293" i="83"/>
  <c r="Y293" i="83" s="1"/>
  <c r="X291" i="83"/>
  <c r="Y291" i="83" s="1"/>
  <c r="X290" i="83"/>
  <c r="Y290" i="83" s="1"/>
  <c r="X283" i="83"/>
  <c r="Y283" i="83" s="1"/>
  <c r="X282" i="83"/>
  <c r="Y282" i="83" s="1"/>
  <c r="X281" i="83"/>
  <c r="Y281" i="83" s="1"/>
  <c r="X280" i="83"/>
  <c r="Y280" i="83" s="1"/>
  <c r="X279" i="83"/>
  <c r="Y279" i="83" s="1"/>
  <c r="X278" i="83"/>
  <c r="Y278" i="83" s="1"/>
  <c r="X277" i="83"/>
  <c r="Y277" i="83" s="1"/>
  <c r="X276" i="83"/>
  <c r="Y276" i="83" s="1"/>
  <c r="X275" i="83"/>
  <c r="Y275" i="83" s="1"/>
  <c r="X274" i="83"/>
  <c r="Y274" i="83" s="1"/>
  <c r="X273" i="83"/>
  <c r="Y273" i="83" s="1"/>
  <c r="X272" i="83"/>
  <c r="Y272" i="83" s="1"/>
  <c r="X271" i="83"/>
  <c r="Y271" i="83" s="1"/>
  <c r="X270" i="83"/>
  <c r="Y270" i="83" s="1"/>
  <c r="X269" i="83"/>
  <c r="Y269" i="83" s="1"/>
  <c r="X268" i="83"/>
  <c r="Y268" i="83" s="1"/>
  <c r="X267" i="83"/>
  <c r="Y267" i="83" s="1"/>
  <c r="X266" i="83"/>
  <c r="Y266" i="83" s="1"/>
  <c r="X265" i="83"/>
  <c r="Y265" i="83" s="1"/>
  <c r="X264" i="83"/>
  <c r="Y264" i="83" s="1"/>
  <c r="X263" i="83"/>
  <c r="Y263" i="83" s="1"/>
  <c r="X261" i="83"/>
  <c r="Y261" i="83" s="1"/>
  <c r="X260" i="83"/>
  <c r="Y260" i="83" s="1"/>
  <c r="X259" i="83"/>
  <c r="Y259" i="83" s="1"/>
  <c r="X258" i="83"/>
  <c r="Y258" i="83" s="1"/>
  <c r="X257" i="83"/>
  <c r="Y257" i="83" s="1"/>
  <c r="X256" i="83"/>
  <c r="Y256" i="83" s="1"/>
  <c r="X255" i="83"/>
  <c r="Y255" i="83" s="1"/>
  <c r="X254" i="83"/>
  <c r="Y254" i="83" s="1"/>
  <c r="X253" i="83"/>
  <c r="Y253" i="83" s="1"/>
  <c r="X252" i="83"/>
  <c r="Y252" i="83" s="1"/>
  <c r="X251" i="83"/>
  <c r="Y251" i="83" s="1"/>
  <c r="X250" i="83"/>
  <c r="Y250" i="83" s="1"/>
  <c r="X249" i="83"/>
  <c r="Y249" i="83" s="1"/>
  <c r="X248" i="83"/>
  <c r="Y248" i="83" s="1"/>
  <c r="X247" i="83"/>
  <c r="Y247" i="83" s="1"/>
  <c r="X246" i="83"/>
  <c r="Y246" i="83" s="1"/>
  <c r="X245" i="83"/>
  <c r="Y245" i="83" s="1"/>
  <c r="X242" i="83"/>
  <c r="X244" i="83"/>
  <c r="Y244" i="83" s="1"/>
  <c r="X243" i="83"/>
  <c r="Y243" i="83" s="1"/>
  <c r="X241" i="83"/>
  <c r="Y241" i="83" s="1"/>
  <c r="X238" i="83"/>
  <c r="X237" i="83"/>
  <c r="X240" i="83"/>
  <c r="Y240" i="83" s="1"/>
  <c r="X239" i="83"/>
  <c r="Y239" i="83" s="1"/>
  <c r="X236" i="83"/>
  <c r="Y236" i="83" s="1"/>
  <c r="X235" i="83"/>
  <c r="Y235" i="83" s="1"/>
  <c r="X234" i="83"/>
  <c r="Y234" i="83" s="1"/>
  <c r="X233" i="83"/>
  <c r="Y233" i="83" s="1"/>
  <c r="X232" i="83"/>
  <c r="Y232" i="83" s="1"/>
  <c r="X231" i="83"/>
  <c r="Y231" i="83" s="1"/>
  <c r="X230" i="83"/>
  <c r="Y230" i="83" s="1"/>
  <c r="X229" i="83"/>
  <c r="Y229" i="83" s="1"/>
  <c r="X228" i="83"/>
  <c r="Y228" i="83" s="1"/>
  <c r="X227" i="83"/>
  <c r="Y227" i="83" s="1"/>
  <c r="X226" i="83"/>
  <c r="Y226" i="83" s="1"/>
  <c r="X225" i="83"/>
  <c r="Y225" i="83" s="1"/>
  <c r="X224" i="83"/>
  <c r="Y224" i="83" s="1"/>
  <c r="X223" i="83"/>
  <c r="Y223" i="83" s="1"/>
  <c r="X222" i="83"/>
  <c r="Y222" i="83" s="1"/>
  <c r="X221" i="83"/>
  <c r="Y221" i="83" s="1"/>
  <c r="X220" i="83"/>
  <c r="Y220" i="83" s="1"/>
  <c r="X219" i="83"/>
  <c r="Y219" i="83" s="1"/>
  <c r="X218" i="83"/>
  <c r="Y218" i="83" s="1"/>
  <c r="X217" i="83"/>
  <c r="Y217" i="83" s="1"/>
  <c r="X216" i="83"/>
  <c r="Y216" i="83" s="1"/>
  <c r="X215" i="83"/>
  <c r="Y215" i="83" s="1"/>
  <c r="X214" i="83"/>
  <c r="Y214" i="83" s="1"/>
  <c r="X213" i="83"/>
  <c r="Y213" i="83" s="1"/>
  <c r="X212" i="83"/>
  <c r="Y212" i="83" s="1"/>
  <c r="X211" i="83"/>
  <c r="Y211" i="83" s="1"/>
  <c r="X210" i="83"/>
  <c r="Y210" i="83" s="1"/>
  <c r="X209" i="83"/>
  <c r="Y209" i="83" s="1"/>
  <c r="X208" i="83"/>
  <c r="Y208" i="83" s="1"/>
  <c r="X207" i="83"/>
  <c r="Y207" i="83" s="1"/>
  <c r="X206" i="83"/>
  <c r="Y206" i="83" s="1"/>
  <c r="X205" i="83"/>
  <c r="Y205" i="83" s="1"/>
  <c r="X204" i="83"/>
  <c r="Y204" i="83" s="1"/>
  <c r="X203" i="83"/>
  <c r="Y203" i="83" s="1"/>
  <c r="X202" i="83"/>
  <c r="Y202" i="83" s="1"/>
  <c r="X201" i="83"/>
  <c r="Y201" i="83" s="1"/>
  <c r="X200" i="83"/>
  <c r="Y200" i="83" s="1"/>
  <c r="X198" i="83"/>
  <c r="Y198" i="83" s="1"/>
  <c r="X197" i="83"/>
  <c r="Y197" i="83" s="1"/>
  <c r="X196" i="83"/>
  <c r="Y196" i="83" s="1"/>
  <c r="X195" i="83"/>
  <c r="Y195" i="83" s="1"/>
  <c r="X194" i="83"/>
  <c r="Y194" i="83" s="1"/>
  <c r="X193" i="83"/>
  <c r="Y193" i="83" s="1"/>
  <c r="X192" i="83"/>
  <c r="Y192" i="83" s="1"/>
  <c r="X199" i="83"/>
  <c r="Y199" i="83" s="1"/>
  <c r="X191" i="83"/>
  <c r="Y191" i="83" s="1"/>
  <c r="X190" i="83"/>
  <c r="Y190" i="83" s="1"/>
  <c r="X189" i="83"/>
  <c r="Y189" i="83" s="1"/>
  <c r="X188" i="83"/>
  <c r="Y188" i="83" s="1"/>
  <c r="X187" i="83"/>
  <c r="Y187" i="83" s="1"/>
  <c r="X186" i="83"/>
  <c r="Y186" i="83" s="1"/>
  <c r="X185" i="83"/>
  <c r="Y185" i="83" s="1"/>
  <c r="X184" i="83"/>
  <c r="Y184" i="83" s="1"/>
  <c r="X183" i="83"/>
  <c r="Y183" i="83" s="1"/>
  <c r="X179" i="83"/>
  <c r="Y179" i="83" s="1"/>
  <c r="X178" i="83"/>
  <c r="Y178" i="83" s="1"/>
  <c r="X177" i="83"/>
  <c r="Y177" i="83" s="1"/>
  <c r="X176" i="83"/>
  <c r="Y176" i="83" s="1"/>
  <c r="X175" i="83"/>
  <c r="Y175" i="83" s="1"/>
  <c r="X174" i="83"/>
  <c r="Y174" i="83" s="1"/>
  <c r="X172" i="83"/>
  <c r="Y172" i="83" s="1"/>
  <c r="X173" i="83"/>
  <c r="X171" i="83"/>
  <c r="Y171" i="83" s="1"/>
  <c r="X170" i="83"/>
  <c r="Y170" i="83" s="1"/>
  <c r="X169" i="83"/>
  <c r="Y169" i="83" s="1"/>
  <c r="X168" i="83"/>
  <c r="Y168" i="83" s="1"/>
  <c r="X167" i="83"/>
  <c r="Y167" i="83" s="1"/>
  <c r="X166" i="83"/>
  <c r="Y166" i="83" s="1"/>
  <c r="X165" i="83"/>
  <c r="Y165" i="83" s="1"/>
  <c r="X164" i="83"/>
  <c r="Y164" i="83" s="1"/>
  <c r="X163" i="83"/>
  <c r="Y163" i="83" s="1"/>
  <c r="X162" i="83"/>
  <c r="Y162" i="83" s="1"/>
  <c r="X161" i="83"/>
  <c r="Y161" i="83" s="1"/>
  <c r="X160" i="83"/>
  <c r="Y160" i="83" s="1"/>
  <c r="X159" i="83"/>
  <c r="Y159" i="83" s="1"/>
  <c r="X157" i="83"/>
  <c r="Y157" i="83" s="1"/>
  <c r="X158" i="83"/>
  <c r="X155" i="83"/>
  <c r="Y155" i="83" s="1"/>
  <c r="X156" i="83"/>
  <c r="X154" i="83"/>
  <c r="Y154" i="83" s="1"/>
  <c r="X153" i="83"/>
  <c r="Y153" i="83" s="1"/>
  <c r="X150" i="83"/>
  <c r="Y150" i="83" s="1"/>
  <c r="X152" i="83"/>
  <c r="X151" i="83"/>
  <c r="X149" i="83"/>
  <c r="Y149" i="83" s="1"/>
  <c r="X148" i="83"/>
  <c r="Y148" i="83" s="1"/>
  <c r="X147" i="83"/>
  <c r="Y147" i="83" s="1"/>
  <c r="X146" i="83"/>
  <c r="Y146" i="83" s="1"/>
  <c r="X145" i="83"/>
  <c r="Y145" i="83" s="1"/>
  <c r="X144" i="83"/>
  <c r="Y144" i="83" s="1"/>
  <c r="X143" i="83"/>
  <c r="Y143" i="83" s="1"/>
  <c r="X142" i="83"/>
  <c r="Y142" i="83" s="1"/>
  <c r="X141" i="83"/>
  <c r="Y141" i="83" s="1"/>
  <c r="X140" i="83"/>
  <c r="Y140" i="83" s="1"/>
  <c r="X139" i="83"/>
  <c r="Y139" i="83" s="1"/>
  <c r="X138" i="83"/>
  <c r="Y138" i="83" s="1"/>
  <c r="X137" i="83"/>
  <c r="Y137" i="83" s="1"/>
  <c r="X136" i="83"/>
  <c r="Y136" i="83" s="1"/>
  <c r="X135" i="83"/>
  <c r="Y135" i="83" s="1"/>
  <c r="X134" i="83"/>
  <c r="Y134" i="83" s="1"/>
  <c r="X133" i="83"/>
  <c r="Y133" i="83" s="1"/>
  <c r="X132" i="83"/>
  <c r="Y132" i="83" s="1"/>
  <c r="X131" i="83"/>
  <c r="Y131" i="83" s="1"/>
  <c r="X130" i="83"/>
  <c r="Y130" i="83" s="1"/>
  <c r="X129" i="83"/>
  <c r="Y129" i="83" s="1"/>
  <c r="X128" i="83"/>
  <c r="Y128" i="83" s="1"/>
  <c r="X127" i="83"/>
  <c r="Y127" i="83" s="1"/>
  <c r="X126" i="83"/>
  <c r="Y126" i="83" s="1"/>
  <c r="X125" i="83"/>
  <c r="Y125" i="83" s="1"/>
  <c r="X124" i="83"/>
  <c r="Y124" i="83" s="1"/>
  <c r="X123" i="83"/>
  <c r="Y123" i="83" s="1"/>
  <c r="X122" i="83"/>
  <c r="Y122" i="83" s="1"/>
  <c r="X121" i="83"/>
  <c r="Y121" i="83" s="1"/>
  <c r="X120" i="83"/>
  <c r="Y120" i="83" s="1"/>
  <c r="X119" i="83"/>
  <c r="Y119" i="83" s="1"/>
  <c r="X118" i="83"/>
  <c r="Y118" i="83" s="1"/>
  <c r="X117" i="83"/>
  <c r="Y117" i="83" s="1"/>
  <c r="X116" i="83"/>
  <c r="Y116" i="83" s="1"/>
  <c r="X115" i="83"/>
  <c r="Y115" i="83" s="1"/>
  <c r="X114" i="83"/>
  <c r="Y114" i="83" s="1"/>
  <c r="X113" i="83"/>
  <c r="Y113" i="83" s="1"/>
  <c r="X112" i="83"/>
  <c r="Y112" i="83" s="1"/>
  <c r="X111" i="83"/>
  <c r="Y111" i="83" s="1"/>
  <c r="X110" i="83"/>
  <c r="Y110" i="83" s="1"/>
  <c r="X109" i="83"/>
  <c r="Y109" i="83" s="1"/>
  <c r="X108" i="83"/>
  <c r="Y108" i="83" s="1"/>
  <c r="X107" i="83"/>
  <c r="Y107" i="83" s="1"/>
  <c r="X106" i="83"/>
  <c r="Y106" i="83" s="1"/>
  <c r="X105" i="83"/>
  <c r="Y105" i="83" s="1"/>
  <c r="X104" i="83"/>
  <c r="Y104" i="83" s="1"/>
  <c r="X103" i="83"/>
  <c r="Y103" i="83" s="1"/>
  <c r="X102" i="83"/>
  <c r="Y102" i="83" s="1"/>
  <c r="X101" i="83"/>
  <c r="Y101" i="83" s="1"/>
  <c r="X99" i="83"/>
  <c r="Y99" i="83" s="1"/>
  <c r="X98" i="83"/>
  <c r="Y98" i="83" s="1"/>
  <c r="X97" i="83"/>
  <c r="Y97" i="83" s="1"/>
  <c r="X96" i="83"/>
  <c r="Y96" i="83" s="1"/>
  <c r="X95" i="83"/>
  <c r="Y95" i="83" s="1"/>
  <c r="X93" i="83"/>
  <c r="Y93" i="83" s="1"/>
  <c r="X92" i="83"/>
  <c r="Y92" i="83" s="1"/>
  <c r="X91" i="83"/>
  <c r="Y91" i="83" s="1"/>
  <c r="X90" i="83"/>
  <c r="Y90" i="83" s="1"/>
  <c r="X89" i="83"/>
  <c r="Y89" i="83" s="1"/>
  <c r="X88" i="83"/>
  <c r="Y88" i="83" s="1"/>
  <c r="X87" i="83"/>
  <c r="Y87" i="83" s="1"/>
  <c r="X86" i="83"/>
  <c r="Y86" i="83" s="1"/>
  <c r="X85" i="83"/>
  <c r="Y85" i="83" s="1"/>
  <c r="X84" i="83"/>
  <c r="Y84" i="83" s="1"/>
  <c r="X83" i="83"/>
  <c r="Y83" i="83" s="1"/>
  <c r="X82" i="83"/>
  <c r="Y82" i="83" s="1"/>
  <c r="X80" i="83"/>
  <c r="Y80" i="83" s="1"/>
  <c r="X81" i="83"/>
  <c r="Y81" i="83" s="1"/>
  <c r="X79" i="83"/>
  <c r="Y79" i="83" s="1"/>
  <c r="X78" i="83"/>
  <c r="Y78" i="83" s="1"/>
  <c r="X73" i="83"/>
  <c r="Y73" i="83" s="1"/>
  <c r="X72" i="83"/>
  <c r="Y72" i="83" s="1"/>
  <c r="X71" i="83"/>
  <c r="Y71" i="83" s="1"/>
  <c r="X77" i="83"/>
  <c r="X76" i="83"/>
  <c r="X75" i="83"/>
  <c r="X74" i="83"/>
  <c r="X70" i="83"/>
  <c r="Y70" i="83" s="1"/>
  <c r="X69" i="83"/>
  <c r="Y69" i="83" s="1"/>
  <c r="X68" i="83"/>
  <c r="Y68" i="83" s="1"/>
  <c r="X67" i="83"/>
  <c r="Y67" i="83" s="1"/>
  <c r="X66" i="83"/>
  <c r="Y66" i="83" s="1"/>
  <c r="X64" i="83"/>
  <c r="Y64" i="83" s="1"/>
  <c r="X63" i="83"/>
  <c r="Y63" i="83" s="1"/>
  <c r="X62" i="83"/>
  <c r="Y62" i="83" s="1"/>
  <c r="X65" i="83"/>
  <c r="X61" i="83"/>
  <c r="Y61" i="83" s="1"/>
  <c r="X60" i="83"/>
  <c r="Y60" i="83" s="1"/>
  <c r="X59" i="83"/>
  <c r="Y59" i="83" s="1"/>
  <c r="X58" i="83"/>
  <c r="Y58" i="83" s="1"/>
  <c r="X57" i="83"/>
  <c r="Y57" i="83" s="1"/>
  <c r="X56" i="83"/>
  <c r="Y56" i="83" s="1"/>
  <c r="X55" i="83"/>
  <c r="Y55" i="83" s="1"/>
  <c r="X41" i="83"/>
  <c r="Y41" i="83" s="1"/>
  <c r="X40" i="83"/>
  <c r="Y40" i="83" s="1"/>
  <c r="X5" i="83"/>
  <c r="Y5" i="83" s="1"/>
  <c r="X54" i="83"/>
  <c r="X53" i="83"/>
  <c r="X52" i="83"/>
  <c r="X51" i="83"/>
  <c r="X50" i="83"/>
  <c r="X49" i="83"/>
  <c r="X48" i="83"/>
  <c r="X507" i="83"/>
  <c r="X508" i="83"/>
  <c r="X509" i="83"/>
  <c r="X44" i="83"/>
  <c r="X43" i="83"/>
  <c r="X42" i="83"/>
  <c r="X543" i="83"/>
  <c r="X542" i="83"/>
  <c r="X39" i="83"/>
  <c r="X38" i="83"/>
  <c r="X37" i="83"/>
  <c r="X36" i="83"/>
  <c r="X35" i="83"/>
  <c r="X34" i="83"/>
  <c r="X33" i="83"/>
  <c r="X32" i="83"/>
  <c r="X31" i="83"/>
  <c r="X30" i="83"/>
  <c r="X29" i="83"/>
  <c r="X28" i="83"/>
  <c r="X27" i="83"/>
  <c r="X26" i="83"/>
  <c r="X25" i="83"/>
  <c r="X24" i="83"/>
  <c r="X23" i="83"/>
  <c r="X22" i="83"/>
  <c r="X21" i="83"/>
  <c r="X20" i="83"/>
  <c r="X19" i="83"/>
  <c r="X18" i="83"/>
  <c r="X17" i="83"/>
  <c r="X16" i="83"/>
  <c r="X15" i="83"/>
  <c r="X14" i="83"/>
  <c r="X13" i="83"/>
  <c r="X12" i="83"/>
  <c r="X506" i="83"/>
  <c r="X10" i="83"/>
  <c r="X9" i="83"/>
  <c r="X8" i="83"/>
  <c r="X7" i="83"/>
  <c r="X6" i="83"/>
  <c r="X357" i="83"/>
  <c r="X4" i="83"/>
  <c r="X3" i="83"/>
  <c r="X2" i="83"/>
  <c r="V171" i="83"/>
  <c r="V149" i="83"/>
  <c r="V344" i="83"/>
  <c r="V343" i="83"/>
  <c r="V578" i="83"/>
  <c r="V569" i="83"/>
  <c r="V449" i="83"/>
  <c r="V571" i="83"/>
  <c r="V570" i="83"/>
  <c r="V213" i="83"/>
  <c r="V526" i="83"/>
  <c r="V267" i="83"/>
  <c r="V193" i="83"/>
  <c r="V172" i="83"/>
  <c r="V150" i="83"/>
  <c r="V485" i="83"/>
  <c r="V454" i="83"/>
  <c r="V253" i="83"/>
  <c r="V501" i="83"/>
  <c r="V61" i="83"/>
  <c r="V563" i="83"/>
  <c r="Z563" i="83" s="1"/>
  <c r="V62" i="83"/>
  <c r="V577" i="83"/>
  <c r="V520" i="83"/>
  <c r="V89" i="83"/>
  <c r="Z89" i="83" s="1"/>
  <c r="V48" i="83"/>
  <c r="V592" i="83"/>
  <c r="Z592" i="83" s="1"/>
  <c r="V72" i="83"/>
  <c r="Z72" i="83" s="1"/>
  <c r="V103" i="83"/>
  <c r="Z103" i="83" s="1"/>
  <c r="V528" i="83"/>
  <c r="Z528" i="83" s="1"/>
  <c r="V56" i="83"/>
  <c r="Z56" i="83" s="1"/>
  <c r="V353" i="83"/>
  <c r="Z353" i="83" s="1"/>
  <c r="V356" i="83"/>
  <c r="Z356" i="83" s="1"/>
  <c r="V355" i="83"/>
  <c r="Z355" i="83" s="1"/>
  <c r="V363" i="83"/>
  <c r="Z363" i="83" s="1"/>
  <c r="V360" i="83"/>
  <c r="Z360" i="83" s="1"/>
  <c r="V374" i="83"/>
  <c r="Z374" i="83" s="1"/>
  <c r="V228" i="83"/>
  <c r="V362" i="83"/>
  <c r="Z362" i="83" s="1"/>
  <c r="V167" i="83"/>
  <c r="Z167" i="83" s="1"/>
  <c r="V168" i="83"/>
  <c r="Z168" i="83" s="1"/>
  <c r="V188" i="83"/>
  <c r="Z188" i="83" s="1"/>
  <c r="V359" i="83"/>
  <c r="Z359" i="83" s="1"/>
  <c r="V461" i="83"/>
  <c r="Z461" i="83" s="1"/>
  <c r="V315" i="83"/>
  <c r="Z315" i="83" s="1"/>
  <c r="V204" i="83"/>
  <c r="V536" i="83"/>
  <c r="V472" i="83"/>
  <c r="Z472" i="83" s="1"/>
  <c r="V375" i="83"/>
  <c r="Z375" i="83" s="1"/>
  <c r="V102" i="83"/>
  <c r="Z102" i="83" s="1"/>
  <c r="V169" i="83"/>
  <c r="Z169" i="83" s="1"/>
  <c r="V146" i="83"/>
  <c r="Z146" i="83" s="1"/>
  <c r="V170" i="83"/>
  <c r="Z170" i="83" s="1"/>
  <c r="V147" i="83"/>
  <c r="Z147" i="83" s="1"/>
  <c r="V468" i="83"/>
  <c r="Z468" i="83" s="1"/>
  <c r="V463" i="83"/>
  <c r="Z463" i="83" s="1"/>
  <c r="V464" i="83"/>
  <c r="Z464" i="83" s="1"/>
  <c r="V440" i="83"/>
  <c r="Z440" i="83" s="1"/>
  <c r="V431" i="83"/>
  <c r="Z431" i="83" s="1"/>
  <c r="V273" i="83"/>
  <c r="Z273" i="83" s="1"/>
  <c r="V500" i="83"/>
  <c r="Z500" i="83" s="1"/>
  <c r="V57" i="83"/>
  <c r="Z57" i="83" s="1"/>
  <c r="V572" i="83"/>
  <c r="Z572" i="83" s="1"/>
  <c r="V519" i="83"/>
  <c r="Z519" i="83" s="1"/>
  <c r="V439" i="83"/>
  <c r="Z439" i="83" s="1"/>
  <c r="V347" i="83"/>
  <c r="Z347" i="83" s="1"/>
  <c r="V142" i="83"/>
  <c r="Z142" i="83" s="1"/>
  <c r="V229" i="83"/>
  <c r="V514" i="83"/>
  <c r="V513" i="83"/>
  <c r="V512" i="83"/>
  <c r="V511" i="83"/>
  <c r="V493" i="83"/>
  <c r="V492" i="83"/>
  <c r="V46" i="83"/>
  <c r="V394" i="83"/>
  <c r="V45" i="83"/>
  <c r="V47" i="83"/>
  <c r="V491" i="83"/>
  <c r="V216" i="83"/>
  <c r="V547" i="83"/>
  <c r="Z547" i="83" s="1"/>
  <c r="V224" i="83"/>
  <c r="V263" i="83"/>
  <c r="Z263" i="83" s="1"/>
  <c r="V132" i="83"/>
  <c r="Z132" i="83" s="1"/>
  <c r="V133" i="83"/>
  <c r="Z133" i="83" s="1"/>
  <c r="V497" i="83"/>
  <c r="V494" i="83"/>
  <c r="V504" i="83"/>
  <c r="V496" i="83"/>
  <c r="V510" i="83"/>
  <c r="V505" i="83"/>
  <c r="V495" i="83"/>
  <c r="V200" i="83"/>
  <c r="V335" i="83"/>
  <c r="Z335" i="83" s="1"/>
  <c r="V373" i="83"/>
  <c r="Z373" i="83" s="1"/>
  <c r="V599" i="83"/>
  <c r="Z599" i="83" s="1"/>
  <c r="V249" i="83"/>
  <c r="Z249" i="83" s="1"/>
  <c r="V183" i="83"/>
  <c r="Z183" i="83" s="1"/>
  <c r="V186" i="83"/>
  <c r="Z186" i="83" s="1"/>
  <c r="V162" i="83"/>
  <c r="Z162" i="83" s="1"/>
  <c r="V215" i="83"/>
  <c r="V551" i="83"/>
  <c r="Z551" i="83" s="1"/>
  <c r="V185" i="83"/>
  <c r="Z185" i="83" s="1"/>
  <c r="V189" i="83"/>
  <c r="Z189" i="83" s="1"/>
  <c r="V453" i="83"/>
  <c r="Z453" i="83" s="1"/>
  <c r="V154" i="83"/>
  <c r="Z154" i="83" s="1"/>
  <c r="V562" i="83"/>
  <c r="Z562" i="83" s="1"/>
  <c r="V588" i="83"/>
  <c r="Z588" i="83" s="1"/>
  <c r="V529" i="83"/>
  <c r="Z529" i="83" s="1"/>
  <c r="V69" i="83"/>
  <c r="Z69" i="83" s="1"/>
  <c r="V297" i="83"/>
  <c r="Z297" i="83" s="1"/>
  <c r="V475" i="83"/>
  <c r="Z475" i="83" s="1"/>
  <c r="V145" i="83"/>
  <c r="Z145" i="83" s="1"/>
  <c r="V81" i="83"/>
  <c r="Z81" i="83" s="1"/>
  <c r="V401" i="83"/>
  <c r="Z401" i="83" s="1"/>
  <c r="V429" i="83"/>
  <c r="Z429" i="83" s="1"/>
  <c r="V96" i="83"/>
  <c r="Z96" i="83" s="1"/>
  <c r="V477" i="83"/>
  <c r="Z477" i="83" s="1"/>
  <c r="V129" i="83"/>
  <c r="Z129" i="83" s="1"/>
  <c r="V127" i="83"/>
  <c r="Z127" i="83" s="1"/>
  <c r="V122" i="83"/>
  <c r="Z122" i="83" s="1"/>
  <c r="V92" i="83"/>
  <c r="Z92" i="83" s="1"/>
  <c r="V217" i="83"/>
  <c r="V144" i="83"/>
  <c r="Z144" i="83" s="1"/>
  <c r="V329" i="83"/>
  <c r="Z329" i="83" s="1"/>
  <c r="V567" i="83"/>
  <c r="Z567" i="83" s="1"/>
  <c r="V469" i="83"/>
  <c r="Z469" i="83" s="1"/>
  <c r="V118" i="83"/>
  <c r="Z118" i="83" s="1"/>
  <c r="V235" i="83"/>
  <c r="V184" i="83"/>
  <c r="Z184" i="83" s="1"/>
  <c r="V415" i="83"/>
  <c r="Z415" i="83" s="1"/>
  <c r="V386" i="83"/>
  <c r="Z386" i="83" s="1"/>
  <c r="V379" i="83"/>
  <c r="Z379" i="83" s="1"/>
  <c r="V380" i="83"/>
  <c r="Z380" i="83" s="1"/>
  <c r="V381" i="83"/>
  <c r="Z381" i="83" s="1"/>
  <c r="V190" i="83"/>
  <c r="Z190" i="83" s="1"/>
  <c r="V408" i="83"/>
  <c r="Z408" i="83" s="1"/>
  <c r="V338" i="83"/>
  <c r="Z338" i="83" s="1"/>
  <c r="V427" i="83"/>
  <c r="Z427" i="83" s="1"/>
  <c r="V459" i="83"/>
  <c r="Z459" i="83" s="1"/>
  <c r="V406" i="83"/>
  <c r="Z406" i="83" s="1"/>
  <c r="V566" i="83"/>
  <c r="Z566" i="83" s="1"/>
  <c r="V564" i="83"/>
  <c r="Z564" i="83" s="1"/>
  <c r="V143" i="83"/>
  <c r="Z143" i="83" s="1"/>
  <c r="V368" i="83"/>
  <c r="Z368" i="83" s="1"/>
  <c r="V371" i="83"/>
  <c r="Z371" i="83" s="1"/>
  <c r="V161" i="83"/>
  <c r="Z161" i="83" s="1"/>
  <c r="V411" i="83"/>
  <c r="Z411" i="83" s="1"/>
  <c r="V434" i="83"/>
  <c r="V389" i="83"/>
  <c r="Z389" i="83" s="1"/>
  <c r="V417" i="83"/>
  <c r="Z417" i="83" s="1"/>
  <c r="V587" i="83"/>
  <c r="Z587" i="83" s="1"/>
  <c r="V474" i="83"/>
  <c r="Z474" i="83" s="1"/>
  <c r="V575" i="83"/>
  <c r="Z575" i="83" s="1"/>
  <c r="V187" i="83"/>
  <c r="Z187" i="83" s="1"/>
  <c r="V108" i="83"/>
  <c r="Z108" i="83" s="1"/>
  <c r="V126" i="83"/>
  <c r="Z126" i="83" s="1"/>
  <c r="V245" i="83"/>
  <c r="V99" i="83"/>
  <c r="Z99" i="83" s="1"/>
  <c r="V79" i="83"/>
  <c r="Z79" i="83" s="1"/>
  <c r="V78" i="83"/>
  <c r="Z78" i="83" s="1"/>
  <c r="V490" i="83"/>
  <c r="Z490" i="83" s="1"/>
  <c r="V396" i="83"/>
  <c r="Z396" i="83" s="1"/>
  <c r="V398" i="83"/>
  <c r="Z398" i="83" s="1"/>
  <c r="V227" i="83"/>
  <c r="V423" i="83"/>
  <c r="Z423" i="83" s="1"/>
  <c r="V554" i="83"/>
  <c r="Z554" i="83" s="1"/>
  <c r="V233" i="83"/>
  <c r="V568" i="83"/>
  <c r="Z568" i="83" s="1"/>
  <c r="V460" i="83"/>
  <c r="Z460" i="83" s="1"/>
  <c r="V378" i="83"/>
  <c r="Z378" i="83" s="1"/>
  <c r="V385" i="83"/>
  <c r="V382" i="83"/>
  <c r="Z382" i="83" s="1"/>
  <c r="V41" i="83"/>
  <c r="Z41" i="83" s="1"/>
  <c r="V211" i="83"/>
  <c r="V209" i="83"/>
  <c r="V85" i="83"/>
  <c r="Z85" i="83" s="1"/>
  <c r="V84" i="83"/>
  <c r="Z84" i="83" s="1"/>
  <c r="V596" i="83"/>
  <c r="Z596" i="83" s="1"/>
  <c r="V574" i="83"/>
  <c r="Z574" i="83" s="1"/>
  <c r="V530" i="83"/>
  <c r="Z530" i="83" s="1"/>
  <c r="V354" i="83"/>
  <c r="Z354" i="83" s="1"/>
  <c r="V352" i="83"/>
  <c r="Z352" i="83" s="1"/>
  <c r="V367" i="83"/>
  <c r="Z367" i="83" s="1"/>
  <c r="V303" i="83"/>
  <c r="Z303" i="83" s="1"/>
  <c r="V241" i="83"/>
  <c r="V239" i="83"/>
  <c r="V153" i="83"/>
  <c r="Z153" i="83" s="1"/>
  <c r="V11" i="83"/>
  <c r="V231" i="83"/>
  <c r="V244" i="83"/>
  <c r="V155" i="83"/>
  <c r="Z155" i="83" s="1"/>
  <c r="V388" i="83"/>
  <c r="Z388" i="83" s="1"/>
  <c r="V230" i="83"/>
  <c r="V164" i="83"/>
  <c r="Z164" i="83" s="1"/>
  <c r="V594" i="83"/>
  <c r="Z594" i="83" s="1"/>
  <c r="V351" i="83"/>
  <c r="Z351" i="83" s="1"/>
  <c r="V470" i="83"/>
  <c r="Z470" i="83" s="1"/>
  <c r="V384" i="83"/>
  <c r="V383" i="83"/>
  <c r="V428" i="83"/>
  <c r="Z428" i="83" s="1"/>
  <c r="V350" i="83"/>
  <c r="Z350" i="83" s="1"/>
  <c r="V565" i="83"/>
  <c r="Z565" i="83" s="1"/>
  <c r="V236" i="83"/>
  <c r="V240" i="83"/>
  <c r="V455" i="83"/>
  <c r="Z455" i="83" s="1"/>
  <c r="V410" i="83"/>
  <c r="Z410" i="83" s="1"/>
  <c r="V561" i="83"/>
  <c r="Z561" i="83" s="1"/>
  <c r="V560" i="83"/>
  <c r="Z560" i="83" s="1"/>
  <c r="V580" i="83"/>
  <c r="Z580" i="83" s="1"/>
  <c r="V68" i="83"/>
  <c r="Z68" i="83" s="1"/>
  <c r="V252" i="83"/>
  <c r="Z252" i="83" s="1"/>
  <c r="V522" i="83"/>
  <c r="Z522" i="83" s="1"/>
  <c r="V521" i="83"/>
  <c r="Z521" i="83" s="1"/>
  <c r="V259" i="83"/>
  <c r="Z259" i="83" s="1"/>
  <c r="V265" i="83"/>
  <c r="Z265" i="83" s="1"/>
  <c r="V581" i="83"/>
  <c r="Z581" i="83" s="1"/>
  <c r="V55" i="83"/>
  <c r="Z55" i="83" s="1"/>
  <c r="V220" i="83"/>
  <c r="V157" i="83"/>
  <c r="Z157" i="83" s="1"/>
  <c r="V165" i="83"/>
  <c r="Z165" i="83" s="1"/>
  <c r="V159" i="83"/>
  <c r="Z159" i="83" s="1"/>
  <c r="V160" i="83"/>
  <c r="Z160" i="83" s="1"/>
  <c r="V546" i="83"/>
  <c r="Z546" i="83" s="1"/>
  <c r="V545" i="83"/>
  <c r="Z545" i="83" s="1"/>
  <c r="V336" i="83"/>
  <c r="Z336" i="83" s="1"/>
  <c r="V340" i="83"/>
  <c r="Z340" i="83" s="1"/>
  <c r="V130" i="83"/>
  <c r="Z130" i="83" s="1"/>
  <c r="V128" i="83"/>
  <c r="Z128" i="83" s="1"/>
  <c r="V481" i="83"/>
  <c r="Z481" i="83" s="1"/>
  <c r="V476" i="83"/>
  <c r="Z476" i="83" s="1"/>
  <c r="V559" i="83"/>
  <c r="Z559" i="83" s="1"/>
  <c r="V71" i="83"/>
  <c r="Z71" i="83" s="1"/>
  <c r="V437" i="83"/>
  <c r="Z437" i="83" s="1"/>
  <c r="V97" i="83"/>
  <c r="Z97" i="83" s="1"/>
  <c r="V95" i="83"/>
  <c r="Z95" i="83" s="1"/>
  <c r="V212" i="83"/>
  <c r="V365" i="83"/>
  <c r="Z365" i="83" s="1"/>
  <c r="V326" i="83"/>
  <c r="Z326" i="83" s="1"/>
  <c r="V364" i="83"/>
  <c r="Z364" i="83" s="1"/>
  <c r="V342" i="83"/>
  <c r="V337" i="83"/>
  <c r="Z337" i="83" s="1"/>
  <c r="V413" i="83"/>
  <c r="Z413" i="83" s="1"/>
  <c r="V339" i="83"/>
  <c r="V320" i="83"/>
  <c r="Z320" i="83" s="1"/>
  <c r="V205" i="83"/>
  <c r="V370" i="83"/>
  <c r="Z370" i="83" s="1"/>
  <c r="V480" i="83"/>
  <c r="Z480" i="83" s="1"/>
  <c r="V134" i="83"/>
  <c r="Z134" i="83" s="1"/>
  <c r="V266" i="83"/>
  <c r="Z266" i="83" s="1"/>
  <c r="V258" i="83"/>
  <c r="Z258" i="83" s="1"/>
  <c r="V268" i="83"/>
  <c r="Z268" i="83" s="1"/>
  <c r="V66" i="83"/>
  <c r="Z66" i="83" s="1"/>
  <c r="V63" i="83"/>
  <c r="Z63" i="83" s="1"/>
  <c r="V552" i="83"/>
  <c r="Z552" i="83" s="1"/>
  <c r="V327" i="83"/>
  <c r="V280" i="83"/>
  <c r="Z280" i="83" s="1"/>
  <c r="V313" i="83"/>
  <c r="Z313" i="83" s="1"/>
  <c r="V312" i="83"/>
  <c r="Z312" i="83" s="1"/>
  <c r="V314" i="83"/>
  <c r="Z314" i="83" s="1"/>
  <c r="V402" i="83"/>
  <c r="Z402" i="83" s="1"/>
  <c r="V163" i="83"/>
  <c r="Z163" i="83" s="1"/>
  <c r="V195" i="83"/>
  <c r="V447" i="83"/>
  <c r="Z447" i="83" s="1"/>
  <c r="V64" i="83"/>
  <c r="Z64" i="83" s="1"/>
  <c r="V59" i="83"/>
  <c r="Z59" i="83" s="1"/>
  <c r="V598" i="83"/>
  <c r="Z598" i="83" s="1"/>
  <c r="V191" i="83"/>
  <c r="Z191" i="83" s="1"/>
  <c r="V446" i="83"/>
  <c r="Z446" i="83" s="1"/>
  <c r="V393" i="83"/>
  <c r="Z393" i="83" s="1"/>
  <c r="V304" i="83"/>
  <c r="Z304" i="83" s="1"/>
  <c r="V310" i="83"/>
  <c r="Z310" i="83" s="1"/>
  <c r="V391" i="83"/>
  <c r="Z391" i="83" s="1"/>
  <c r="V276" i="83"/>
  <c r="Z276" i="83" s="1"/>
  <c r="V444" i="83"/>
  <c r="Z444" i="83" s="1"/>
  <c r="V445" i="83"/>
  <c r="Z445" i="83" s="1"/>
  <c r="V450" i="83"/>
  <c r="Z450" i="83" s="1"/>
  <c r="V311" i="83"/>
  <c r="Z311" i="83" s="1"/>
  <c r="V197" i="83"/>
  <c r="V403" i="83"/>
  <c r="Z403" i="83" s="1"/>
  <c r="V349" i="83"/>
  <c r="Z349" i="83" s="1"/>
  <c r="V387" i="83"/>
  <c r="Z387" i="83" s="1"/>
  <c r="V376" i="83"/>
  <c r="Z376" i="83" s="1"/>
  <c r="V206" i="83"/>
  <c r="V91" i="83"/>
  <c r="Z91" i="83" s="1"/>
  <c r="V274" i="83"/>
  <c r="Z274" i="83" s="1"/>
  <c r="V296" i="83"/>
  <c r="V295" i="83"/>
  <c r="V293" i="83"/>
  <c r="Z293" i="83" s="1"/>
  <c r="V40" i="83"/>
  <c r="Z40" i="83" s="1"/>
  <c r="V550" i="83"/>
  <c r="Z550" i="83" s="1"/>
  <c r="V549" i="83"/>
  <c r="Z549" i="83" s="1"/>
  <c r="V232" i="83"/>
  <c r="V289" i="83"/>
  <c r="V288" i="83"/>
  <c r="V287" i="83"/>
  <c r="V286" i="83"/>
  <c r="V285" i="83"/>
  <c r="V284" i="83"/>
  <c r="V421" i="83"/>
  <c r="Z421" i="83" s="1"/>
  <c r="V261" i="83"/>
  <c r="Z261" i="83" s="1"/>
  <c r="V548" i="83"/>
  <c r="Z548" i="83" s="1"/>
  <c r="V248" i="83"/>
  <c r="V294" i="83"/>
  <c r="Z294" i="83" s="1"/>
  <c r="V369" i="83"/>
  <c r="Z369" i="83" s="1"/>
  <c r="V471" i="83"/>
  <c r="Z471" i="83" s="1"/>
  <c r="V202" i="83"/>
  <c r="V462" i="83"/>
  <c r="Z462" i="83" s="1"/>
  <c r="V465" i="83"/>
  <c r="Z465" i="83" s="1"/>
  <c r="V113" i="83"/>
  <c r="Z113" i="83" s="1"/>
  <c r="V101" i="83"/>
  <c r="Z101" i="83" s="1"/>
  <c r="V430" i="83"/>
  <c r="Z430" i="83" s="1"/>
  <c r="V576" i="83"/>
  <c r="Z576" i="83" s="1"/>
  <c r="V176" i="83"/>
  <c r="Z176" i="83" s="1"/>
  <c r="V177" i="83"/>
  <c r="Z177" i="83" s="1"/>
  <c r="V275" i="83"/>
  <c r="Z275" i="83" s="1"/>
  <c r="V377" i="83"/>
  <c r="Z377" i="83" s="1"/>
  <c r="V272" i="83"/>
  <c r="Z272" i="83" s="1"/>
  <c r="V483" i="83"/>
  <c r="Z483" i="83" s="1"/>
  <c r="V175" i="83"/>
  <c r="Z175" i="83" s="1"/>
  <c r="V502" i="83"/>
  <c r="Z502" i="83" s="1"/>
  <c r="V260" i="83"/>
  <c r="Z260" i="83" s="1"/>
  <c r="V246" i="83"/>
  <c r="V555" i="83"/>
  <c r="Z555" i="83" s="1"/>
  <c r="V467" i="83"/>
  <c r="Z467" i="83" s="1"/>
  <c r="V466" i="83"/>
  <c r="Z466" i="83" s="1"/>
  <c r="V422" i="83"/>
  <c r="Z422" i="83" s="1"/>
  <c r="V579" i="83"/>
  <c r="Z579" i="83" s="1"/>
  <c r="V400" i="83"/>
  <c r="Z400" i="83" s="1"/>
  <c r="V399" i="83"/>
  <c r="Z399" i="83" s="1"/>
  <c r="V179" i="83"/>
  <c r="Z179" i="83" s="1"/>
  <c r="V473" i="83"/>
  <c r="Z473" i="83" s="1"/>
  <c r="V90" i="83"/>
  <c r="Z90" i="83" s="1"/>
  <c r="V87" i="83"/>
  <c r="Z87" i="83" s="1"/>
  <c r="V479" i="83"/>
  <c r="Z479" i="83" s="1"/>
  <c r="V82" i="83"/>
  <c r="Z82" i="83" s="1"/>
  <c r="V346" i="83"/>
  <c r="Z346" i="83" s="1"/>
  <c r="V558" i="83"/>
  <c r="Z558" i="83" s="1"/>
  <c r="V540" i="83"/>
  <c r="Z540" i="83" s="1"/>
  <c r="V331" i="83"/>
  <c r="Z331" i="83" s="1"/>
  <c r="V242" i="83"/>
  <c r="V438" i="83"/>
  <c r="Z438" i="83" s="1"/>
  <c r="V281" i="83"/>
  <c r="Z281" i="83" s="1"/>
  <c r="V524" i="83"/>
  <c r="Z524" i="83" s="1"/>
  <c r="V238" i="83"/>
  <c r="V237" i="83"/>
  <c r="V114" i="83"/>
  <c r="Z114" i="83" s="1"/>
  <c r="V516" i="83"/>
  <c r="Z516" i="83" s="1"/>
  <c r="V264" i="83"/>
  <c r="Z264" i="83" s="1"/>
  <c r="V255" i="83"/>
  <c r="Z255" i="83" s="1"/>
  <c r="V424" i="83"/>
  <c r="Z424" i="83" s="1"/>
  <c r="V538" i="83"/>
  <c r="Z538" i="83" s="1"/>
  <c r="V86" i="83"/>
  <c r="Z86" i="83" s="1"/>
  <c r="V553" i="83"/>
  <c r="Z553" i="83" s="1"/>
  <c r="V478" i="83"/>
  <c r="Z478" i="83" s="1"/>
  <c r="V80" i="83"/>
  <c r="Z80" i="83" s="1"/>
  <c r="V539" i="83"/>
  <c r="Z539" i="83" s="1"/>
  <c r="V537" i="83"/>
  <c r="Z537" i="83" s="1"/>
  <c r="V535" i="83"/>
  <c r="Z535" i="83" s="1"/>
  <c r="V395" i="83"/>
  <c r="Z395" i="83" s="1"/>
  <c r="V222" i="83"/>
  <c r="V223" i="83"/>
  <c r="V221" i="83"/>
  <c r="V544" i="83"/>
  <c r="Z544" i="83" s="1"/>
  <c r="V541" i="83"/>
  <c r="Z541" i="83" s="1"/>
  <c r="V192" i="83"/>
  <c r="V218" i="83"/>
  <c r="V219" i="83"/>
  <c r="V174" i="83"/>
  <c r="Z174" i="83" s="1"/>
  <c r="V392" i="83"/>
  <c r="Z392" i="83" s="1"/>
  <c r="V290" i="83"/>
  <c r="Z290" i="83" s="1"/>
  <c r="V498" i="83"/>
  <c r="Z498" i="83" s="1"/>
  <c r="V484" i="83"/>
  <c r="Z484" i="83" s="1"/>
  <c r="V119" i="83"/>
  <c r="Z119" i="83" s="1"/>
  <c r="V597" i="83"/>
  <c r="Z597" i="83" s="1"/>
  <c r="V178" i="83"/>
  <c r="Z178" i="83" s="1"/>
  <c r="V243" i="83"/>
  <c r="V420" i="83"/>
  <c r="Z420" i="83" s="1"/>
  <c r="V419" i="83"/>
  <c r="Z419" i="83" s="1"/>
  <c r="V348" i="83"/>
  <c r="Z348" i="83" s="1"/>
  <c r="V67" i="83"/>
  <c r="Z67" i="83" s="1"/>
  <c r="V302" i="83"/>
  <c r="Z302" i="83" s="1"/>
  <c r="V435" i="83"/>
  <c r="Z435" i="83" s="1"/>
  <c r="V5" i="83"/>
  <c r="Z5" i="83" s="1"/>
  <c r="V104" i="83"/>
  <c r="Z104" i="83" s="1"/>
  <c r="V301" i="83"/>
  <c r="Z301" i="83" s="1"/>
  <c r="V210" i="83"/>
  <c r="V234" i="83"/>
  <c r="V534" i="83"/>
  <c r="Z534" i="83" s="1"/>
  <c r="V250" i="83"/>
  <c r="Z250" i="83" s="1"/>
  <c r="V199" i="83"/>
  <c r="V120" i="83"/>
  <c r="Z120" i="83" s="1"/>
  <c r="V115" i="83"/>
  <c r="Z115" i="83" s="1"/>
  <c r="V121" i="83"/>
  <c r="Z121" i="83" s="1"/>
  <c r="V433" i="83"/>
  <c r="Z433" i="83" s="1"/>
  <c r="V503" i="83"/>
  <c r="Z503" i="83" s="1"/>
  <c r="V418" i="83"/>
  <c r="Z418" i="83" s="1"/>
  <c r="V515" i="83"/>
  <c r="Z515" i="83" s="1"/>
  <c r="V517" i="83"/>
  <c r="Z517" i="83" s="1"/>
  <c r="V298" i="83"/>
  <c r="Z298" i="83" s="1"/>
  <c r="V203" i="83"/>
  <c r="V117" i="83"/>
  <c r="Z117" i="83" s="1"/>
  <c r="V330" i="83"/>
  <c r="Z330" i="83" s="1"/>
  <c r="V328" i="83"/>
  <c r="Z328" i="83" s="1"/>
  <c r="V208" i="83"/>
  <c r="V207" i="83"/>
  <c r="V487" i="83"/>
  <c r="Z487" i="83" s="1"/>
  <c r="V456" i="83"/>
  <c r="Z456" i="83" s="1"/>
  <c r="V136" i="83"/>
  <c r="Z136" i="83" s="1"/>
  <c r="V173" i="83"/>
  <c r="V123" i="83"/>
  <c r="Z123" i="83" s="1"/>
  <c r="V488" i="83"/>
  <c r="Z488" i="83" s="1"/>
  <c r="V457" i="83"/>
  <c r="Z457" i="83" s="1"/>
  <c r="V137" i="83"/>
  <c r="Z137" i="83" s="1"/>
  <c r="V124" i="83"/>
  <c r="Z124" i="83" s="1"/>
  <c r="V489" i="83"/>
  <c r="Z489" i="83" s="1"/>
  <c r="V458" i="83"/>
  <c r="Z458" i="83" s="1"/>
  <c r="V138" i="83"/>
  <c r="Z138" i="83" s="1"/>
  <c r="V226" i="83"/>
  <c r="V225" i="83"/>
  <c r="V125" i="83"/>
  <c r="Z125" i="83" s="1"/>
  <c r="V111" i="83"/>
  <c r="Z111" i="83" s="1"/>
  <c r="V109" i="83"/>
  <c r="Z109" i="83" s="1"/>
  <c r="V166" i="83"/>
  <c r="Z166" i="83" s="1"/>
  <c r="V158" i="83"/>
  <c r="V110" i="83"/>
  <c r="Z110" i="83" s="1"/>
  <c r="V156" i="83"/>
  <c r="V532" i="83"/>
  <c r="Z532" i="83" s="1"/>
  <c r="V194" i="83"/>
  <c r="Z194" i="83" s="1"/>
  <c r="V269" i="83"/>
  <c r="Z269" i="83" s="1"/>
  <c r="V152" i="83"/>
  <c r="V151" i="83"/>
  <c r="V531" i="83"/>
  <c r="Z531" i="83" s="1"/>
  <c r="V600" i="83"/>
  <c r="Z600" i="83" s="1"/>
  <c r="V589" i="83"/>
  <c r="Z589" i="83" s="1"/>
  <c r="V148" i="83"/>
  <c r="Z148" i="83" s="1"/>
  <c r="V409" i="83"/>
  <c r="Z409" i="83" s="1"/>
  <c r="V341" i="83"/>
  <c r="Z341" i="83" s="1"/>
  <c r="V525" i="83"/>
  <c r="Z525" i="83" s="1"/>
  <c r="V499" i="83"/>
  <c r="Z499" i="83" s="1"/>
  <c r="V112" i="83"/>
  <c r="Z112" i="83" s="1"/>
  <c r="V291" i="83"/>
  <c r="Z291" i="83" s="1"/>
  <c r="V586" i="83"/>
  <c r="Z586" i="83" s="1"/>
  <c r="V591" i="83"/>
  <c r="Z591" i="83" s="1"/>
  <c r="V590" i="83"/>
  <c r="Z590" i="83" s="1"/>
  <c r="V583" i="83"/>
  <c r="Z583" i="83" s="1"/>
  <c r="V279" i="83"/>
  <c r="Z279" i="83" s="1"/>
  <c r="V278" i="83"/>
  <c r="Z278" i="83" s="1"/>
  <c r="V283" i="83"/>
  <c r="Z283" i="83" s="1"/>
  <c r="V282" i="83"/>
  <c r="Z282" i="83" s="1"/>
  <c r="V332" i="83"/>
  <c r="Z332" i="83" s="1"/>
  <c r="V404" i="83"/>
  <c r="Z404" i="83" s="1"/>
  <c r="V397" i="83"/>
  <c r="Z397" i="83" s="1"/>
  <c r="V93" i="83"/>
  <c r="Z93" i="83" s="1"/>
  <c r="V105" i="83"/>
  <c r="Z105" i="83" s="1"/>
  <c r="V106" i="83"/>
  <c r="Z106" i="83" s="1"/>
  <c r="V405" i="83"/>
  <c r="Z405" i="83" s="1"/>
  <c r="V518" i="83"/>
  <c r="Z518" i="83" s="1"/>
  <c r="V425" i="83"/>
  <c r="Z425" i="83" s="1"/>
  <c r="V414" i="83"/>
  <c r="Z414" i="83" s="1"/>
  <c r="V256" i="83"/>
  <c r="Z256" i="83" s="1"/>
  <c r="V416" i="83"/>
  <c r="Z416" i="83" s="1"/>
  <c r="V602" i="83"/>
  <c r="Z602" i="83" s="1"/>
  <c r="V390" i="83"/>
  <c r="Z390" i="83" s="1"/>
  <c r="V198" i="83"/>
  <c r="V116" i="83"/>
  <c r="Z116" i="83" s="1"/>
  <c r="V582" i="83"/>
  <c r="Z582" i="83" s="1"/>
  <c r="V527" i="83"/>
  <c r="Z527" i="83" s="1"/>
  <c r="V595" i="83"/>
  <c r="Z595" i="83" s="1"/>
  <c r="V533" i="83"/>
  <c r="Z533" i="83" s="1"/>
  <c r="V557" i="83"/>
  <c r="V73" i="83"/>
  <c r="Z73" i="83" s="1"/>
  <c r="V60" i="83"/>
  <c r="Z60" i="83" s="1"/>
  <c r="V432" i="83"/>
  <c r="Z432" i="83" s="1"/>
  <c r="V366" i="83"/>
  <c r="Z366" i="83" s="1"/>
  <c r="V345" i="83"/>
  <c r="Z345" i="83" s="1"/>
  <c r="V201" i="83"/>
  <c r="Z201" i="83" s="1"/>
  <c r="V323" i="83"/>
  <c r="Z323" i="83" s="1"/>
  <c r="V316" i="83"/>
  <c r="Z316" i="83" s="1"/>
  <c r="V317" i="83"/>
  <c r="Z317" i="83" s="1"/>
  <c r="V319" i="83"/>
  <c r="Z319" i="83" s="1"/>
  <c r="V318" i="83"/>
  <c r="Z318" i="83" s="1"/>
  <c r="V325" i="83"/>
  <c r="Z325" i="83" s="1"/>
  <c r="V321" i="83"/>
  <c r="Z321" i="83" s="1"/>
  <c r="V322" i="83"/>
  <c r="Z322" i="83" s="1"/>
  <c r="V324" i="83"/>
  <c r="Z324" i="83" s="1"/>
  <c r="V601" i="83"/>
  <c r="Z601" i="83" s="1"/>
  <c r="V482" i="83"/>
  <c r="Z482" i="83" s="1"/>
  <c r="V254" i="83"/>
  <c r="Z254" i="83" s="1"/>
  <c r="V257" i="83"/>
  <c r="Z257" i="83" s="1"/>
  <c r="V214" i="83"/>
  <c r="V271" i="83"/>
  <c r="Z271" i="83" s="1"/>
  <c r="V277" i="83"/>
  <c r="Z277" i="83" s="1"/>
  <c r="V247" i="83"/>
  <c r="V299" i="83"/>
  <c r="Z299" i="83" s="1"/>
  <c r="V584" i="83"/>
  <c r="Z584" i="83" s="1"/>
  <c r="V139" i="83"/>
  <c r="Z139" i="83" s="1"/>
  <c r="V141" i="83"/>
  <c r="Z141" i="83" s="1"/>
  <c r="V131" i="83"/>
  <c r="Z131" i="83" s="1"/>
  <c r="V135" i="83"/>
  <c r="Z135" i="83" s="1"/>
  <c r="V140" i="83"/>
  <c r="Z140" i="83" s="1"/>
  <c r="V593" i="83"/>
  <c r="Z593" i="83" s="1"/>
  <c r="V573" i="83"/>
  <c r="Z573" i="83" s="1"/>
  <c r="V443" i="83"/>
  <c r="Z443" i="83" s="1"/>
  <c r="V88" i="83"/>
  <c r="Z88" i="83" s="1"/>
  <c r="V77" i="83"/>
  <c r="V76" i="83"/>
  <c r="V75" i="83"/>
  <c r="V74" i="83"/>
  <c r="V585" i="83"/>
  <c r="Z585" i="83" s="1"/>
  <c r="V196" i="83"/>
  <c r="V372" i="83"/>
  <c r="Z372" i="83" s="1"/>
  <c r="V58" i="83"/>
  <c r="Z58" i="83" s="1"/>
  <c r="V70" i="83"/>
  <c r="Z70" i="83" s="1"/>
  <c r="V448" i="83"/>
  <c r="Z448" i="83" s="1"/>
  <c r="V270" i="83"/>
  <c r="Z270" i="83" s="1"/>
  <c r="V98" i="83"/>
  <c r="Z98" i="83" s="1"/>
  <c r="V65" i="83"/>
  <c r="V451" i="83"/>
  <c r="Z451" i="83" s="1"/>
  <c r="V412" i="83"/>
  <c r="Z412" i="83" s="1"/>
  <c r="V486" i="83"/>
  <c r="Z486" i="83" s="1"/>
  <c r="V107" i="83"/>
  <c r="Z107" i="83" s="1"/>
  <c r="V407" i="83"/>
  <c r="Z407" i="83" s="1"/>
  <c r="V251" i="83"/>
  <c r="Z251" i="83" s="1"/>
  <c r="V523" i="83"/>
  <c r="Z523" i="83" s="1"/>
  <c r="V83" i="83"/>
  <c r="Z83" i="83" s="1"/>
  <c r="V442" i="83"/>
  <c r="Z442" i="83" s="1"/>
  <c r="V426" i="83"/>
  <c r="Z426" i="83" s="1"/>
  <c r="V54" i="83"/>
  <c r="V53" i="83"/>
  <c r="V52" i="83"/>
  <c r="V51" i="83"/>
  <c r="V50" i="83"/>
  <c r="V49" i="83"/>
  <c r="V556" i="83"/>
  <c r="Z556" i="83" s="1"/>
  <c r="V507" i="83"/>
  <c r="V508" i="83"/>
  <c r="V509" i="83"/>
  <c r="V44" i="83"/>
  <c r="V43" i="83"/>
  <c r="V42" i="83"/>
  <c r="V543" i="83"/>
  <c r="V542" i="83"/>
  <c r="V39" i="83"/>
  <c r="V38" i="83"/>
  <c r="V37" i="83"/>
  <c r="V36" i="83"/>
  <c r="V35" i="83"/>
  <c r="V34" i="83"/>
  <c r="V33" i="83"/>
  <c r="V32" i="83"/>
  <c r="V31" i="83"/>
  <c r="V30" i="83"/>
  <c r="V29" i="83"/>
  <c r="V28" i="83"/>
  <c r="V27" i="83"/>
  <c r="V26" i="83"/>
  <c r="V25" i="83"/>
  <c r="V24" i="83"/>
  <c r="V23" i="83"/>
  <c r="V22" i="83"/>
  <c r="V21" i="83"/>
  <c r="V20" i="83"/>
  <c r="V19" i="83"/>
  <c r="V18" i="83"/>
  <c r="V17" i="83"/>
  <c r="V16" i="83"/>
  <c r="V15" i="83"/>
  <c r="V14" i="83"/>
  <c r="V13" i="83"/>
  <c r="V12" i="83"/>
  <c r="V506" i="83"/>
  <c r="V8" i="83"/>
  <c r="V9" i="83"/>
  <c r="V10" i="83"/>
  <c r="V7" i="83"/>
  <c r="V6" i="83"/>
  <c r="V357" i="83"/>
  <c r="V4" i="83"/>
  <c r="V3" i="83"/>
  <c r="V2" i="83"/>
  <c r="AA2" i="83"/>
  <c r="AB2" i="83"/>
  <c r="AB357" i="83"/>
  <c r="AB6" i="83"/>
  <c r="AB7" i="83"/>
  <c r="AB8" i="83"/>
  <c r="AB9" i="83"/>
  <c r="AB10" i="83"/>
  <c r="AB506" i="83"/>
  <c r="AB12" i="83"/>
  <c r="AB13" i="83"/>
  <c r="AB14" i="83"/>
  <c r="AB15" i="83"/>
  <c r="AB16" i="83"/>
  <c r="AB17" i="83"/>
  <c r="AB18" i="83"/>
  <c r="AB19" i="83"/>
  <c r="AB20" i="83"/>
  <c r="AB21" i="83"/>
  <c r="AB22" i="83"/>
  <c r="AB23" i="83"/>
  <c r="AB24" i="83"/>
  <c r="AB25" i="83"/>
  <c r="AB26" i="83"/>
  <c r="AB27" i="83"/>
  <c r="AB28" i="83"/>
  <c r="AB29" i="83"/>
  <c r="AB30" i="83"/>
  <c r="AB31" i="83"/>
  <c r="AB32" i="83"/>
  <c r="AB33" i="83"/>
  <c r="AB34" i="83"/>
  <c r="AB35" i="83"/>
  <c r="AB36" i="83"/>
  <c r="AB37" i="83"/>
  <c r="AB38" i="83"/>
  <c r="AB39" i="83"/>
  <c r="AB542" i="83"/>
  <c r="AB543" i="83"/>
  <c r="AB42" i="83"/>
  <c r="AB43" i="83"/>
  <c r="AB44" i="83"/>
  <c r="AB509" i="83"/>
  <c r="AB508" i="83"/>
  <c r="AB507" i="83"/>
  <c r="AB48" i="83"/>
  <c r="AB49" i="83"/>
  <c r="AB50" i="83"/>
  <c r="AB51" i="83"/>
  <c r="AB52" i="83"/>
  <c r="AB53" i="83"/>
  <c r="AB54" i="83"/>
  <c r="AB55" i="83"/>
  <c r="AB56" i="83"/>
  <c r="AB57" i="83"/>
  <c r="AB58" i="83"/>
  <c r="AB59" i="83"/>
  <c r="AB60" i="83"/>
  <c r="AB61" i="83"/>
  <c r="AB62" i="83"/>
  <c r="AB63" i="83"/>
  <c r="AB64" i="83"/>
  <c r="AB65" i="83"/>
  <c r="AB66" i="83"/>
  <c r="AB67" i="83"/>
  <c r="AB68" i="83"/>
  <c r="AB69" i="83"/>
  <c r="AB70" i="83"/>
  <c r="AB71" i="83"/>
  <c r="AB72" i="83"/>
  <c r="AB73" i="83"/>
  <c r="AB74" i="83"/>
  <c r="AB75" i="83"/>
  <c r="AB76" i="83"/>
  <c r="AB77" i="83"/>
  <c r="AB78" i="83"/>
  <c r="AB79" i="83"/>
  <c r="AB80" i="83"/>
  <c r="AB81" i="83"/>
  <c r="AB82" i="83"/>
  <c r="AB83" i="83"/>
  <c r="AB84" i="83"/>
  <c r="AB85" i="83"/>
  <c r="AB86" i="83"/>
  <c r="AB87" i="83"/>
  <c r="AB88" i="83"/>
  <c r="AB89" i="83"/>
  <c r="AB90" i="83"/>
  <c r="AB91" i="83"/>
  <c r="AB92" i="83"/>
  <c r="AB93" i="83"/>
  <c r="AB94" i="83"/>
  <c r="AB95" i="83"/>
  <c r="AB96" i="83"/>
  <c r="AB97" i="83"/>
  <c r="AB98" i="83"/>
  <c r="AB99" i="83"/>
  <c r="AB100" i="83"/>
  <c r="AB101" i="83"/>
  <c r="AB102" i="83"/>
  <c r="AB103" i="83"/>
  <c r="AB104" i="83"/>
  <c r="AB105" i="83"/>
  <c r="AB106" i="83"/>
  <c r="AB356" i="83"/>
  <c r="AB108" i="83"/>
  <c r="AB109" i="83"/>
  <c r="AB110" i="83"/>
  <c r="AB111" i="83"/>
  <c r="AB112" i="83"/>
  <c r="AB113" i="83"/>
  <c r="AB114" i="83"/>
  <c r="AB115" i="83"/>
  <c r="AB116" i="83"/>
  <c r="AB117" i="83"/>
  <c r="AB118" i="83"/>
  <c r="AB119" i="83"/>
  <c r="AB120" i="83"/>
  <c r="AB121" i="83"/>
  <c r="AB122" i="83"/>
  <c r="AB123" i="83"/>
  <c r="AB124" i="83"/>
  <c r="AB125" i="83"/>
  <c r="AB126" i="83"/>
  <c r="AB127" i="83"/>
  <c r="AB128" i="83"/>
  <c r="AB129" i="83"/>
  <c r="AB130" i="83"/>
  <c r="AB131" i="83"/>
  <c r="AB180" i="83"/>
  <c r="AB133" i="83"/>
  <c r="AB134" i="83"/>
  <c r="AB135" i="83"/>
  <c r="AB136" i="83"/>
  <c r="AB137" i="83"/>
  <c r="AB138" i="83"/>
  <c r="AB139" i="83"/>
  <c r="AB140" i="83"/>
  <c r="AB141" i="83"/>
  <c r="AB142" i="83"/>
  <c r="AB143" i="83"/>
  <c r="AB144" i="83"/>
  <c r="AB344" i="83"/>
  <c r="AB146" i="83"/>
  <c r="AB214" i="83"/>
  <c r="AB148" i="83"/>
  <c r="AB149" i="83"/>
  <c r="AB150" i="83"/>
  <c r="AB151" i="83"/>
  <c r="AB152" i="83"/>
  <c r="AB153" i="83"/>
  <c r="AB154" i="83"/>
  <c r="AB155" i="83"/>
  <c r="AB156" i="83"/>
  <c r="AB157" i="83"/>
  <c r="AB158" i="83"/>
  <c r="AB395" i="83"/>
  <c r="AB160" i="83"/>
  <c r="AB161" i="83"/>
  <c r="AB162" i="83"/>
  <c r="AB163" i="83"/>
  <c r="AB164" i="83"/>
  <c r="AB165" i="83"/>
  <c r="AB166" i="83"/>
  <c r="AB167" i="83"/>
  <c r="AB168" i="83"/>
  <c r="AB169" i="83"/>
  <c r="AB170" i="83"/>
  <c r="AB171" i="83"/>
  <c r="AB172" i="83"/>
  <c r="AB173" i="83"/>
  <c r="AB174" i="83"/>
  <c r="AB175" i="83"/>
  <c r="AB176" i="83"/>
  <c r="AB177" i="83"/>
  <c r="AB178" i="83"/>
  <c r="AB107" i="83"/>
  <c r="AB145" i="83"/>
  <c r="AB181" i="83"/>
  <c r="AB182" i="83"/>
  <c r="AB183" i="83"/>
  <c r="AB184" i="83"/>
  <c r="AB185" i="83"/>
  <c r="AB186" i="83"/>
  <c r="AB187" i="83"/>
  <c r="AB200" i="83"/>
  <c r="AB189" i="83"/>
  <c r="AB190" i="83"/>
  <c r="AB191" i="83"/>
  <c r="AB192" i="83"/>
  <c r="AB193" i="83"/>
  <c r="AB194" i="83"/>
  <c r="AB195" i="83"/>
  <c r="AB196" i="83"/>
  <c r="AB197" i="83"/>
  <c r="AB198" i="83"/>
  <c r="AB199" i="83"/>
  <c r="AB188" i="83"/>
  <c r="AB201" i="83"/>
  <c r="AB202" i="83"/>
  <c r="AB400" i="83"/>
  <c r="AB204" i="83"/>
  <c r="AB205" i="83"/>
  <c r="AB206" i="83"/>
  <c r="AB531" i="83"/>
  <c r="AB208" i="83"/>
  <c r="AB209" i="83"/>
  <c r="AB210" i="83"/>
  <c r="AB211" i="83"/>
  <c r="AB212" i="83"/>
  <c r="AB213" i="83"/>
  <c r="AB477" i="83"/>
  <c r="AB215" i="83"/>
  <c r="AB216" i="83"/>
  <c r="AB217" i="83"/>
  <c r="AB218" i="83"/>
  <c r="AB219" i="83"/>
  <c r="AB220" i="83"/>
  <c r="AB221" i="83"/>
  <c r="AB222" i="83"/>
  <c r="AB223" i="83"/>
  <c r="AB224" i="83"/>
  <c r="AB225" i="83"/>
  <c r="AB226" i="83"/>
  <c r="AB227" i="83"/>
  <c r="AB228" i="83"/>
  <c r="AB229" i="83"/>
  <c r="AB230" i="83"/>
  <c r="AB231" i="83"/>
  <c r="AB232" i="83"/>
  <c r="AB233" i="83"/>
  <c r="AB234" i="83"/>
  <c r="AB235" i="83"/>
  <c r="AB236" i="83"/>
  <c r="AB237" i="83"/>
  <c r="AB238" i="83"/>
  <c r="AB239" i="83"/>
  <c r="AB240" i="83"/>
  <c r="AB241" i="83"/>
  <c r="AB242" i="83"/>
  <c r="AB179" i="83"/>
  <c r="AB244" i="83"/>
  <c r="AB245" i="83"/>
  <c r="AB381" i="83"/>
  <c r="AB247" i="83"/>
  <c r="AB248" i="83"/>
  <c r="AB249" i="83"/>
  <c r="AB250" i="83"/>
  <c r="AB251" i="83"/>
  <c r="AB532" i="83"/>
  <c r="AB253" i="83"/>
  <c r="AB255" i="83"/>
  <c r="AB256" i="83"/>
  <c r="AB257" i="83"/>
  <c r="AB258" i="83"/>
  <c r="AB259" i="83"/>
  <c r="AB260" i="83"/>
  <c r="AB261" i="83"/>
  <c r="AB262" i="83"/>
  <c r="AB483" i="83"/>
  <c r="AB264" i="83"/>
  <c r="AB265" i="83"/>
  <c r="AB266" i="83"/>
  <c r="AB267" i="83"/>
  <c r="AB530" i="83"/>
  <c r="AB529" i="83"/>
  <c r="AB270" i="83"/>
  <c r="AB271" i="83"/>
  <c r="AB272" i="83"/>
  <c r="AB273" i="83"/>
  <c r="AB274" i="83"/>
  <c r="AB275" i="83"/>
  <c r="AB276" i="83"/>
  <c r="AB277" i="83"/>
  <c r="AB278" i="83"/>
  <c r="AB279" i="83"/>
  <c r="AB280" i="83"/>
  <c r="AB281" i="83"/>
  <c r="AB282" i="83"/>
  <c r="AB283" i="83"/>
  <c r="AB284" i="83"/>
  <c r="AB285" i="83"/>
  <c r="AB286" i="83"/>
  <c r="AB287" i="83"/>
  <c r="AB288" i="83"/>
  <c r="AB289" i="83"/>
  <c r="AB290" i="83"/>
  <c r="AB291" i="83"/>
  <c r="AB292" i="83"/>
  <c r="AB293" i="83"/>
  <c r="AB294" i="83"/>
  <c r="AB295" i="83"/>
  <c r="AB296" i="83"/>
  <c r="AB297" i="83"/>
  <c r="AB298" i="83"/>
  <c r="AB299" i="83"/>
  <c r="AB300" i="83"/>
  <c r="AB301" i="83"/>
  <c r="AB445" i="83"/>
  <c r="AB303" i="83"/>
  <c r="AB304" i="83"/>
  <c r="AB305" i="83"/>
  <c r="AB306" i="83"/>
  <c r="AB307" i="83"/>
  <c r="AB308" i="83"/>
  <c r="AB309" i="83"/>
  <c r="AB310" i="83"/>
  <c r="AB311" i="83"/>
  <c r="AB312" i="83"/>
  <c r="AB313" i="83"/>
  <c r="AB314" i="83"/>
  <c r="AB315" i="83"/>
  <c r="AB316" i="83"/>
  <c r="AB317" i="83"/>
  <c r="AB318" i="83"/>
  <c r="AB319" i="83"/>
  <c r="AB320" i="83"/>
  <c r="AB363" i="83"/>
  <c r="AB322" i="83"/>
  <c r="AB323" i="83"/>
  <c r="AB324" i="83"/>
  <c r="AB325" i="83"/>
  <c r="AB326" i="83"/>
  <c r="AB327" i="83"/>
  <c r="AB328" i="83"/>
  <c r="AB329" i="83"/>
  <c r="AB330" i="83"/>
  <c r="AB331" i="83"/>
  <c r="AB332" i="83"/>
  <c r="AB333" i="83"/>
  <c r="AB334" i="83"/>
  <c r="AB335" i="83"/>
  <c r="AB336" i="83"/>
  <c r="AB337" i="83"/>
  <c r="AB338" i="83"/>
  <c r="AB339" i="83"/>
  <c r="AB340" i="83"/>
  <c r="AB246" i="83"/>
  <c r="AB342" i="83"/>
  <c r="AB343" i="83"/>
  <c r="AB5" i="83"/>
  <c r="AB345" i="83"/>
  <c r="AB346" i="83"/>
  <c r="AB347" i="83"/>
  <c r="AB348" i="83"/>
  <c r="AB349" i="83"/>
  <c r="AB350" i="83"/>
  <c r="AB351" i="83"/>
  <c r="AB352" i="83"/>
  <c r="AB353" i="83"/>
  <c r="AB354" i="83"/>
  <c r="AB355" i="83"/>
  <c r="AB341" i="83"/>
  <c r="AB243" i="83"/>
  <c r="AB358" i="83"/>
  <c r="AB359" i="83"/>
  <c r="AB360" i="83"/>
  <c r="AB321" i="83"/>
  <c r="AB391" i="83"/>
  <c r="AB269" i="83"/>
  <c r="AB364" i="83"/>
  <c r="AB365" i="83"/>
  <c r="AB366" i="83"/>
  <c r="AB367" i="83"/>
  <c r="AB368" i="83"/>
  <c r="AB369" i="83"/>
  <c r="AB370" i="83"/>
  <c r="AB371" i="83"/>
  <c r="AB372" i="83"/>
  <c r="AB373" i="83"/>
  <c r="AB374" i="83"/>
  <c r="AB375" i="83"/>
  <c r="AB376" i="83"/>
  <c r="AB377" i="83"/>
  <c r="AB378" i="83"/>
  <c r="AB379" i="83"/>
  <c r="AB380" i="83"/>
  <c r="AB458" i="83"/>
  <c r="AB382" i="83"/>
  <c r="AB383" i="83"/>
  <c r="AB384" i="83"/>
  <c r="AB385" i="83"/>
  <c r="AB489" i="83"/>
  <c r="AB387" i="83"/>
  <c r="AB388" i="83"/>
  <c r="AB389" i="83"/>
  <c r="AB390" i="83"/>
  <c r="AB268" i="83"/>
  <c r="AB392" i="83"/>
  <c r="AB393" i="83"/>
  <c r="AB11" i="83"/>
  <c r="AB252" i="83"/>
  <c r="AB396" i="83"/>
  <c r="AB397" i="83"/>
  <c r="AB398" i="83"/>
  <c r="AB399" i="83"/>
  <c r="AB517" i="83"/>
  <c r="AB401" i="83"/>
  <c r="AB402" i="83"/>
  <c r="AB403" i="83"/>
  <c r="AB404" i="83"/>
  <c r="AB405" i="83"/>
  <c r="AB406" i="83"/>
  <c r="AB407" i="83"/>
  <c r="AB408" i="83"/>
  <c r="AB409" i="83"/>
  <c r="AB410" i="83"/>
  <c r="AB411" i="83"/>
  <c r="AB412" i="83"/>
  <c r="AB413" i="83"/>
  <c r="AB414" i="83"/>
  <c r="AB415" i="83"/>
  <c r="AB416" i="83"/>
  <c r="AB417" i="83"/>
  <c r="AB418" i="83"/>
  <c r="AB419" i="83"/>
  <c r="AB420" i="83"/>
  <c r="AB421" i="83"/>
  <c r="AB422" i="83"/>
  <c r="AB423" i="83"/>
  <c r="AB424" i="83"/>
  <c r="AB425" i="83"/>
  <c r="AB426" i="83"/>
  <c r="AB427" i="83"/>
  <c r="AB428" i="83"/>
  <c r="AB429" i="83"/>
  <c r="AB430" i="83"/>
  <c r="AB431" i="83"/>
  <c r="AB432" i="83"/>
  <c r="AB433" i="83"/>
  <c r="AB434" i="83"/>
  <c r="AB435" i="83"/>
  <c r="AB361" i="83"/>
  <c r="AB437" i="83"/>
  <c r="AB438" i="83"/>
  <c r="AB40" i="83"/>
  <c r="AB440" i="83"/>
  <c r="AB441" i="83"/>
  <c r="AB442" i="83"/>
  <c r="AB443" i="83"/>
  <c r="AB444" i="83"/>
  <c r="AB302" i="83"/>
  <c r="AB446" i="83"/>
  <c r="AB447" i="83"/>
  <c r="AB448" i="83"/>
  <c r="AB449" i="83"/>
  <c r="AB450" i="83"/>
  <c r="AB451" i="83"/>
  <c r="AB452" i="83"/>
  <c r="AB453" i="83"/>
  <c r="AB454" i="83"/>
  <c r="AB455" i="83"/>
  <c r="AB456" i="83"/>
  <c r="AB457" i="83"/>
  <c r="AB132" i="83"/>
  <c r="AB41" i="83"/>
  <c r="AB460" i="83"/>
  <c r="AB461" i="83"/>
  <c r="AB462" i="83"/>
  <c r="AB463" i="83"/>
  <c r="AB464" i="83"/>
  <c r="AB465" i="83"/>
  <c r="AB466" i="83"/>
  <c r="AB467" i="83"/>
  <c r="AB468" i="83"/>
  <c r="AB469" i="83"/>
  <c r="AB147" i="83"/>
  <c r="AB471" i="83"/>
  <c r="AB472" i="83"/>
  <c r="AB473" i="83"/>
  <c r="AB474" i="83"/>
  <c r="AB475" i="83"/>
  <c r="AB476" i="83"/>
  <c r="AB263" i="83"/>
  <c r="AB478" i="83"/>
  <c r="AB479" i="83"/>
  <c r="AB480" i="83"/>
  <c r="AB481" i="83"/>
  <c r="AB482" i="83"/>
  <c r="AB362" i="83"/>
  <c r="AB484" i="83"/>
  <c r="AB485" i="83"/>
  <c r="AB486" i="83"/>
  <c r="AB487" i="83"/>
  <c r="AB488" i="83"/>
  <c r="AB203" i="83"/>
  <c r="AB490" i="83"/>
  <c r="AB495" i="83"/>
  <c r="AB505" i="83"/>
  <c r="AB510" i="83"/>
  <c r="AB496" i="83"/>
  <c r="AB504" i="83"/>
  <c r="AB494" i="83"/>
  <c r="AB497" i="83"/>
  <c r="AB498" i="83"/>
  <c r="AB499" i="83"/>
  <c r="AB500" i="83"/>
  <c r="AB501" i="83"/>
  <c r="AB502" i="83"/>
  <c r="AB503" i="83"/>
  <c r="AB491" i="83"/>
  <c r="AB47" i="83"/>
  <c r="AB45" i="83"/>
  <c r="AB394" i="83"/>
  <c r="AB46" i="83"/>
  <c r="AB492" i="83"/>
  <c r="AB493" i="83"/>
  <c r="AB511" i="83"/>
  <c r="AB512" i="83"/>
  <c r="AB513" i="83"/>
  <c r="AB514" i="83"/>
  <c r="AB515" i="83"/>
  <c r="AB516" i="83"/>
  <c r="AB386" i="83"/>
  <c r="AB518" i="83"/>
  <c r="AB519" i="83"/>
  <c r="AB520" i="83"/>
  <c r="AB521" i="83"/>
  <c r="AB522" i="83"/>
  <c r="AB523" i="83"/>
  <c r="AB524" i="83"/>
  <c r="AB525" i="83"/>
  <c r="AB526" i="83"/>
  <c r="AB527" i="83"/>
  <c r="AB528" i="83"/>
  <c r="AB207" i="83"/>
  <c r="AB470" i="83"/>
  <c r="AB159" i="83"/>
  <c r="AB459" i="83"/>
  <c r="AB533" i="83"/>
  <c r="AB534" i="83"/>
  <c r="AB535" i="83"/>
  <c r="AB536" i="83"/>
  <c r="AB537" i="83"/>
  <c r="AB538" i="83"/>
  <c r="AB539" i="83"/>
  <c r="AB540" i="83"/>
  <c r="AB541" i="83"/>
  <c r="AB439" i="83"/>
  <c r="AB436" i="83"/>
  <c r="AB544" i="83"/>
  <c r="AB545" i="83"/>
  <c r="AB546" i="83"/>
  <c r="AB547" i="83"/>
  <c r="AB548" i="83"/>
  <c r="AB549" i="83"/>
  <c r="AB550" i="83"/>
  <c r="AB551" i="83"/>
  <c r="AB552" i="83"/>
  <c r="AB553" i="83"/>
  <c r="AB554" i="83"/>
  <c r="AB555" i="83"/>
  <c r="AB556" i="83"/>
  <c r="AB557" i="83"/>
  <c r="AB558" i="83"/>
  <c r="AB559" i="83"/>
  <c r="AB560" i="83"/>
  <c r="AB561" i="83"/>
  <c r="AB562" i="83"/>
  <c r="AB563" i="83"/>
  <c r="AB564" i="83"/>
  <c r="AB565" i="83"/>
  <c r="AB566" i="83"/>
  <c r="AB567" i="83"/>
  <c r="AB568" i="83"/>
  <c r="AB569" i="83"/>
  <c r="AB570" i="83"/>
  <c r="AB571" i="83"/>
  <c r="AB572" i="83"/>
  <c r="AB573" i="83"/>
  <c r="AB574" i="83"/>
  <c r="AB575" i="83"/>
  <c r="AB576" i="83"/>
  <c r="AB577" i="83"/>
  <c r="AB578" i="83"/>
  <c r="AB579" i="83"/>
  <c r="AB580" i="83"/>
  <c r="AB581" i="83"/>
  <c r="AB582" i="83"/>
  <c r="AB3" i="83"/>
  <c r="AB4" i="83"/>
  <c r="AA357" i="83"/>
  <c r="AA325" i="83"/>
  <c r="AA3" i="83"/>
  <c r="AA4" i="83"/>
  <c r="AA6" i="83"/>
  <c r="AA7" i="83"/>
  <c r="AA8" i="83"/>
  <c r="AA9" i="83"/>
  <c r="AA10" i="83"/>
  <c r="AA506" i="83"/>
  <c r="AA12" i="83"/>
  <c r="AA13" i="83"/>
  <c r="AA14" i="83"/>
  <c r="AA15" i="83"/>
  <c r="AA17" i="83"/>
  <c r="AA18" i="83"/>
  <c r="AA19" i="83"/>
  <c r="AA20" i="83"/>
  <c r="AA21" i="83"/>
  <c r="AA22" i="83"/>
  <c r="AA23" i="83"/>
  <c r="AA24" i="83"/>
  <c r="AA25" i="83"/>
  <c r="AA26" i="83"/>
  <c r="AA27" i="83"/>
  <c r="AA28" i="83"/>
  <c r="AA29" i="83"/>
  <c r="AA30" i="83"/>
  <c r="AA31" i="83"/>
  <c r="AA32" i="83"/>
  <c r="AA33" i="83"/>
  <c r="AA34" i="83"/>
  <c r="AA35" i="83"/>
  <c r="AA36" i="83"/>
  <c r="AA37" i="83"/>
  <c r="AA38" i="83"/>
  <c r="AA39" i="83"/>
  <c r="AA542" i="83"/>
  <c r="AA543" i="83"/>
  <c r="AA42" i="83"/>
  <c r="AA43" i="83"/>
  <c r="AA44" i="83"/>
  <c r="AA509" i="83"/>
  <c r="AA508" i="83"/>
  <c r="AA507" i="83"/>
  <c r="AA48" i="83"/>
  <c r="AA49" i="83"/>
  <c r="AA50" i="83"/>
  <c r="AA51" i="83"/>
  <c r="AA52" i="83"/>
  <c r="AA53" i="83"/>
  <c r="AA54" i="83"/>
  <c r="AA426" i="83"/>
  <c r="AA442" i="83"/>
  <c r="AA83" i="83"/>
  <c r="AA523" i="83"/>
  <c r="AA251" i="83"/>
  <c r="AA407" i="83"/>
  <c r="AA107" i="83"/>
  <c r="AA486" i="83"/>
  <c r="AA412" i="83"/>
  <c r="AA451" i="83"/>
  <c r="AA65" i="83"/>
  <c r="AA98" i="83"/>
  <c r="AA270" i="83"/>
  <c r="AA448" i="83"/>
  <c r="AA70" i="83"/>
  <c r="AA58" i="83"/>
  <c r="AA372" i="83"/>
  <c r="AA226" i="83"/>
  <c r="AA585" i="83"/>
  <c r="AA74" i="83"/>
  <c r="AA75" i="83"/>
  <c r="AA76" i="83"/>
  <c r="AA77" i="83"/>
  <c r="AA88" i="83"/>
  <c r="AA443" i="83"/>
  <c r="AA573" i="83"/>
  <c r="AA593" i="83"/>
  <c r="AA140" i="83"/>
  <c r="AA135" i="83"/>
  <c r="AA131" i="83"/>
  <c r="AA141" i="83"/>
  <c r="AA139" i="83"/>
  <c r="AA584" i="83"/>
  <c r="AA299" i="83"/>
  <c r="AA277" i="83"/>
  <c r="AA271" i="83"/>
  <c r="AA248" i="83"/>
  <c r="AA257" i="83"/>
  <c r="AA254" i="83"/>
  <c r="AA482" i="83"/>
  <c r="AA601" i="83"/>
  <c r="AA324" i="83"/>
  <c r="AA322" i="83"/>
  <c r="AA321" i="83"/>
  <c r="AA318" i="83"/>
  <c r="AA319" i="83"/>
  <c r="AA317" i="83"/>
  <c r="AA316" i="83"/>
  <c r="AA323" i="83"/>
  <c r="AA201" i="83"/>
  <c r="AA345" i="83"/>
  <c r="AA366" i="83"/>
  <c r="AA432" i="83"/>
  <c r="AA60" i="83"/>
  <c r="AA73" i="83"/>
  <c r="AA556" i="83"/>
  <c r="AA533" i="83"/>
  <c r="AA595" i="83"/>
  <c r="AA527" i="83"/>
  <c r="AA582" i="83"/>
  <c r="AA116" i="83"/>
  <c r="AA208" i="83"/>
  <c r="AA390" i="83"/>
  <c r="AA602" i="83"/>
  <c r="AA416" i="83"/>
  <c r="AA256" i="83"/>
  <c r="AA414" i="83"/>
  <c r="AA425" i="83"/>
  <c r="AA518" i="83"/>
  <c r="AA405" i="83"/>
  <c r="AA106" i="83"/>
  <c r="AA105" i="83"/>
  <c r="AA93" i="83"/>
  <c r="AA397" i="83"/>
  <c r="AA404" i="83"/>
  <c r="AA332" i="83"/>
  <c r="AA282" i="83"/>
  <c r="AA283" i="83"/>
  <c r="AA278" i="83"/>
  <c r="AA279" i="83"/>
  <c r="AA583" i="83"/>
  <c r="AA590" i="83"/>
  <c r="AA591" i="83"/>
  <c r="AA586" i="83"/>
  <c r="AA291" i="83"/>
  <c r="AA112" i="83"/>
  <c r="AA499" i="83"/>
  <c r="AA525" i="83"/>
  <c r="AA341" i="83"/>
  <c r="AA409" i="83"/>
  <c r="AA148" i="83"/>
  <c r="AA589" i="83"/>
  <c r="AA600" i="83"/>
  <c r="AA531" i="83"/>
  <c r="AA151" i="83"/>
  <c r="AA152" i="83"/>
  <c r="AA269" i="83"/>
  <c r="AA194" i="83"/>
  <c r="AA532" i="83"/>
  <c r="AA156" i="83"/>
  <c r="AA110" i="83"/>
  <c r="AA158" i="83"/>
  <c r="AA166" i="83"/>
  <c r="AA109" i="83"/>
  <c r="AA111" i="83"/>
  <c r="AA125" i="83"/>
  <c r="AA244" i="83"/>
  <c r="AA231" i="83"/>
  <c r="AA138" i="83"/>
  <c r="AA458" i="83"/>
  <c r="AA489" i="83"/>
  <c r="AA124" i="83"/>
  <c r="AA137" i="83"/>
  <c r="AA457" i="83"/>
  <c r="AA488" i="83"/>
  <c r="AA123" i="83"/>
  <c r="AA173" i="83"/>
  <c r="AA136" i="83"/>
  <c r="AA456" i="83"/>
  <c r="AA487" i="83"/>
  <c r="AA192" i="83"/>
  <c r="AA221" i="83"/>
  <c r="AA328" i="83"/>
  <c r="AA330" i="83"/>
  <c r="AA117" i="83"/>
  <c r="AA210" i="83"/>
  <c r="AA298" i="83"/>
  <c r="AA517" i="83"/>
  <c r="AA515" i="83"/>
  <c r="AA418" i="83"/>
  <c r="AA503" i="83"/>
  <c r="AA435" i="83"/>
  <c r="AA121" i="83"/>
  <c r="AA115" i="83"/>
  <c r="AA120" i="83"/>
  <c r="AA196" i="83"/>
  <c r="AA250" i="83"/>
  <c r="AA534" i="83"/>
  <c r="AA235" i="83"/>
  <c r="AA234" i="83"/>
  <c r="AA301" i="83"/>
  <c r="AA104" i="83"/>
  <c r="AA5" i="83"/>
  <c r="AA433" i="83"/>
  <c r="AA302" i="83"/>
  <c r="AA67" i="83"/>
  <c r="AA348" i="83"/>
  <c r="AA419" i="83"/>
  <c r="AA420" i="83"/>
  <c r="AA229" i="83"/>
  <c r="AA178" i="83"/>
  <c r="AA597" i="83"/>
  <c r="AA119" i="83"/>
  <c r="AA484" i="83"/>
  <c r="AA498" i="83"/>
  <c r="AA290" i="83"/>
  <c r="AA392" i="83"/>
  <c r="AA174" i="83"/>
  <c r="AA205" i="83"/>
  <c r="AA195" i="83"/>
  <c r="AA247" i="83"/>
  <c r="AA541" i="83"/>
  <c r="AA544" i="83"/>
  <c r="AA220" i="83"/>
  <c r="AA236" i="83"/>
  <c r="AA240" i="83"/>
  <c r="AA395" i="83"/>
  <c r="AA535" i="83"/>
  <c r="AA537" i="83"/>
  <c r="AA539" i="83"/>
  <c r="AA80" i="83"/>
  <c r="AA478" i="83"/>
  <c r="AA553" i="83"/>
  <c r="AA86" i="83"/>
  <c r="AA538" i="83"/>
  <c r="AA424" i="83"/>
  <c r="AA255" i="83"/>
  <c r="AA264" i="83"/>
  <c r="AA516" i="83"/>
  <c r="AA114" i="83"/>
  <c r="AA237" i="83"/>
  <c r="AA238" i="83"/>
  <c r="AA524" i="83"/>
  <c r="AA281" i="83"/>
  <c r="AA438" i="83"/>
  <c r="AA242" i="83"/>
  <c r="AA331" i="83"/>
  <c r="AA540" i="83"/>
  <c r="AA563" i="83"/>
  <c r="AA346" i="83"/>
  <c r="AA82" i="83"/>
  <c r="AA479" i="83"/>
  <c r="AA87" i="83"/>
  <c r="AA90" i="83"/>
  <c r="AA473" i="83"/>
  <c r="AA179" i="83"/>
  <c r="AA399" i="83"/>
  <c r="AA579" i="83"/>
  <c r="AA422" i="83"/>
  <c r="AA466" i="83"/>
  <c r="AA467" i="83"/>
  <c r="AA555" i="83"/>
  <c r="AA260" i="83"/>
  <c r="AA502" i="83"/>
  <c r="AA175" i="83"/>
  <c r="AA483" i="83"/>
  <c r="AA272" i="83"/>
  <c r="AA377" i="83"/>
  <c r="AA275" i="83"/>
  <c r="AA177" i="83"/>
  <c r="AA176" i="83"/>
  <c r="AA576" i="83"/>
  <c r="AA430" i="83"/>
  <c r="AA101" i="83"/>
  <c r="AA113" i="83"/>
  <c r="AA465" i="83"/>
  <c r="AA462" i="83"/>
  <c r="AA199" i="83"/>
  <c r="AA471" i="83"/>
  <c r="AA369" i="83"/>
  <c r="AA294" i="83"/>
  <c r="AA214" i="83"/>
  <c r="AA548" i="83"/>
  <c r="AA261" i="83"/>
  <c r="AA421" i="83"/>
  <c r="AA284" i="83"/>
  <c r="AA285" i="83"/>
  <c r="AA286" i="83"/>
  <c r="AA287" i="83"/>
  <c r="AA288" i="83"/>
  <c r="AA289" i="83"/>
  <c r="AA227" i="83"/>
  <c r="AA549" i="83"/>
  <c r="AA550" i="83"/>
  <c r="AA40" i="83"/>
  <c r="AA293" i="83"/>
  <c r="AA295" i="83"/>
  <c r="AA296" i="83"/>
  <c r="AA274" i="83"/>
  <c r="AA91" i="83"/>
  <c r="AA218" i="83"/>
  <c r="AA376" i="83"/>
  <c r="AA387" i="83"/>
  <c r="AA349" i="83"/>
  <c r="AA403" i="83"/>
  <c r="AA207" i="83"/>
  <c r="AA311" i="83"/>
  <c r="AA450" i="83"/>
  <c r="AA445" i="83"/>
  <c r="AA444" i="83"/>
  <c r="AA276" i="83"/>
  <c r="AA391" i="83"/>
  <c r="AA310" i="83"/>
  <c r="AA304" i="83"/>
  <c r="AA393" i="83"/>
  <c r="AA446" i="83"/>
  <c r="AA191" i="83"/>
  <c r="AA598" i="83"/>
  <c r="AA59" i="83"/>
  <c r="AA64" i="83"/>
  <c r="AA447" i="83"/>
  <c r="AA225" i="83"/>
  <c r="AA163" i="83"/>
  <c r="AA402" i="83"/>
  <c r="AA314" i="83"/>
  <c r="AA312" i="83"/>
  <c r="AA313" i="83"/>
  <c r="AA280" i="83"/>
  <c r="AA327" i="83"/>
  <c r="AA552" i="83"/>
  <c r="AA63" i="83"/>
  <c r="AA66" i="83"/>
  <c r="AA268" i="83"/>
  <c r="AA258" i="83"/>
  <c r="AA266" i="83"/>
  <c r="AA134" i="83"/>
  <c r="AA480" i="83"/>
  <c r="AA370" i="83"/>
  <c r="AA219" i="83"/>
  <c r="AA320" i="83"/>
  <c r="AA339" i="83"/>
  <c r="AA413" i="83"/>
  <c r="AA337" i="83"/>
  <c r="AA342" i="83"/>
  <c r="AA364" i="83"/>
  <c r="AA326" i="83"/>
  <c r="AA365" i="83"/>
  <c r="AA246" i="83"/>
  <c r="AA95" i="83"/>
  <c r="AA97" i="83"/>
  <c r="AA437" i="83"/>
  <c r="AA71" i="83"/>
  <c r="AA561" i="83"/>
  <c r="AA476" i="83"/>
  <c r="AA481" i="83"/>
  <c r="AA128" i="83"/>
  <c r="AA130" i="83"/>
  <c r="AA340" i="83"/>
  <c r="AA336" i="83"/>
  <c r="AA545" i="83"/>
  <c r="AA546" i="83"/>
  <c r="AA160" i="83"/>
  <c r="AA159" i="83"/>
  <c r="AA165" i="83"/>
  <c r="AA157" i="83"/>
  <c r="AA212" i="83"/>
  <c r="AA55" i="83"/>
  <c r="AA581" i="83"/>
  <c r="AA265" i="83"/>
  <c r="AA259" i="83"/>
  <c r="AA521" i="83"/>
  <c r="AA522" i="83"/>
  <c r="AA252" i="83"/>
  <c r="AA68" i="83"/>
  <c r="AA580" i="83"/>
  <c r="AA559" i="83"/>
  <c r="AA558" i="83"/>
  <c r="AA410" i="83"/>
  <c r="AA455" i="83"/>
  <c r="AA224" i="83"/>
  <c r="AA215" i="83"/>
  <c r="AA565" i="83"/>
  <c r="AA350" i="83"/>
  <c r="AA428" i="83"/>
  <c r="AA383" i="83"/>
  <c r="AA384" i="83"/>
  <c r="AA470" i="83"/>
  <c r="AA351" i="83"/>
  <c r="AA594" i="83"/>
  <c r="AA164" i="83"/>
  <c r="AA211" i="83"/>
  <c r="AA388" i="83"/>
  <c r="AA155" i="83"/>
  <c r="AA204" i="83"/>
  <c r="AA233" i="83"/>
  <c r="AA11" i="83"/>
  <c r="AA153" i="83"/>
  <c r="AA200" i="83"/>
  <c r="AA216" i="83"/>
  <c r="AA303" i="83"/>
  <c r="AA367" i="83"/>
  <c r="AA352" i="83"/>
  <c r="AA354" i="83"/>
  <c r="AA530" i="83"/>
  <c r="AA574" i="83"/>
  <c r="AA596" i="83"/>
  <c r="AA84" i="83"/>
  <c r="AA85" i="83"/>
  <c r="AA223" i="83"/>
  <c r="AA222" i="83"/>
  <c r="AA41" i="83"/>
  <c r="AA382" i="83"/>
  <c r="AA378" i="83"/>
  <c r="AA460" i="83"/>
  <c r="AA568" i="83"/>
  <c r="AA245" i="83"/>
  <c r="AA554" i="83"/>
  <c r="AA423" i="83"/>
  <c r="AA239" i="83"/>
  <c r="AA398" i="83"/>
  <c r="AA396" i="83"/>
  <c r="AA490" i="83"/>
  <c r="AA78" i="83"/>
  <c r="AA79" i="83"/>
  <c r="AA99" i="83"/>
  <c r="AA228" i="83"/>
  <c r="AA126" i="83"/>
  <c r="AA108" i="83"/>
  <c r="AA187" i="83"/>
  <c r="AA575" i="83"/>
  <c r="AA474" i="83"/>
  <c r="AA587" i="83"/>
  <c r="AA417" i="83"/>
  <c r="AA389" i="83"/>
  <c r="AA434" i="83"/>
  <c r="AA411" i="83"/>
  <c r="AA161" i="83"/>
  <c r="AA371" i="83"/>
  <c r="AA368" i="83"/>
  <c r="AA143" i="83"/>
  <c r="AA564" i="83"/>
  <c r="AA566" i="83"/>
  <c r="AA406" i="83"/>
  <c r="AA459" i="83"/>
  <c r="AA427" i="83"/>
  <c r="AA338" i="83"/>
  <c r="AA408" i="83"/>
  <c r="AA190" i="83"/>
  <c r="AA381" i="83"/>
  <c r="AA380" i="83"/>
  <c r="AA379" i="83"/>
  <c r="AA386" i="83"/>
  <c r="AA415" i="83"/>
  <c r="AA184" i="83"/>
  <c r="AA217" i="83"/>
  <c r="AA118" i="83"/>
  <c r="AA469" i="83"/>
  <c r="AA567" i="83"/>
  <c r="AA329" i="83"/>
  <c r="AA144" i="83"/>
  <c r="AA197" i="83"/>
  <c r="AA92" i="83"/>
  <c r="AA122" i="83"/>
  <c r="AA127" i="83"/>
  <c r="AA129" i="83"/>
  <c r="AA477" i="83"/>
  <c r="AA96" i="83"/>
  <c r="AA429" i="83"/>
  <c r="AA401" i="83"/>
  <c r="AA81" i="83"/>
  <c r="AA145" i="83"/>
  <c r="AA475" i="83"/>
  <c r="AA297" i="83"/>
  <c r="AA69" i="83"/>
  <c r="AA529" i="83"/>
  <c r="AA588" i="83"/>
  <c r="AA560" i="83"/>
  <c r="AA154" i="83"/>
  <c r="AA453" i="83"/>
  <c r="AA189" i="83"/>
  <c r="AA185" i="83"/>
  <c r="AA551" i="83"/>
  <c r="AA232" i="83"/>
  <c r="AA162" i="83"/>
  <c r="AA186" i="83"/>
  <c r="AA183" i="83"/>
  <c r="AA249" i="83"/>
  <c r="AA599" i="83"/>
  <c r="AA373" i="83"/>
  <c r="AA335" i="83"/>
  <c r="AA203" i="83"/>
  <c r="AA495" i="83"/>
  <c r="AA505" i="83"/>
  <c r="AA510" i="83"/>
  <c r="AA496" i="83"/>
  <c r="AA504" i="83"/>
  <c r="AA494" i="83"/>
  <c r="AA497" i="83"/>
  <c r="AA133" i="83"/>
  <c r="AA132" i="83"/>
  <c r="AA263" i="83"/>
  <c r="AA230" i="83"/>
  <c r="AA547" i="83"/>
  <c r="AA206" i="83"/>
  <c r="AA491" i="83"/>
  <c r="AA47" i="83"/>
  <c r="AA45" i="83"/>
  <c r="AA394" i="83"/>
  <c r="AA46" i="83"/>
  <c r="AA492" i="83"/>
  <c r="AA493" i="83"/>
  <c r="AA511" i="83"/>
  <c r="AA512" i="83"/>
  <c r="AA513" i="83"/>
  <c r="AA514" i="83"/>
  <c r="AA209" i="83"/>
  <c r="AA142" i="83"/>
  <c r="AA347" i="83"/>
  <c r="AA439" i="83"/>
  <c r="AA519" i="83"/>
  <c r="AA572" i="83"/>
  <c r="AA57" i="83"/>
  <c r="AA500" i="83"/>
  <c r="AA273" i="83"/>
  <c r="AA431" i="83"/>
  <c r="AA440" i="83"/>
  <c r="AA464" i="83"/>
  <c r="AA463" i="83"/>
  <c r="AA468" i="83"/>
  <c r="AA147" i="83"/>
  <c r="AA170" i="83"/>
  <c r="AA146" i="83"/>
  <c r="AA169" i="83"/>
  <c r="AA102" i="83"/>
  <c r="AA375" i="83"/>
  <c r="AA472" i="83"/>
  <c r="AA536" i="83"/>
  <c r="AA243" i="83"/>
  <c r="AA315" i="83"/>
  <c r="AA461" i="83"/>
  <c r="AA359" i="83"/>
  <c r="AA188" i="83"/>
  <c r="AA168" i="83"/>
  <c r="AA167" i="83"/>
  <c r="AA362" i="83"/>
  <c r="AA241" i="83"/>
  <c r="AA374" i="83"/>
  <c r="AA360" i="83"/>
  <c r="AA363" i="83"/>
  <c r="AA355" i="83"/>
  <c r="AA356" i="83"/>
  <c r="AA353" i="83"/>
  <c r="AA56" i="83"/>
  <c r="AA528" i="83"/>
  <c r="AA103" i="83"/>
  <c r="AA72" i="83"/>
  <c r="AA592" i="83"/>
  <c r="AA562" i="83"/>
  <c r="AA89" i="83"/>
  <c r="Z150" i="83" l="1"/>
  <c r="Z149" i="83"/>
  <c r="Z385" i="83"/>
  <c r="Z526" i="83"/>
  <c r="Z61" i="83"/>
  <c r="Z557" i="83"/>
  <c r="Z570" i="83"/>
  <c r="Z454" i="83"/>
  <c r="Z193" i="83"/>
  <c r="Z520" i="83"/>
  <c r="Z267" i="83"/>
  <c r="Z171" i="83"/>
  <c r="Z449" i="83"/>
  <c r="Z344" i="83"/>
  <c r="Z343" i="83"/>
  <c r="Z569" i="83"/>
  <c r="Z485" i="83"/>
  <c r="Z577" i="83"/>
  <c r="Z213" i="83"/>
  <c r="Z62" i="83"/>
  <c r="Z571" i="83"/>
  <c r="Z172" i="83"/>
  <c r="Z202" i="83"/>
  <c r="Z203" i="83"/>
  <c r="Z198" i="83"/>
  <c r="Z239" i="83"/>
  <c r="Z225" i="83"/>
  <c r="Z219" i="83"/>
  <c r="Z245" i="83"/>
  <c r="Z224" i="83"/>
  <c r="Z192" i="83"/>
  <c r="Z196" i="83"/>
  <c r="Z216" i="83"/>
  <c r="Z218" i="83"/>
  <c r="Z226" i="83"/>
  <c r="Z207" i="83"/>
  <c r="Z232" i="83"/>
  <c r="Z212" i="83"/>
  <c r="Z228" i="83"/>
  <c r="Z222" i="83"/>
  <c r="Z214" i="83"/>
  <c r="Z247" i="83"/>
  <c r="Z215" i="83"/>
  <c r="Z234" i="83"/>
  <c r="Z199" i="83"/>
  <c r="Z197" i="83"/>
  <c r="Z243" i="83"/>
  <c r="Z217" i="83"/>
  <c r="Z211" i="83"/>
  <c r="Z230" i="83"/>
  <c r="Z227" i="83"/>
  <c r="Z204" i="83"/>
  <c r="Z501" i="83"/>
  <c r="Z235" i="83"/>
  <c r="Z209" i="83"/>
  <c r="Z241" i="83"/>
  <c r="Z240" i="83"/>
  <c r="Z229" i="83"/>
  <c r="Z248" i="83"/>
  <c r="Z220" i="83"/>
  <c r="Z236" i="83"/>
  <c r="Z200" i="83"/>
  <c r="Z253" i="83"/>
  <c r="Z246" i="83"/>
  <c r="Z233" i="83"/>
  <c r="Z195" i="83"/>
  <c r="Z205" i="83"/>
  <c r="Z208" i="83"/>
  <c r="Z223" i="83"/>
  <c r="Z210" i="83"/>
  <c r="Z206" i="83"/>
  <c r="Z231" i="83"/>
  <c r="Z244" i="83"/>
  <c r="Z221" i="83"/>
</calcChain>
</file>

<file path=xl/sharedStrings.xml><?xml version="1.0" encoding="utf-8"?>
<sst xmlns="http://schemas.openxmlformats.org/spreadsheetml/2006/main" count="10747" uniqueCount="4650">
  <si>
    <t>GridView</t>
    <phoneticPr fontId="2" type="noConversion"/>
  </si>
  <si>
    <t>$p</t>
    <phoneticPr fontId="2" type="noConversion"/>
  </si>
  <si>
    <t>SelectBox</t>
    <phoneticPr fontId="2" type="noConversion"/>
  </si>
  <si>
    <t>strictMode</t>
    <phoneticPr fontId="2" type="noConversion"/>
  </si>
  <si>
    <t>Studio</t>
    <phoneticPr fontId="2" type="noConversion"/>
  </si>
  <si>
    <t>WindowContainer</t>
    <phoneticPr fontId="2" type="noConversion"/>
  </si>
  <si>
    <t>WidgetContainer</t>
    <phoneticPr fontId="2" type="noConversion"/>
  </si>
  <si>
    <t>Calendar</t>
    <phoneticPr fontId="2" type="noConversion"/>
  </si>
  <si>
    <t>PageList</t>
    <phoneticPr fontId="2" type="noConversion"/>
  </si>
  <si>
    <t>TreeView</t>
    <phoneticPr fontId="2" type="noConversion"/>
  </si>
  <si>
    <t>MapChart</t>
    <phoneticPr fontId="2" type="noConversion"/>
  </si>
  <si>
    <t>등록일</t>
    <phoneticPr fontId="2" type="noConversion"/>
  </si>
  <si>
    <t>mergeFocusedCell();
mergeSplitFocusedCell();</t>
    <phoneticPr fontId="2" type="noConversion"/>
  </si>
  <si>
    <t>WebSquare.util</t>
    <phoneticPr fontId="2" type="noConversion"/>
  </si>
  <si>
    <t>ScheduleCalendar</t>
    <phoneticPr fontId="2" type="noConversion"/>
  </si>
  <si>
    <t>CheckComboBox</t>
    <phoneticPr fontId="2" type="noConversion"/>
  </si>
  <si>
    <t>AutoComplete
SelectBox</t>
    <phoneticPr fontId="2" type="noConversion"/>
  </si>
  <si>
    <t>TabControl</t>
    <phoneticPr fontId="2" type="noConversion"/>
  </si>
  <si>
    <t>WFrame</t>
    <phoneticPr fontId="2" type="noConversion"/>
  </si>
  <si>
    <t>DataCollection</t>
    <phoneticPr fontId="2" type="noConversion"/>
  </si>
  <si>
    <t>InputBox</t>
    <phoneticPr fontId="2" type="noConversion"/>
  </si>
  <si>
    <t>디자인</t>
    <phoneticPr fontId="2" type="noConversion"/>
  </si>
  <si>
    <t>TableLayout</t>
    <phoneticPr fontId="2" type="noConversion"/>
  </si>
  <si>
    <t>TextBox</t>
    <phoneticPr fontId="2" type="noConversion"/>
  </si>
  <si>
    <t>Page</t>
    <phoneticPr fontId="2" type="noConversion"/>
  </si>
  <si>
    <t>AutoComplete</t>
    <phoneticPr fontId="2" type="noConversion"/>
  </si>
  <si>
    <t>CheckBox</t>
    <phoneticPr fontId="2" type="noConversion"/>
  </si>
  <si>
    <t xml:space="preserve">No. </t>
    <phoneticPr fontId="2" type="noConversion"/>
  </si>
  <si>
    <t>Radio</t>
    <phoneticPr fontId="2" type="noConversion"/>
  </si>
  <si>
    <t>BindItemSet</t>
    <phoneticPr fontId="2" type="noConversion"/>
  </si>
  <si>
    <t>AutoComplete와 SelectBox 비교</t>
    <phoneticPr fontId="2" type="noConversion"/>
  </si>
  <si>
    <t>MultiSelect</t>
    <phoneticPr fontId="2" type="noConversion"/>
  </si>
  <si>
    <t>IWD</t>
    <phoneticPr fontId="2" type="noConversion"/>
  </si>
  <si>
    <t>InputCalendar</t>
    <phoneticPr fontId="2" type="noConversion"/>
  </si>
  <si>
    <t>nextDayThreshold</t>
    <phoneticPr fontId="2" type="noConversion"/>
  </si>
  <si>
    <t>Secret</t>
    <phoneticPr fontId="2" type="noConversion"/>
  </si>
  <si>
    <t>Pivot</t>
    <phoneticPr fontId="2" type="noConversion"/>
  </si>
  <si>
    <t>Autocomplete
Radio
SelectBox
Spinner
ChekBox
CheckComboBox
MultiSelect</t>
    <phoneticPr fontId="2" type="noConversion"/>
  </si>
  <si>
    <t>$p.dynamicCreate()</t>
    <phoneticPr fontId="2" type="noConversion"/>
  </si>
  <si>
    <t>Group</t>
    <phoneticPr fontId="2" type="noConversion"/>
  </si>
  <si>
    <t>기능</t>
    <phoneticPr fontId="2" type="noConversion"/>
  </si>
  <si>
    <t>visibleRowNum</t>
    <phoneticPr fontId="2" type="noConversion"/>
  </si>
  <si>
    <t>oncellclick</t>
    <phoneticPr fontId="2" type="noConversion"/>
  </si>
  <si>
    <t>warnSync</t>
    <phoneticPr fontId="2" type="noConversion"/>
  </si>
  <si>
    <t xml:space="preserve">GridView를 Excel 파일로 다운로드. </t>
    <phoneticPr fontId="2" type="noConversion"/>
  </si>
  <si>
    <t>scwin.onpageload</t>
    <phoneticPr fontId="2" type="noConversion"/>
  </si>
  <si>
    <t>IFrame</t>
    <phoneticPr fontId="2" type="noConversion"/>
  </si>
  <si>
    <t>Spinner</t>
    <phoneticPr fontId="2" type="noConversion"/>
  </si>
  <si>
    <t>선택 목록의 값과 일치하는 값이 입력될 경우, nextTabID 컴포넌트로 포커스를 이동.</t>
    <phoneticPr fontId="2" type="noConversion"/>
  </si>
  <si>
    <t>visibleWeekNum</t>
    <phoneticPr fontId="2" type="noConversion"/>
  </si>
  <si>
    <t>onchange</t>
    <phoneticPr fontId="2" type="noConversion"/>
  </si>
  <si>
    <t>getEventTargete()</t>
    <phoneticPr fontId="2" type="noConversion"/>
  </si>
  <si>
    <t>MultiUpload</t>
    <phoneticPr fontId="2" type="noConversion"/>
  </si>
  <si>
    <t>maxcount</t>
    <phoneticPr fontId="2" type="noConversion"/>
  </si>
  <si>
    <t>getFileCount()</t>
    <phoneticPr fontId="2" type="noConversion"/>
  </si>
  <si>
    <t>autoFit
autoFitMinWidth</t>
    <phoneticPr fontId="2" type="noConversion"/>
  </si>
  <si>
    <t>autoFit</t>
    <phoneticPr fontId="2" type="noConversion"/>
  </si>
  <si>
    <t>contextMenu="true"
autoFit</t>
    <phoneticPr fontId="2" type="noConversion"/>
  </si>
  <si>
    <t>frameModal="true"
tabControl.content
frameMode="wframe" / "wframePreload"</t>
    <phoneticPr fontId="2" type="noConversion"/>
  </si>
  <si>
    <t>initValue</t>
    <phoneticPr fontId="2" type="noConversion"/>
  </si>
  <si>
    <t>oneditenter</t>
    <phoneticPr fontId="2" type="noConversion"/>
  </si>
  <si>
    <t>inputType="select"</t>
    <phoneticPr fontId="2" type="noConversion"/>
  </si>
  <si>
    <t>inputType="autoComplete"</t>
    <phoneticPr fontId="2" type="noConversion"/>
  </si>
  <si>
    <t>inputType="checkcombobox"</t>
    <phoneticPr fontId="2" type="noConversion"/>
  </si>
  <si>
    <t>autoArrange</t>
    <phoneticPr fontId="2" type="noConversion"/>
  </si>
  <si>
    <t>여러 윈도우 중 특정 윈도우를 닫을 경우, 남아 있는 윈도우를 자동 정렬.</t>
    <phoneticPr fontId="2" type="noConversion"/>
  </si>
  <si>
    <t>최소화 버튼을 클릭하거나 네임 레이어를 클릭하여 최소화</t>
    <phoneticPr fontId="2" type="noConversion"/>
  </si>
  <si>
    <t>tabPosition</t>
    <phoneticPr fontId="2" type="noConversion"/>
  </si>
  <si>
    <t>UDC</t>
    <phoneticPr fontId="2" type="noConversion"/>
  </si>
  <si>
    <t xml:space="preserve">dataMap, dataList, linkedDataList를 생성하고 확인. </t>
    <phoneticPr fontId="2" type="noConversion"/>
  </si>
  <si>
    <t>pivotExcelDownload() options.autoSizeColumn="body" / "header" / "false"</t>
    <phoneticPr fontId="2" type="noConversion"/>
  </si>
  <si>
    <t>헤더 혹은 바디의 텍스트 길이에 따라 해당 컬럼의 너비를 조절</t>
    <phoneticPr fontId="2" type="noConversion"/>
  </si>
  <si>
    <t>changeActiveTab</t>
    <phoneticPr fontId="2" type="noConversion"/>
  </si>
  <si>
    <t>드래깅 혹은 Shift 키를 사용하여 여러 개의 셀을 선택하고 삭제</t>
    <phoneticPr fontId="2" type="noConversion"/>
  </si>
  <si>
    <t>탭 스크롤 버튼을 표시하고, 버튼을 클릭하면  해당 탭을 활성화</t>
    <phoneticPr fontId="2" type="noConversion"/>
  </si>
  <si>
    <t>maxLength</t>
    <phoneticPr fontId="2" type="noConversion"/>
  </si>
  <si>
    <t>onselected</t>
    <phoneticPr fontId="2" type="noConversion"/>
  </si>
  <si>
    <t xml:space="preserve">유효하지 않은 값을 입력할 경우 invalidMessageFunc 함수를 실행하여 오류 메시지를 표시하고 setValueCancel() 함수를 실행하여 이전 유효한 값을 유지. </t>
    <phoneticPr fontId="2" type="noConversion"/>
  </si>
  <si>
    <t>headerYMerge</t>
    <phoneticPr fontId="2" type="noConversion"/>
  </si>
  <si>
    <t>헤더 컬럼 병합</t>
    <phoneticPr fontId="2" type="noConversion"/>
  </si>
  <si>
    <t>입력 가능한 텍스트 길이를 제한 (dataType="euro", "rupee" 혹은 "tenge"인 경우에도 지원)</t>
    <phoneticPr fontId="2" type="noConversion"/>
  </si>
  <si>
    <t>noColumnMove</t>
    <phoneticPr fontId="2" type="noConversion"/>
  </si>
  <si>
    <t>dataType=“bigDecimal” 혹은 “number” 컬럼의 데이터가 없는 경우 전송 데이터에서 제외</t>
    <phoneticPr fontId="2" type="noConversion"/>
  </si>
  <si>
    <t>https://youtu.be/C1t_972BIrU</t>
    <phoneticPr fontId="2" type="noConversion"/>
  </si>
  <si>
    <t>https://youtu.be/jOGforAhQk4</t>
    <phoneticPr fontId="2" type="noConversion"/>
  </si>
  <si>
    <t>대소문자 구분 검색</t>
    <phoneticPr fontId="2" type="noConversion"/>
  </si>
  <si>
    <t>다운로드한 Excel 파일에 적용할 표시 형식을 설정</t>
    <phoneticPr fontId="2" type="noConversion"/>
  </si>
  <si>
    <t>헤더 컬럼 이동</t>
    <phoneticPr fontId="2" type="noConversion"/>
  </si>
  <si>
    <t>isWFramePopup()</t>
    <phoneticPr fontId="2" type="noConversion"/>
  </si>
  <si>
    <t>orderByColumn</t>
    <phoneticPr fontId="2" type="noConversion"/>
  </si>
  <si>
    <t>inputType="checkbox" 혹은 inputType="radio" 컬럼의 경우, 다른 칼럼의 값을 조합하여 CheckBox 혹은 Radio 라벨 값으로 사용</t>
    <phoneticPr fontId="2" type="noConversion"/>
  </si>
  <si>
    <t xml:space="preserve">헤더 컬럼이 병합된 경우, 정렬 기준으로 삼을 컬럼을 지정. </t>
    <phoneticPr fontId="2" type="noConversion"/>
  </si>
  <si>
    <t>현재 화면 혹은 부모 화면의 팝업 여부 확인. (팝업이 wframePopup 혹은 browserPopup인 경우에 한함.)</t>
    <phoneticPr fontId="2" type="noConversion"/>
  </si>
  <si>
    <t xml:space="preserve">현재 화면 혹은 부모 화면이 WFrame 팝업인지 확인. </t>
    <phoneticPr fontId="2" type="noConversion"/>
  </si>
  <si>
    <t>useWindowScrollButton</t>
    <phoneticPr fontId="2" type="noConversion"/>
  </si>
  <si>
    <t>현재 열려 있는 윈도우의 목록을 보여주는 버튼을 툴바에 표시. 목록에는 윈도우 닫기 버튼도 함께 표시됩. (2021년 8월 이후 엔진)</t>
    <phoneticPr fontId="2" type="noConversion"/>
  </si>
  <si>
    <t>https://youtu.be/ekYGymLlQCM</t>
    <phoneticPr fontId="2" type="noConversion"/>
  </si>
  <si>
    <t xml:space="preserve">컴포넌트의 선택 항목 및 chooseOption 텍스트를 브라우저 언어로 표시. </t>
    <phoneticPr fontId="2" type="noConversion"/>
  </si>
  <si>
    <t>텍스트를 브라우저가 사용하는 언어로 표시</t>
    <phoneticPr fontId="2" type="noConversion"/>
  </si>
  <si>
    <t>선택 항목을 브라우저가 사용하는 언어로 표시</t>
    <phoneticPr fontId="2" type="noConversion"/>
  </si>
  <si>
    <t xml:space="preserve">툴팁 텍스트를 브라우저 언어로 표시. </t>
    <phoneticPr fontId="2" type="noConversion"/>
  </si>
  <si>
    <t>Accordion</t>
    <phoneticPr fontId="2" type="noConversion"/>
  </si>
  <si>
    <t>unCollapseAll="true"</t>
    <phoneticPr fontId="2" type="noConversion"/>
  </si>
  <si>
    <t>모든 패널을 연 상태에서 Accordion 컴포넌트를 로딩</t>
    <phoneticPr fontId="2" type="noConversion"/>
  </si>
  <si>
    <t>Excel 다운로드 시 세로축 헤더 병합 상태를 유지</t>
    <phoneticPr fontId="2" type="noConversion"/>
  </si>
  <si>
    <t>핀으로 고정한 윈도우를 네임레이어의 제일 앞으로 이동</t>
    <phoneticPr fontId="2" type="noConversion"/>
  </si>
  <si>
    <t>선택 목록을 펼쳤을 때 보여줄 열의 최대 개수를 지정</t>
    <phoneticPr fontId="2" type="noConversion"/>
  </si>
  <si>
    <t>visibleColNum</t>
    <phoneticPr fontId="2" type="noConversion"/>
  </si>
  <si>
    <t>useEdit</t>
    <phoneticPr fontId="2" type="noConversion"/>
  </si>
  <si>
    <t>사용자가 값을 입력할 때마다 (useEdit="true") 해당 값의 유효성을 검증</t>
    <phoneticPr fontId="2" type="noConversion"/>
  </si>
  <si>
    <t>선택 항목을 표시할 열의 개수를 지정</t>
    <phoneticPr fontId="2" type="noConversion"/>
  </si>
  <si>
    <t>마우스 드래깅을 통해 항목들을 선택하고, 연속적으로 선택된 값을 기호를 통해 표시</t>
    <phoneticPr fontId="2" type="noConversion"/>
  </si>
  <si>
    <t>windowMoveType</t>
    <phoneticPr fontId="2" type="noConversion"/>
  </si>
  <si>
    <t>키보드 입력을 통한 항목 선택</t>
    <phoneticPr fontId="2" type="noConversion"/>
  </si>
  <si>
    <t>WindowContainer 밖으로 드래깅된 윈도우의 위치를 결정</t>
    <phoneticPr fontId="2" type="noConversion"/>
  </si>
  <si>
    <t>필터링 조건 입력 상자(useFilterList="true")에 검색 기능 제공.</t>
    <phoneticPr fontId="2" type="noConversion"/>
  </si>
  <si>
    <t xml:space="preserve">헤더(inputType="checkbox")의 체크박스를 통한 전체 셀 선택 시 disabled 및 readOnly 셀 선택 상태 포함 여부. </t>
    <phoneticPr fontId="2" type="noConversion"/>
  </si>
  <si>
    <t>다운로드한 Excel 파일에 적용할 포맷팅 함수를 지정</t>
    <phoneticPr fontId="2" type="noConversion"/>
  </si>
  <si>
    <t>inputType=“custom” dataType=“number” (혹은 "bigDecimal") 셀의 데이터를 다운로드한 Excel 파일에서 숫자로 인식하여 숫자 계산을 지원.</t>
    <phoneticPr fontId="2" type="noConversion"/>
  </si>
  <si>
    <t>https://youtu.be/5S247ShXA9g</t>
    <phoneticPr fontId="2" type="noConversion"/>
  </si>
  <si>
    <t xml:space="preserve">특정 영역을 지정하여, 해당 영역에 속하는 셀만 선택. </t>
    <phoneticPr fontId="2" type="noConversion"/>
  </si>
  <si>
    <t>GridView 내에서, 혹은 서로 다른 GridView 사이에 GridView 행 전체를 드래그-앤-드롭.</t>
    <phoneticPr fontId="2" type="noConversion"/>
  </si>
  <si>
    <t xml:space="preserve">inputType="drilldown" 컬럼을 포함한 행들을 GridView 내에서, 혹은 서로 다른 GridView 사이에서 드래깅하여 이동. </t>
    <phoneticPr fontId="2" type="noConversion"/>
  </si>
  <si>
    <t>labelWidthAuto</t>
    <phoneticPr fontId="2" type="noConversion"/>
  </si>
  <si>
    <t>w2window_selected</t>
    <phoneticPr fontId="2" type="noConversion"/>
  </si>
  <si>
    <t xml:space="preserve">groupby() </t>
    <phoneticPr fontId="2" type="noConversion"/>
  </si>
  <si>
    <t xml:space="preserve">groupbyZone </t>
    <phoneticPr fontId="2" type="noConversion"/>
  </si>
  <si>
    <t>선택 항목의 label 길이에 따라 SelectBox의 너비 조절.</t>
    <phoneticPr fontId="2" type="noConversion"/>
  </si>
  <si>
    <t>여러 윈도우 중 현재 선택된 윈도우를 구분하는 스타일 지정.</t>
    <phoneticPr fontId="2" type="noConversion"/>
  </si>
  <si>
    <t>함수를 통한 그룹핑 수행.</t>
    <phoneticPr fontId="2" type="noConversion"/>
  </si>
  <si>
    <t>한 개 이상의 컬럼 헤더를 드래그-앤-드롭하여 그룹핑을 수행할 수 있도록 허용.</t>
    <phoneticPr fontId="2" type="noConversion"/>
  </si>
  <si>
    <t>그룹핑 조건 반환</t>
    <phoneticPr fontId="2" type="noConversion"/>
  </si>
  <si>
    <t>https://youtu.be/qLlMWSH_WwE</t>
    <phoneticPr fontId="2" type="noConversion"/>
  </si>
  <si>
    <t>https://youtu.be/7DGZtipfrf0</t>
    <phoneticPr fontId="2" type="noConversion"/>
  </si>
  <si>
    <t>https://youtu.be/H3h9EJvdoIk</t>
    <phoneticPr fontId="2" type="noConversion"/>
  </si>
  <si>
    <t>그룹핑 기준 컬럼 수 제한</t>
    <phoneticPr fontId="2" type="noConversion"/>
  </si>
  <si>
    <t>그룹핑 영역 높이 및 그룹핑 영역에 표시할 메시지 지정</t>
    <phoneticPr fontId="2" type="noConversion"/>
  </si>
  <si>
    <t>필터를 유지한 채 그룹핑 수행</t>
    <phoneticPr fontId="2" type="noConversion"/>
  </si>
  <si>
    <t>customFilterBox_GridView</t>
    <phoneticPr fontId="2" type="noConversion"/>
  </si>
  <si>
    <t>Key</t>
    <phoneticPr fontId="2" type="noConversion"/>
  </si>
  <si>
    <t>https://youtu.be/PuhCRu0KEmo</t>
    <phoneticPr fontId="2" type="noConversion"/>
  </si>
  <si>
    <t>groupbyZone_GridView</t>
    <phoneticPr fontId="2" type="noConversion"/>
  </si>
  <si>
    <t>https://youtu.be/uu1wFeYjNKc</t>
    <phoneticPr fontId="2" type="noConversion"/>
  </si>
  <si>
    <t>groupbyFilterBox_groupbyFilterBoxLocation_GridView</t>
    <phoneticPr fontId="2" type="noConversion"/>
  </si>
  <si>
    <t>https://youtu.be/-qWrX0UwPnE</t>
    <phoneticPr fontId="2" type="noConversion"/>
  </si>
  <si>
    <t>https://youtu.be/eI_9K0QEJI4</t>
    <phoneticPr fontId="2" type="noConversion"/>
  </si>
  <si>
    <t>groupbyZoneHeight_groupbyZoneMessage_GridView</t>
    <phoneticPr fontId="2" type="noConversion"/>
  </si>
  <si>
    <t>caseSensitive_search_useKeywordHighlight_AutoComplete</t>
    <phoneticPr fontId="2" type="noConversion"/>
  </si>
  <si>
    <t>groupby_GridView</t>
    <phoneticPr fontId="2" type="noConversion"/>
  </si>
  <si>
    <t>https://youtu.be/1THvU4kuA5Y</t>
    <phoneticPr fontId="2" type="noConversion"/>
  </si>
  <si>
    <t>https://youtu.be/ODulxBbi1hY</t>
    <phoneticPr fontId="2" type="noConversion"/>
  </si>
  <si>
    <t>getGroupbyData_GridView</t>
    <phoneticPr fontId="2" type="noConversion"/>
  </si>
  <si>
    <t>https://youtu.be/8QHBOsQZ4VQ</t>
    <phoneticPr fontId="2" type="noConversion"/>
  </si>
  <si>
    <t>groupbyMaxCount_GridView</t>
    <phoneticPr fontId="2" type="noConversion"/>
  </si>
  <si>
    <t>dataDragSelect_useShiftKey_GridView</t>
    <phoneticPr fontId="2" type="noConversion"/>
  </si>
  <si>
    <t>labelWidthAuto_SelectBox</t>
    <phoneticPr fontId="2" type="noConversion"/>
  </si>
  <si>
    <t>setDrillDownDragDrop_GridView</t>
    <phoneticPr fontId="2" type="noConversion"/>
  </si>
  <si>
    <t>https://youtu.be/CAh0xUkNLts</t>
    <phoneticPr fontId="2" type="noConversion"/>
  </si>
  <si>
    <t>dataDragDrop_GridView</t>
    <phoneticPr fontId="2" type="noConversion"/>
  </si>
  <si>
    <t>https://youtu.be/Mycybcw6kZ4</t>
    <phoneticPr fontId="2" type="noConversion"/>
  </si>
  <si>
    <t>setFocusedMultiCell_GridView</t>
    <phoneticPr fontId="2" type="noConversion"/>
  </si>
  <si>
    <t>https://youtu.be/erKy4irXoBY</t>
    <phoneticPr fontId="2" type="noConversion"/>
  </si>
  <si>
    <t>w2window_selected_WindowContainer</t>
    <phoneticPr fontId="2" type="noConversion"/>
  </si>
  <si>
    <t>https://youtu.be/IwIiNZJvo1c</t>
    <phoneticPr fontId="2" type="noConversion"/>
  </si>
  <si>
    <t>drawType</t>
    <phoneticPr fontId="2" type="noConversion"/>
  </si>
  <si>
    <t>렌더링 방법 선택</t>
    <phoneticPr fontId="2" type="noConversion"/>
  </si>
  <si>
    <t>https://youtu.be/JvQNnEjHWzc</t>
    <phoneticPr fontId="2" type="noConversion"/>
  </si>
  <si>
    <t>setCellInputType_setCellInputTypeCustom_GridView</t>
    <phoneticPr fontId="2" type="noConversion"/>
  </si>
  <si>
    <t>sortLabel_gridView_column</t>
    <phoneticPr fontId="2" type="noConversion"/>
  </si>
  <si>
    <t>disableBeforeDate_disableAfterDate_InputCalendar</t>
  </si>
  <si>
    <t>pivotExcelDownload_options_autoSizeColumn_Pivot</t>
    <phoneticPr fontId="2" type="noConversion"/>
  </si>
  <si>
    <t>tabScroll_changeActiveTab_TabControl</t>
  </si>
  <si>
    <t>maxLength_InputBox</t>
  </si>
  <si>
    <t>onselected_AutoComplete</t>
  </si>
  <si>
    <t>onselected_SelectBox</t>
  </si>
  <si>
    <t>dateValidSetCustom_setValueCancel_InputCalendar</t>
  </si>
  <si>
    <t>headerYMerge_Pivot</t>
  </si>
  <si>
    <t>exceptEmptyValue_config_xml</t>
  </si>
  <si>
    <t>excelFormat_gridView_column</t>
  </si>
  <si>
    <t>noColumnMove_Pivot</t>
  </si>
  <si>
    <t>checkboxLabelColumn_radioLabelColumn_gridView_column</t>
    <phoneticPr fontId="2" type="noConversion"/>
  </si>
  <si>
    <t>useLocale_localeRef_Multi_language</t>
    <phoneticPr fontId="2" type="noConversion"/>
  </si>
  <si>
    <t>useLocale_useItemLocale_Multi_language</t>
  </si>
  <si>
    <t>useLocale_useItemLocale_chooseOption_chooseOptionLabelLocaleRef_Multi_language</t>
  </si>
  <si>
    <t>unCollapseAll_Accordion</t>
  </si>
  <si>
    <t>headerYMerge_pivotExcelDownload_Pivot</t>
  </si>
  <si>
    <t>useLocale_tooltipLocaleRef_Multi_language</t>
    <phoneticPr fontId="2" type="noConversion"/>
  </si>
  <si>
    <t>https://youtu.be/mV2H51EV_iw</t>
    <phoneticPr fontId="2" type="noConversion"/>
  </si>
  <si>
    <t>createWindow_defaultWidth_defaultHeight_WindowContainer</t>
  </si>
  <si>
    <t>visibleColMax_CheckComboBox</t>
  </si>
  <si>
    <t>visibleColNum_CheckComboBox</t>
  </si>
  <si>
    <t>useDrag_rangeSeparator_CheckComboBox</t>
  </si>
  <si>
    <t>useEdit_CheckComboBox</t>
  </si>
  <si>
    <t>validateOnInput_CheckComboBox</t>
  </si>
  <si>
    <t>useFilterSearch_GridView</t>
  </si>
  <si>
    <t>checkAllType_GridView</t>
  </si>
  <si>
    <t>advancedExcelDownload_customToDataType_GridView</t>
  </si>
  <si>
    <t>excelFormatter_gridView_column</t>
  </si>
  <si>
    <t>drawType_GridView</t>
    <phoneticPr fontId="2" type="noConversion"/>
  </si>
  <si>
    <t>Done</t>
  </si>
  <si>
    <t>Done</t>
    <phoneticPr fontId="2" type="noConversion"/>
  </si>
  <si>
    <t>_Multi-language</t>
    <phoneticPr fontId="2" type="noConversion"/>
  </si>
  <si>
    <t>ioFormat_displayFormat_calendarDisplayFormat_InputCalendar</t>
  </si>
  <si>
    <t>advancedExcelDownload_type_convertIndex_GridView</t>
  </si>
  <si>
    <t>advancedExcelUpload_type_convertIndex_GridView</t>
  </si>
  <si>
    <t>advancedExcelDownload_type_GridView</t>
  </si>
  <si>
    <t>autoArrange_WindowContainer</t>
  </si>
  <si>
    <t>useWindowScrollButton_windowScrollVisibleRowNum_WindowContainer</t>
  </si>
  <si>
    <t>UDC</t>
  </si>
  <si>
    <t>dataList_dataMap_linkedDataList</t>
  </si>
  <si>
    <t>API</t>
    <phoneticPr fontId="2" type="noConversion"/>
  </si>
  <si>
    <t>gridView column - excelFormat</t>
  </si>
  <si>
    <t>gridView.column - orderByColumn</t>
    <phoneticPr fontId="2" type="noConversion"/>
  </si>
  <si>
    <t>gridView.column - checkboxLabelColumn radioLabelColumn</t>
    <phoneticPr fontId="2" type="noConversion"/>
  </si>
  <si>
    <t>WindowContainer - useWindowScrollButton</t>
    <phoneticPr fontId="2" type="noConversion"/>
  </si>
  <si>
    <t>Multi-language - useLocale &amp; useItemLocale</t>
  </si>
  <si>
    <t>Multi-language - useLocale &amp; localeRef</t>
  </si>
  <si>
    <t>Multi-language - useLocale &amp; tooltipLocaleRef</t>
  </si>
  <si>
    <t>Multi-language - chooseOptionLabelLocaleRef</t>
  </si>
  <si>
    <t>Accordion - unCollapseAll</t>
  </si>
  <si>
    <t>Pivot - headerYMerge &amp; pivotExcelDownload()</t>
  </si>
  <si>
    <t>InputBox - maxLength</t>
  </si>
  <si>
    <t>AutoComplete - onselected</t>
  </si>
  <si>
    <t>SelectBox - onselected</t>
  </si>
  <si>
    <t>GridView - drawType</t>
  </si>
  <si>
    <t>GridView - groupbyZoneHeight &amp; groupbyZoneMessage</t>
  </si>
  <si>
    <t>GridView - groupbyMaxCount</t>
  </si>
  <si>
    <t xml:space="preserve">GridView - getGroupbyData() </t>
  </si>
  <si>
    <t>GridView - groupbyZone</t>
  </si>
  <si>
    <t>WindowContainer - .w2window_selected</t>
  </si>
  <si>
    <t>GridView - setDrillDownDragDrop()</t>
  </si>
  <si>
    <t>GridView - setFocusedMultiCell()</t>
  </si>
  <si>
    <t>CheckComboBox - visibleColNum</t>
  </si>
  <si>
    <t>CheckComboBox - visibleColMax</t>
  </si>
  <si>
    <t>WindowContainer - createWindow() defaultWidth/Height</t>
  </si>
  <si>
    <t>disableBeforeDate() 
disableAfterDate() 
ioFormat</t>
    <phoneticPr fontId="2" type="noConversion"/>
  </si>
  <si>
    <t>$p.executeSubmission() 
submit  
submitdone 
submiterror</t>
    <phoneticPr fontId="2" type="noConversion"/>
  </si>
  <si>
    <t>useShiftKey 
dataDragSelect</t>
    <phoneticPr fontId="2" type="noConversion"/>
  </si>
  <si>
    <t>dataType=“bigDecimal” 
dataType=“number” 
submission 
$p.executeSubmission 
exceptEmptyValue</t>
    <phoneticPr fontId="2" type="noConversion"/>
  </si>
  <si>
    <t>caseSensitive 
search 
useKeywordHighlight</t>
    <phoneticPr fontId="2" type="noConversion"/>
  </si>
  <si>
    <t>excelFormat 
advancedExcelDownload()</t>
    <phoneticPr fontId="2" type="noConversion"/>
  </si>
  <si>
    <t>isPopup() 
$p.openPopup() 
"wframePopup" 
"browserPopup"</t>
    <phoneticPr fontId="2" type="noConversion"/>
  </si>
  <si>
    <t>inputType="checkbox" 
checkboxLabelColumn  
inputType="radio" 
radioLabelColumn</t>
    <phoneticPr fontId="2" type="noConversion"/>
  </si>
  <si>
    <t>useLocale="true" 
localeRef 
config.xml 
useLanguagePack</t>
    <phoneticPr fontId="2" type="noConversion"/>
  </si>
  <si>
    <t>useLocale="true" 
useItemLocale="true" 
config.xml 
useLanguagePack</t>
    <phoneticPr fontId="2" type="noConversion"/>
  </si>
  <si>
    <t>useLocale="true" 
useItemLocale="true" 
allOption="true" 
chooseOption="true" 
chooseOptionLabelLocaleRef 
config.xml 
useLanguagePack</t>
    <phoneticPr fontId="2" type="noConversion"/>
  </si>
  <si>
    <t>useLocale="true" 
tooltipLocaleRef 
config.xml 
useLanguagePack</t>
    <phoneticPr fontId="2" type="noConversion"/>
  </si>
  <si>
    <t>headerYMerge="true" 
pivotExcelDownload()</t>
    <phoneticPr fontId="2" type="noConversion"/>
  </si>
  <si>
    <t>useFixButton="true" 
nameLayerRearrange="true"</t>
    <phoneticPr fontId="2" type="noConversion"/>
  </si>
  <si>
    <t>createWindow(winObj) 
winObj.defaultWidth 
winObj.defaultHeight</t>
    <phoneticPr fontId="2" type="noConversion"/>
  </si>
  <si>
    <t>visibleColMax 
visibleRowNum</t>
    <phoneticPr fontId="2" type="noConversion"/>
  </si>
  <si>
    <t>useDrag="true" 
rangeSeparator 
separator</t>
    <phoneticPr fontId="2" type="noConversion"/>
  </si>
  <si>
    <t>useEdit 
validateOnInput</t>
    <phoneticPr fontId="2" type="noConversion"/>
  </si>
  <si>
    <t>checkAllType 
inputType="checkbox"</t>
    <phoneticPr fontId="2" type="noConversion"/>
  </si>
  <si>
    <t>excelFormatter 
advancedExcelDownload()</t>
    <phoneticPr fontId="2" type="noConversion"/>
  </si>
  <si>
    <t>setFocusedMultiCell() 
focusMode</t>
    <phoneticPr fontId="2" type="noConversion"/>
  </si>
  <si>
    <t xml:space="preserve">dataDragDrop 
useShiftKey </t>
    <phoneticPr fontId="2" type="noConversion"/>
  </si>
  <si>
    <t>setDrillDownDragDrop() 
dataDragDrop 
inputType="drilldown"</t>
    <phoneticPr fontId="2" type="noConversion"/>
  </si>
  <si>
    <t>getGroupbyData() 
groupbyZone</t>
    <phoneticPr fontId="2" type="noConversion"/>
  </si>
  <si>
    <t xml:space="preserve">groupbyMaxCount 
groupbyZone </t>
    <phoneticPr fontId="2" type="noConversion"/>
  </si>
  <si>
    <t>groupbyZoneHeight 
groupbyZoneMessage 
groupbyZone</t>
    <phoneticPr fontId="2" type="noConversion"/>
  </si>
  <si>
    <t>groupbyFilterBox 
groupbyFilterBoxLocation 
groupbyZone</t>
    <phoneticPr fontId="2" type="noConversion"/>
  </si>
  <si>
    <t>customfilterbox 
groupbyZone=“true” 
groupbyFilterBox=“true” 
useFilterList=“true” 
useFilter=“true” (Header)</t>
    <phoneticPr fontId="2" type="noConversion"/>
  </si>
  <si>
    <t>/Accordion/unCollapseAll_Accordion.xml</t>
    <phoneticPr fontId="2" type="noConversion"/>
  </si>
  <si>
    <t>/AutoComplete/onselected_AutoComplete.xml</t>
    <phoneticPr fontId="2" type="noConversion"/>
  </si>
  <si>
    <t>/AutoComplete/caseSensitive_search_useKeywordHighlight_AutoComplete.xml</t>
    <phoneticPr fontId="2" type="noConversion"/>
  </si>
  <si>
    <t>/CheckComboBox/visibleColNum_CheckComboBox.xml</t>
    <phoneticPr fontId="2" type="noConversion"/>
  </si>
  <si>
    <t>/CheckComboBox/useEdit_CheckComboBox.xml</t>
    <phoneticPr fontId="2" type="noConversion"/>
  </si>
  <si>
    <t>/GridView/Excel/excelFormat_gridView_column.xml</t>
    <phoneticPr fontId="2" type="noConversion"/>
  </si>
  <si>
    <t>/GridView/Grouping/groupby_GridView.xml</t>
    <phoneticPr fontId="2" type="noConversion"/>
  </si>
  <si>
    <t>/GridView/Grouping/groupbyZone_GridView.xml</t>
    <phoneticPr fontId="2" type="noConversion"/>
  </si>
  <si>
    <t>/GridView/Grouping/getGroupbyData_GridView.xml</t>
    <phoneticPr fontId="2" type="noConversion"/>
  </si>
  <si>
    <t>/GridView/Grouping/groupbyMaxCount_GridView.xml</t>
    <phoneticPr fontId="2" type="noConversion"/>
  </si>
  <si>
    <t>/GridView/Grouping/groupbyZoneHeight_groupbyZoneMessage_GridView.xml</t>
    <phoneticPr fontId="2" type="noConversion"/>
  </si>
  <si>
    <t>/GridView/Grouping/groupbyFilterBox_groupbyFilterBoxLocation_GridView.xml</t>
    <phoneticPr fontId="2" type="noConversion"/>
  </si>
  <si>
    <t>/GridView/Grouping/customFilterBox_GridView.xml</t>
    <phoneticPr fontId="2" type="noConversion"/>
  </si>
  <si>
    <t>/GridView/_General/drawType_GridView.xml</t>
    <phoneticPr fontId="2" type="noConversion"/>
  </si>
  <si>
    <t>/InputBox/maxLength_InputBox.xml</t>
    <phoneticPr fontId="2" type="noConversion"/>
  </si>
  <si>
    <t>/InputCalendar/disableBeforeDate_disableAfterDate_InputCalendar.xml</t>
    <phoneticPr fontId="2" type="noConversion"/>
  </si>
  <si>
    <t>/Pivot/pivotExcelDownload_options_autoSizeColumn_Pivot.xml</t>
    <phoneticPr fontId="2" type="noConversion"/>
  </si>
  <si>
    <t>/Pivot/noColumnMove_Pivot.xml</t>
    <phoneticPr fontId="2" type="noConversion"/>
  </si>
  <si>
    <t>/Pivot/headerYMerge_pivotExcelDownload_Pivot.xml</t>
    <phoneticPr fontId="2" type="noConversion"/>
  </si>
  <si>
    <t>/SelectBox/onselected_SelectBox.xml</t>
    <phoneticPr fontId="2" type="noConversion"/>
  </si>
  <si>
    <t>/WindowContainer/useWindowScrollButton_WindowContainer.xml</t>
    <phoneticPr fontId="2" type="noConversion"/>
  </si>
  <si>
    <t>/WindowContainer/w2window_selected_WindowContainer.xml</t>
    <phoneticPr fontId="2" type="noConversion"/>
  </si>
  <si>
    <t>/Pivot/headerYMerge_Pivot.xml</t>
    <phoneticPr fontId="2" type="noConversion"/>
  </si>
  <si>
    <t xml:space="preserve">GridView 특정 셀의 inputType을 동적으로 변경. </t>
    <phoneticPr fontId="2" type="noConversion"/>
  </si>
  <si>
    <t>컬럼의 데이터를 라벨값을 기준으로 정렬.</t>
    <phoneticPr fontId="2" type="noConversion"/>
  </si>
  <si>
    <t>useFilterList="true" 
useFilterSearch</t>
    <phoneticPr fontId="2" type="noConversion"/>
  </si>
  <si>
    <t>setCellInputType() 
setCellInputTypeCustom</t>
    <phoneticPr fontId="2" type="noConversion"/>
  </si>
  <si>
    <t>/GridView/Dragging/dataDragSelect_useShiftKey_GridView.xml</t>
    <phoneticPr fontId="2" type="noConversion"/>
  </si>
  <si>
    <t>/GridView/_General/checkAllType_GridView.xml</t>
    <phoneticPr fontId="2" type="noConversion"/>
  </si>
  <si>
    <t>/SelectBox/labelWidthAuto_SelectBox.xml</t>
    <phoneticPr fontId="2" type="noConversion"/>
  </si>
  <si>
    <t>InputCalendar - disableBeforeDate &amp; disableAfterDate</t>
    <phoneticPr fontId="2" type="noConversion"/>
  </si>
  <si>
    <t>특정 날짜 이전/이후의 날짜들을 비활성화</t>
    <phoneticPr fontId="2" type="noConversion"/>
  </si>
  <si>
    <t>InputCalendar - dateValidSetCustom &amp; setValueCancel()</t>
    <phoneticPr fontId="2" type="noConversion"/>
  </si>
  <si>
    <t>dateValidCheck="true"
dateValidSet="true"
validCheck="true"
dateValidSetCustom="true"
invalidMessageFunc
setValueCancel()</t>
    <phoneticPr fontId="2" type="noConversion"/>
  </si>
  <si>
    <t>Pivot - pivotExcelDownload &amp; options.autoSizeColumn</t>
    <phoneticPr fontId="2" type="noConversion"/>
  </si>
  <si>
    <t>Pivot - headerYMerge</t>
    <phoneticPr fontId="2" type="noConversion"/>
  </si>
  <si>
    <t>Pivot - noColumnMove</t>
    <phoneticPr fontId="2" type="noConversion"/>
  </si>
  <si>
    <t>GridView - dataDragDrop</t>
    <phoneticPr fontId="2" type="noConversion"/>
  </si>
  <si>
    <t>GridView - groupby()</t>
    <phoneticPr fontId="2" type="noConversion"/>
  </si>
  <si>
    <t>초기에는 최대 크기로 생성되나 창 크기 복원 아이콘을 클릭하면 지정한 크기로 축소됨</t>
    <phoneticPr fontId="2" type="noConversion"/>
  </si>
  <si>
    <t xml:space="preserve">업로드 대상 파일의 수를 반환. </t>
    <phoneticPr fontId="2" type="noConversion"/>
  </si>
  <si>
    <t>getFileCount_MultiUpload</t>
    <phoneticPr fontId="2" type="noConversion"/>
  </si>
  <si>
    <t xml:space="preserve"> - </t>
    <phoneticPr fontId="2" type="noConversion"/>
  </si>
  <si>
    <t>WFrame, IFrame, 브라우저 팝업을 모달 혹은 모달리스 형태로 생성.</t>
    <phoneticPr fontId="2" type="noConversion"/>
  </si>
  <si>
    <t>$p.openPopup()
options.type : "wframePopup" "iframePopup" "browserPopup" 
options.modal="true"</t>
    <phoneticPr fontId="2" type="noConversion"/>
  </si>
  <si>
    <t>$p.openPopup()
options.type="wframePopup" // "iframePopup" "browserPopup"
options.modal="true"
options.frameModal="top" // "frame" "parent" framdId</t>
    <phoneticPr fontId="2" type="noConversion"/>
  </si>
  <si>
    <t>frameModal_WFrame</t>
    <phoneticPr fontId="2" type="noConversion"/>
  </si>
  <si>
    <t>frameModal="true" 
openPopup()</t>
    <phoneticPr fontId="2" type="noConversion"/>
  </si>
  <si>
    <t>WFrame - frameModal</t>
    <phoneticPr fontId="2" type="noConversion"/>
  </si>
  <si>
    <t>GridView - setCellInputType() &amp; setCellInputTypeCustom</t>
    <phoneticPr fontId="2" type="noConversion"/>
  </si>
  <si>
    <t>sortable="true" 
sortLabel="true" 
inputType="autoComplete" "select" "custom" 
setCellInputType() 
setCellInputTypeCustom</t>
    <phoneticPr fontId="2" type="noConversion"/>
  </si>
  <si>
    <t>MultiUpload - getFileCount()</t>
    <phoneticPr fontId="2" type="noConversion"/>
  </si>
  <si>
    <t>그룹핑 필터 박스 표시</t>
    <phoneticPr fontId="2" type="noConversion"/>
  </si>
  <si>
    <t>window frameMode="wframe" 
$p.openPopup();
options.frameModal</t>
    <phoneticPr fontId="2" type="noConversion"/>
  </si>
  <si>
    <t>tabControl.content - frameMode</t>
    <phoneticPr fontId="2" type="noConversion"/>
  </si>
  <si>
    <t>tabControl.content frameMode="wframe" // "wframePreload"
$p.openPopup();
options.type : "wframePopup" 
options.modal : "true"
options.frameModal : "" // "frame" "parent" "top"  framdId</t>
    <phoneticPr fontId="2" type="noConversion"/>
  </si>
  <si>
    <t xml:space="preserve">frameMode="wframe" 혹은 "wframePreload" 탭에서 지정한 영역에만 표시되는 모달 팝업을 생성. </t>
    <phoneticPr fontId="2" type="noConversion"/>
  </si>
  <si>
    <t>frameMode="wframe" 윈도우에서에서 지정한 영역에만 표시되는 모달 팝업을 생성.</t>
    <phoneticPr fontId="2" type="noConversion"/>
  </si>
  <si>
    <t>frameMode="wframe" 윈도우 상에서 팝업을 닫을 경우 모든 자식 팝업을 함께 닫기.</t>
    <phoneticPr fontId="2" type="noConversion"/>
  </si>
  <si>
    <t>frameMode="wframe" 혹은 "wframePreload"  탭 상에서 팝업을 닫을 경우 모든 자식 팝업을 함께 닫기.</t>
    <phoneticPr fontId="2" type="noConversion"/>
  </si>
  <si>
    <t>지정한 WFrame 영역에만 표시되는 팝업을 생성.</t>
    <phoneticPr fontId="2" type="noConversion"/>
  </si>
  <si>
    <t xml:space="preserve">WFrame 내에서 부모 팝업을 닫을 때 부모 팝업이 생성한 모든 자식 팝업을 함께 닫기. </t>
    <phoneticPr fontId="2" type="noConversion"/>
  </si>
  <si>
    <t>window frameMode=“wframe” 
frameModal="true"
$p.openPopup()</t>
    <phoneticPr fontId="2" type="noConversion"/>
  </si>
  <si>
    <t>WindowContainer - createWindow() &amp; frameModal</t>
    <phoneticPr fontId="2" type="noConversion"/>
  </si>
  <si>
    <t>frameModal_TabControl</t>
    <phoneticPr fontId="2" type="noConversion"/>
  </si>
  <si>
    <t>displayDayType</t>
    <phoneticPr fontId="2" type="noConversion"/>
  </si>
  <si>
    <t>getSelectedIndex()</t>
    <phoneticPr fontId="2" type="noConversion"/>
  </si>
  <si>
    <t>https://youtu.be/dPBccNsVIGg</t>
    <phoneticPr fontId="2" type="noConversion"/>
  </si>
  <si>
    <t>https://youtu.be/SeI-m3AHLpM</t>
    <phoneticPr fontId="2" type="noConversion"/>
  </si>
  <si>
    <t>https://youtu.be/oQNBP6TfFAU</t>
    <phoneticPr fontId="2" type="noConversion"/>
  </si>
  <si>
    <t>https://youtu.be/z8XAjzKVfDw</t>
    <phoneticPr fontId="2" type="noConversion"/>
  </si>
  <si>
    <t>https://youtu.be/cyOfyb2seAE</t>
    <phoneticPr fontId="2" type="noConversion"/>
  </si>
  <si>
    <t>https://youtu.be/CcCOLLL5yMw</t>
    <phoneticPr fontId="2" type="noConversion"/>
  </si>
  <si>
    <t>https://youtu.be/srqwDbr70FM</t>
    <phoneticPr fontId="2" type="noConversion"/>
  </si>
  <si>
    <t>https://youtu.be/eA6lQkcBGsY</t>
    <phoneticPr fontId="2" type="noConversion"/>
  </si>
  <si>
    <t>https://youtu.be/dGoIpOaHJcA</t>
    <phoneticPr fontId="2" type="noConversion"/>
  </si>
  <si>
    <t>https://youtu.be/Jcjnt96eANc</t>
    <phoneticPr fontId="2" type="noConversion"/>
  </si>
  <si>
    <t>https://youtu.be/VHDKqxpuCzk</t>
    <phoneticPr fontId="2" type="noConversion"/>
  </si>
  <si>
    <t>https://youtu.be/d5tq5y7e9j8</t>
    <phoneticPr fontId="2" type="noConversion"/>
  </si>
  <si>
    <t>https://youtu.be/vFo-uXLpHbs</t>
    <phoneticPr fontId="2" type="noConversion"/>
  </si>
  <si>
    <t>https://youtu.be/4SEWyOMmfvY</t>
    <phoneticPr fontId="2" type="noConversion"/>
  </si>
  <si>
    <t>https://youtu.be/BA_jfVX_whE</t>
    <phoneticPr fontId="2" type="noConversion"/>
  </si>
  <si>
    <t>https://youtu.be/MbaDvgdtVIQ</t>
    <phoneticPr fontId="2" type="noConversion"/>
  </si>
  <si>
    <t>https://youtu.be/8_M6tXdgwgM</t>
    <phoneticPr fontId="2" type="noConversion"/>
  </si>
  <si>
    <t>https://youtu.be/vf18BZmGuoQ</t>
    <phoneticPr fontId="2" type="noConversion"/>
  </si>
  <si>
    <t>https://youtu.be/R2pEQDkH6Yw</t>
    <phoneticPr fontId="2" type="noConversion"/>
  </si>
  <si>
    <t>https://youtu.be/kTIlquVF8yw</t>
    <phoneticPr fontId="2" type="noConversion"/>
  </si>
  <si>
    <t>https://youtu.be/Ch-k_-Vo8Kk</t>
    <phoneticPr fontId="2" type="noConversion"/>
  </si>
  <si>
    <t>https://youtu.be/ru16t-GdHx0</t>
    <phoneticPr fontId="2" type="noConversion"/>
  </si>
  <si>
    <t>orderByColumn_gridView_column</t>
    <phoneticPr fontId="2" type="noConversion"/>
  </si>
  <si>
    <t>https://youtu.be/PlMxvfTZ55o</t>
    <phoneticPr fontId="2" type="noConversion"/>
  </si>
  <si>
    <t>https://youtu.be/9iG--eshvBI</t>
    <phoneticPr fontId="2" type="noConversion"/>
  </si>
  <si>
    <t>https://youtu.be/3AzVyG6XZ6k</t>
    <phoneticPr fontId="2" type="noConversion"/>
  </si>
  <si>
    <t>https://youtu.be/VPx1BHrDEjc</t>
    <phoneticPr fontId="2" type="noConversion"/>
  </si>
  <si>
    <t>https://youtu.be/LzioAerK1g0</t>
    <phoneticPr fontId="2" type="noConversion"/>
  </si>
  <si>
    <t>/InputCalendar/displayDayType_InputCalendar.xml</t>
    <phoneticPr fontId="2" type="noConversion"/>
  </si>
  <si>
    <t xml:space="preserve">달력의 요일을 이미지 혹은 텍스트로 표시. </t>
    <phoneticPr fontId="2" type="noConversion"/>
  </si>
  <si>
    <t>https://youtu.be/ChiZeVzrJY4</t>
    <phoneticPr fontId="2" type="noConversion"/>
  </si>
  <si>
    <t>displayDayType_Calendar</t>
    <phoneticPr fontId="2" type="noConversion"/>
  </si>
  <si>
    <t>createWindow_frameModal_WindowContainer</t>
    <phoneticPr fontId="2" type="noConversion"/>
  </si>
  <si>
    <t>https://youtu.be/OT_ps7WMpz4</t>
    <phoneticPr fontId="2" type="noConversion"/>
  </si>
  <si>
    <t>displayDayType_InputCalendar</t>
    <phoneticPr fontId="2" type="noConversion"/>
  </si>
  <si>
    <t>copyType_GridView</t>
    <phoneticPr fontId="2" type="noConversion"/>
  </si>
  <si>
    <t>/GridView/_General/copyType_GridView.xml</t>
    <phoneticPr fontId="2" type="noConversion"/>
  </si>
  <si>
    <t xml:space="preserve">GridView에서 데이터를 복사할 때 데이터 복사 방법을 지정. </t>
    <phoneticPr fontId="2" type="noConversion"/>
  </si>
  <si>
    <t>https://youtu.be/wtetKx3tna0</t>
    <phoneticPr fontId="2" type="noConversion"/>
  </si>
  <si>
    <t>copyType</t>
    <phoneticPr fontId="2" type="noConversion"/>
  </si>
  <si>
    <t>Calendar - displayDayType</t>
    <phoneticPr fontId="2" type="noConversion"/>
  </si>
  <si>
    <t>GridView - copyType</t>
    <phoneticPr fontId="2" type="noConversion"/>
  </si>
  <si>
    <t>현재 선택된 윈도우의 인덱스를 확인.</t>
    <phoneticPr fontId="2" type="noConversion"/>
  </si>
  <si>
    <t>WindowContainer - getSelectedIndex()</t>
    <phoneticPr fontId="2" type="noConversion"/>
  </si>
  <si>
    <t>하나의 GridView 내에서 드래그-앤-드롭으로 행을 이동할 경우, rowStatus를 유지.</t>
    <phoneticPr fontId="2" type="noConversion"/>
  </si>
  <si>
    <t>GridView - dataDragDropStatus</t>
    <phoneticPr fontId="2" type="noConversion"/>
  </si>
  <si>
    <t>GridView - subtotalStyleFormatter</t>
    <phoneticPr fontId="2" type="noConversion"/>
  </si>
  <si>
    <t>https://youtu.be/AteLPAoIYK8</t>
    <phoneticPr fontId="2" type="noConversion"/>
  </si>
  <si>
    <t>getSelectedIndex_WindowContainer</t>
    <phoneticPr fontId="2" type="noConversion"/>
  </si>
  <si>
    <t>/WindowContainer/getSelectedIndex_WindowContainer.xml</t>
    <phoneticPr fontId="2" type="noConversion"/>
  </si>
  <si>
    <t>subtotal에 적용할 CSS 클래스를 판단. 즉, subtotal 데이터에 따라 서로 다른 CSS를 적용.</t>
    <phoneticPr fontId="2" type="noConversion"/>
  </si>
  <si>
    <t>subtotalStyleFormatter_GridView</t>
    <phoneticPr fontId="2" type="noConversion"/>
  </si>
  <si>
    <t>https://youtu.be/_Hh63KhRaII</t>
    <phoneticPr fontId="2" type="noConversion"/>
  </si>
  <si>
    <t>dataDragDropStatus_GridView</t>
    <phoneticPr fontId="2" type="noConversion"/>
  </si>
  <si>
    <t>subtotalStyleFormatter</t>
    <phoneticPr fontId="2" type="noConversion"/>
  </si>
  <si>
    <t>https://youtu.be/GaGi7q3_Lps</t>
    <phoneticPr fontId="2" type="noConversion"/>
  </si>
  <si>
    <t>https://youtu.be/keVnrnMaRO8</t>
    <phoneticPr fontId="2" type="noConversion"/>
  </si>
  <si>
    <t>https://youtu.be/QyALhNlbbWk</t>
    <phoneticPr fontId="2" type="noConversion"/>
  </si>
  <si>
    <t>useWindowScrollButton_WindowContainer</t>
    <phoneticPr fontId="2" type="noConversion"/>
  </si>
  <si>
    <t>https://youtu.be/CH5iy7atQh0</t>
    <phoneticPr fontId="2" type="noConversion"/>
  </si>
  <si>
    <t>https://youtu.be/9jZhEDnSmlw</t>
    <phoneticPr fontId="2" type="noConversion"/>
  </si>
  <si>
    <t>https://youtu.be/FObIC3iWy_4</t>
    <phoneticPr fontId="2" type="noConversion"/>
  </si>
  <si>
    <t>useFixButton_nameLayerRearrange_WindowContainer</t>
    <phoneticPr fontId="2" type="noConversion"/>
  </si>
  <si>
    <t>/WindowContainer/useFixButton_nameLayerRearrange_WindowContainer.xml</t>
    <phoneticPr fontId="2" type="noConversion"/>
  </si>
  <si>
    <t>https://youtu.be/BX23wkAgGtQ</t>
    <phoneticPr fontId="2" type="noConversion"/>
  </si>
  <si>
    <t>https://youtu.be/gx3a9cI8WRg</t>
    <phoneticPr fontId="2" type="noConversion"/>
  </si>
  <si>
    <t>https://youtu.be/bRaPG5A6s9U</t>
    <phoneticPr fontId="2" type="noConversion"/>
  </si>
  <si>
    <t>windowMoveType_WindowContainer</t>
    <phoneticPr fontId="2" type="noConversion"/>
  </si>
  <si>
    <t>https://youtu.be/QguEZwvqZRI</t>
    <phoneticPr fontId="2" type="noConversion"/>
  </si>
  <si>
    <t>https://youtu.be/xcc67MTK3qE</t>
    <phoneticPr fontId="2" type="noConversion"/>
  </si>
  <si>
    <t>/CheckComboBox/visibleColMax_CheckComboBox.xml</t>
    <phoneticPr fontId="2" type="noConversion"/>
  </si>
  <si>
    <t>https://youtu.be/rvPiBK7qh2o</t>
    <phoneticPr fontId="2" type="noConversion"/>
  </si>
  <si>
    <t>/CheckComboBox/useDrag_rangeSeparator_CheckComboBox.xml</t>
    <phoneticPr fontId="2" type="noConversion"/>
  </si>
  <si>
    <t>https://youtu.be/IOQuojUp1IU</t>
    <phoneticPr fontId="2" type="noConversion"/>
  </si>
  <si>
    <t>https://youtu.be/wXujNpIOb7Q</t>
    <phoneticPr fontId="2" type="noConversion"/>
  </si>
  <si>
    <t>/CheckComboBox/validateOnInput_CheckComboBox.xml</t>
    <phoneticPr fontId="2" type="noConversion"/>
  </si>
  <si>
    <t>/InputCalendar/ioFormat_displayFormat_calendarDisplayFormat_InputCalendar.xml</t>
    <phoneticPr fontId="2" type="noConversion"/>
  </si>
  <si>
    <t>포커스가 InputBox를 벗어날 때 좌측 및/혹은 우측 공백 제거.</t>
    <phoneticPr fontId="2" type="noConversion"/>
  </si>
  <si>
    <t>Spinner - initValue</t>
    <phoneticPr fontId="2" type="noConversion"/>
  </si>
  <si>
    <t>AutoComplete - oneditenter</t>
    <phoneticPr fontId="2" type="noConversion"/>
  </si>
  <si>
    <t>Group - onmouseleave &amp; onmouseenter</t>
    <phoneticPr fontId="2" type="noConversion"/>
  </si>
  <si>
    <t>InputCalendar - ioFormat &amp; displayFormat &amp; calendarDisplayFormat</t>
    <phoneticPr fontId="2" type="noConversion"/>
  </si>
  <si>
    <t>/GridView/inputType/inputType_select_gridView_column.xml</t>
    <phoneticPr fontId="2" type="noConversion"/>
  </si>
  <si>
    <t>https://youtu.be/Z_SgdHf7Nw8</t>
    <phoneticPr fontId="2" type="noConversion"/>
  </si>
  <si>
    <t>(1) 날짜 입력 형식, (2) 입력란의 날짜 출력 형식, (3) 달력의 날짜 출력 형식을 지정.</t>
    <phoneticPr fontId="2" type="noConversion"/>
  </si>
  <si>
    <t>https://youtu.be/lKcxqmtWcis</t>
    <phoneticPr fontId="2" type="noConversion"/>
  </si>
  <si>
    <t>InputCalendar - setValue() &amp; ioFormat</t>
    <phoneticPr fontId="2" type="noConversion"/>
  </si>
  <si>
    <t>setValue_ioFormat_InputCalendar</t>
    <phoneticPr fontId="2" type="noConversion"/>
  </si>
  <si>
    <t>/InputCalendar/setValue_ioFormat_InputCalendar.xml</t>
    <phoneticPr fontId="2" type="noConversion"/>
  </si>
  <si>
    <t>특정 날짜를 직접 설정.</t>
    <phoneticPr fontId="2" type="noConversion"/>
  </si>
  <si>
    <t>https://youtu.be/4R8vFFkceDc</t>
    <phoneticPr fontId="2" type="noConversion"/>
  </si>
  <si>
    <t>initValue_Spinner</t>
    <phoneticPr fontId="2" type="noConversion"/>
  </si>
  <si>
    <t xml:space="preserve">Spinner 컴포넌트의 초기값을 지정. </t>
    <phoneticPr fontId="2" type="noConversion"/>
  </si>
  <si>
    <t>/Spinner/initValue_Spinner.xml</t>
    <phoneticPr fontId="2" type="noConversion"/>
  </si>
  <si>
    <t>https://youtu.be/7I_TWRe5v5I</t>
    <phoneticPr fontId="2" type="noConversion"/>
  </si>
  <si>
    <t>InputBox - ltrim &amp; trim &amp; rtrim</t>
    <phoneticPr fontId="2" type="noConversion"/>
  </si>
  <si>
    <t>ltrim_trm_rtrim_InputBox</t>
    <phoneticPr fontId="2" type="noConversion"/>
  </si>
  <si>
    <t>/InputBox/ltrim_trm_rtrim_InputBox.xml</t>
    <phoneticPr fontId="2" type="noConversion"/>
  </si>
  <si>
    <t>사용자가 편집 모드로 진입 후 Enter 키를 누를 때 발생.</t>
    <phoneticPr fontId="2" type="noConversion"/>
  </si>
  <si>
    <t>https://youtu.be/jS5FuFdu7eo</t>
    <phoneticPr fontId="2" type="noConversion"/>
  </si>
  <si>
    <t>oneditkeyup_AutoComplete</t>
    <phoneticPr fontId="2" type="noConversion"/>
  </si>
  <si>
    <t xml:space="preserve">사용자가 키보드에서 키를 누른 후 누른 키를 놓을 때 발생. </t>
    <phoneticPr fontId="2" type="noConversion"/>
  </si>
  <si>
    <t>/AutoComplete/oneditkeyup_AutoComplete.xml</t>
    <phoneticPr fontId="2" type="noConversion"/>
  </si>
  <si>
    <t>AutoComplete - nextTabByEnter &amp; nextTabID</t>
    <phoneticPr fontId="2" type="noConversion"/>
  </si>
  <si>
    <t>마우스가 Group 컴포넌트 밖으로 나가거나 들어올 때 발생.</t>
    <phoneticPr fontId="2" type="noConversion"/>
  </si>
  <si>
    <t xml:space="preserve">사용자 입력이 maxByteLength 값에 도달할 경우 발생. </t>
    <phoneticPr fontId="2" type="noConversion"/>
  </si>
  <si>
    <t xml:space="preserve">GridView 특정 컬럼의 inputType을 “select"로 설정.
</t>
    <phoneticPr fontId="2" type="noConversion"/>
  </si>
  <si>
    <t>https://youtu.be/kgEMTm3MJG8</t>
    <phoneticPr fontId="2" type="noConversion"/>
  </si>
  <si>
    <t>oneditenter_AutoComplete</t>
    <phoneticPr fontId="2" type="noConversion"/>
  </si>
  <si>
    <t>/AutoComplete/oneditenter_AutoComplete.xml</t>
    <phoneticPr fontId="2" type="noConversion"/>
  </si>
  <si>
    <t>https://youtu.be/r3KLpDW8US0</t>
    <phoneticPr fontId="2" type="noConversion"/>
  </si>
  <si>
    <t>nextTabByEnter_nextTabID_AutoComplete</t>
    <phoneticPr fontId="2" type="noConversion"/>
  </si>
  <si>
    <t>/AutoComplete/nextTabByEnter_nextTabID_AutoComplete.xml</t>
    <phoneticPr fontId="2" type="noConversion"/>
  </si>
  <si>
    <t>https://youtu.be/F6d6zU6mmtU</t>
    <phoneticPr fontId="2" type="noConversion"/>
  </si>
  <si>
    <t>onmouseleave_onmouseenter_Group</t>
    <phoneticPr fontId="2" type="noConversion"/>
  </si>
  <si>
    <t>/Group/onmouseleave_onmouseenter_Group.xml</t>
    <phoneticPr fontId="2" type="noConversion"/>
  </si>
  <si>
    <t>https://youtu.be/VcJP7qwDR3k</t>
    <phoneticPr fontId="2" type="noConversion"/>
  </si>
  <si>
    <t>oneditfull_maxByteLength_autoFocus_InputBox</t>
    <phoneticPr fontId="2" type="noConversion"/>
  </si>
  <si>
    <t>/InputBox/oneditfull_maxByteLength_autoFocus_InputBox.xml</t>
    <phoneticPr fontId="2" type="noConversion"/>
  </si>
  <si>
    <t>https://youtu.be/QwmMkijoymM</t>
    <phoneticPr fontId="2" type="noConversion"/>
  </si>
  <si>
    <t>ioFormat 
displayFormat 
calendarDisplayFormat</t>
    <phoneticPr fontId="2" type="noConversion"/>
  </si>
  <si>
    <t>oneditkeyup 
info.oldValue 
info.newValue 
info.keyCode</t>
    <phoneticPr fontId="2" type="noConversion"/>
  </si>
  <si>
    <t>nextTabByEnter 
nextTabID</t>
    <phoneticPr fontId="2" type="noConversion"/>
  </si>
  <si>
    <t>onmouseleave 
onmouseenter</t>
    <phoneticPr fontId="2" type="noConversion"/>
  </si>
  <si>
    <t>oneditfull 
maxByteLength 
autoFocus</t>
    <phoneticPr fontId="2" type="noConversion"/>
  </si>
  <si>
    <t>inputType="custom" 
dataType="number" 
advancedExcelDownload() 
options.customToDataType</t>
    <phoneticPr fontId="2" type="noConversion"/>
  </si>
  <si>
    <t>dataDragDrop="true" 
dataDragDropStatus</t>
    <phoneticPr fontId="2" type="noConversion"/>
  </si>
  <si>
    <t>ltrim 
trim 
rtrim</t>
    <phoneticPr fontId="2" type="noConversion"/>
  </si>
  <si>
    <r>
      <t xml:space="preserve">Excel 파일 업로드 시 데이터 종류(value 혹은 label)를 </t>
    </r>
    <r>
      <rPr>
        <b/>
        <sz val="11"/>
        <color theme="1"/>
        <rFont val="맑은 고딕"/>
        <family val="3"/>
        <charset val="129"/>
        <scheme val="minor"/>
      </rPr>
      <t>컬럼 별</t>
    </r>
    <r>
      <rPr>
        <sz val="11"/>
        <color theme="1"/>
        <rFont val="맑은 고딕"/>
        <family val="2"/>
        <charset val="129"/>
        <scheme val="minor"/>
      </rPr>
      <t xml:space="preserve">로 명시. GridView 컬럼의 inputType이 "select", "autoComplete", 혹은 "checkcombobox"인 경우 해당. </t>
    </r>
    <phoneticPr fontId="2" type="noConversion"/>
  </si>
  <si>
    <r>
      <t xml:space="preserve">Excel 파일 다운로드 시 데이터 종류(value 혹은 label)를 </t>
    </r>
    <r>
      <rPr>
        <b/>
        <sz val="11"/>
        <color theme="1"/>
        <rFont val="맑은 고딕"/>
        <family val="3"/>
        <charset val="129"/>
        <scheme val="minor"/>
      </rPr>
      <t>컬럼 별</t>
    </r>
    <r>
      <rPr>
        <sz val="11"/>
        <color theme="1"/>
        <rFont val="맑은 고딕"/>
        <family val="2"/>
        <charset val="129"/>
        <scheme val="minor"/>
      </rPr>
      <t xml:space="preserve">로 명시. GridView 컬럼의 inputType이 "select", "autoComplete", 혹은 "checkcombobox"인 경우 해당. </t>
    </r>
    <phoneticPr fontId="2" type="noConversion"/>
  </si>
  <si>
    <t>advancedExcelUpload_type_GridView</t>
    <phoneticPr fontId="2" type="noConversion"/>
  </si>
  <si>
    <t>advancedExcelUpload() 
options.type 
inputType="select" 
inputType="autoComplete" 
inputType="checkcombobox"</t>
    <phoneticPr fontId="2" type="noConversion"/>
  </si>
  <si>
    <t>advancedExcelDownlload() 
options.type 
inputType="select" 
inputType="autoComplete" 
inputType="checkcombobox"</t>
    <phoneticPr fontId="2" type="noConversion"/>
  </si>
  <si>
    <t>advancedExcelDownload() 
options.type 
options.convertIndex 
inputType="select" 
inputType="autoComplete" 
inputType="checkcombobox"</t>
    <phoneticPr fontId="2" type="noConversion"/>
  </si>
  <si>
    <t>advancedExcelUpload() 
options.type 
options.convertIndex 
inputType="select" 
inputType="autoComplete" 
inputType="checkcombobox"</t>
    <phoneticPr fontId="2" type="noConversion"/>
  </si>
  <si>
    <t>GridView - advancedExcelUpload() &amp; options.type &amp; options.convertIndex</t>
    <phoneticPr fontId="2" type="noConversion"/>
  </si>
  <si>
    <t>GridView - advancedExcelDownload() &amp; options.type</t>
    <phoneticPr fontId="2" type="noConversion"/>
  </si>
  <si>
    <t>GridView - advancedExcelDownload() &amp; options.type &amp; options.convertIndex</t>
    <phoneticPr fontId="2" type="noConversion"/>
  </si>
  <si>
    <t>WindowContainer - useWindowScrollButton &amp; windowScrollVisibleRowNum</t>
    <phoneticPr fontId="2" type="noConversion"/>
  </si>
  <si>
    <t>useWindowScrollButton 
windowScrollVisibleRowNum</t>
    <phoneticPr fontId="2" type="noConversion"/>
  </si>
  <si>
    <t>dataType 
displayFormat 
applyFormat</t>
    <phoneticPr fontId="2" type="noConversion"/>
  </si>
  <si>
    <t>현재 열린 윈도우의 목록을 출력하는 버튼을  툴바에 표시하고, 목록의 항목 수를 지정.</t>
    <phoneticPr fontId="2" type="noConversion"/>
  </si>
  <si>
    <t>preventKeyList</t>
    <phoneticPr fontId="2" type="noConversion"/>
  </si>
  <si>
    <t>Key code와 콤마(,)를 사용하여 특정 키들의 동작을 방지.</t>
    <phoneticPr fontId="2" type="noConversion"/>
  </si>
  <si>
    <t>advancedExcelUpload_trim_GridView</t>
    <phoneticPr fontId="2" type="noConversion"/>
  </si>
  <si>
    <t>AutoComplete - preventKeyList</t>
    <phoneticPr fontId="2" type="noConversion"/>
  </si>
  <si>
    <t>/AutoComplete/preventKeyList_AutoComplete.xml</t>
    <phoneticPr fontId="2" type="noConversion"/>
  </si>
  <si>
    <t>GridView - advancedExcelUpload() &amp; options.trim</t>
    <phoneticPr fontId="2" type="noConversion"/>
  </si>
  <si>
    <t xml:space="preserve">Excel 파일을 GridView로 업로드 할 때 Excel 파일의 각 셀에 포함된 공백을 제거. </t>
    <phoneticPr fontId="2" type="noConversion"/>
  </si>
  <si>
    <t>SelectBoxComplete - preventKeyList</t>
    <phoneticPr fontId="2" type="noConversion"/>
  </si>
  <si>
    <t>/SelectBox/preventKeyList_SelectBox.xml</t>
    <phoneticPr fontId="2" type="noConversion"/>
  </si>
  <si>
    <t>https://youtu.be/f55tYpVFWxc</t>
    <phoneticPr fontId="2" type="noConversion"/>
  </si>
  <si>
    <t>preventKeyList_SelectBox</t>
    <phoneticPr fontId="2" type="noConversion"/>
  </si>
  <si>
    <t>https://youtu.be/YvEkki38gz8</t>
    <phoneticPr fontId="2" type="noConversion"/>
  </si>
  <si>
    <t>advancedExcelUpload()
options.trim</t>
    <phoneticPr fontId="2" type="noConversion"/>
  </si>
  <si>
    <t>https://youtu.be/Ya0q1szvXgo</t>
    <phoneticPr fontId="2" type="noConversion"/>
  </si>
  <si>
    <t>preventKeyList_AutoComplete</t>
    <phoneticPr fontId="2" type="noConversion"/>
  </si>
  <si>
    <t>https://youtu.be/MCExudmdnnI</t>
    <phoneticPr fontId="2" type="noConversion"/>
  </si>
  <si>
    <t>https://youtu.be/Vna1V_cJrc8</t>
    <phoneticPr fontId="2" type="noConversion"/>
  </si>
  <si>
    <t>/GridView/Excel/advancedExcelDownload_type_convertIndex_GridView.xml</t>
    <phoneticPr fontId="2" type="noConversion"/>
  </si>
  <si>
    <t>/GridView/Excel/advancedExcelDownload_type_GridView.xml</t>
    <phoneticPr fontId="2" type="noConversion"/>
  </si>
  <si>
    <t>https://youtu.be/D8jt37CoAYY</t>
    <phoneticPr fontId="2" type="noConversion"/>
  </si>
  <si>
    <t>https://youtu.be/UxauFsASseU</t>
    <phoneticPr fontId="2" type="noConversion"/>
  </si>
  <si>
    <t>https://youtu.be/ZuPDYmLdMM0</t>
    <phoneticPr fontId="2" type="noConversion"/>
  </si>
  <si>
    <t>https://youtu.be/HlxA08cFll4</t>
    <phoneticPr fontId="2" type="noConversion"/>
  </si>
  <si>
    <t>/WindowContainer/window_maximization_WindowContainer.xml</t>
    <phoneticPr fontId="2" type="noConversion"/>
  </si>
  <si>
    <t>https://youtu.be/5VsjK7ob3qI</t>
    <phoneticPr fontId="2" type="noConversion"/>
  </si>
  <si>
    <t>window_minimization_WindowContainer</t>
    <phoneticPr fontId="2" type="noConversion"/>
  </si>
  <si>
    <t>https://youtu.be/woovMy277dg</t>
    <phoneticPr fontId="2" type="noConversion"/>
  </si>
  <si>
    <t>/WindowContainer/useWindowScrollButton_windowScrollVisibleRowNum_WindowContainer.xml</t>
    <phoneticPr fontId="2" type="noConversion"/>
  </si>
  <si>
    <t>keepDisabledTab</t>
    <phoneticPr fontId="2" type="noConversion"/>
  </si>
  <si>
    <t>비활성화된 부모탭이 활성화된 경우, 자식 탭의 비활성화 상태를 유지.</t>
    <phoneticPr fontId="2" type="noConversion"/>
  </si>
  <si>
    <t>https://youtu.be/5BCe5c4avtM</t>
    <phoneticPr fontId="2" type="noConversion"/>
  </si>
  <si>
    <r>
      <t xml:space="preserve">GridView를 Excel로 다운로드 할 때 다운로드 할 데이터 종류(value 혹은 label)를 </t>
    </r>
    <r>
      <rPr>
        <b/>
        <sz val="11"/>
        <color theme="1"/>
        <rFont val="맑은 고딕"/>
        <family val="3"/>
        <charset val="129"/>
        <scheme val="minor"/>
      </rPr>
      <t xml:space="preserve">GridView 전체에 대해 </t>
    </r>
    <r>
      <rPr>
        <sz val="11"/>
        <color theme="1"/>
        <rFont val="맑은 고딕"/>
        <family val="2"/>
        <charset val="129"/>
        <scheme val="minor"/>
      </rPr>
      <t xml:space="preserve">명시. GridView 컬럼의 inputType이 "select", "autoComplete", 혹은 "checkcombobox"인 경우 해당. </t>
    </r>
    <phoneticPr fontId="2" type="noConversion"/>
  </si>
  <si>
    <r>
      <t xml:space="preserve">Excel 파일 업로드 시 데이터 종류(value 혹은 label)를 </t>
    </r>
    <r>
      <rPr>
        <b/>
        <sz val="11"/>
        <color theme="1"/>
        <rFont val="맑은 고딕"/>
        <family val="3"/>
        <charset val="129"/>
        <scheme val="minor"/>
      </rPr>
      <t>모든 컬럼에 대해</t>
    </r>
    <r>
      <rPr>
        <sz val="11"/>
        <color theme="1"/>
        <rFont val="맑은 고딕"/>
        <family val="2"/>
        <charset val="129"/>
        <scheme val="minor"/>
      </rPr>
      <t xml:space="preserve"> 명시. GridView 컬럼의 inputType이 "select", "autoComplete", 혹은 "checkcombobox"인 경우 해당. </t>
    </r>
    <phoneticPr fontId="2" type="noConversion"/>
  </si>
  <si>
    <t>사용자가 화살표를 클릭하면 아이템 목록을 즉시 펼쳐서 표시.</t>
    <phoneticPr fontId="2" type="noConversion"/>
  </si>
  <si>
    <t>inputType="autoComplete"
viewType="icon"
viewTypeIconImage="true"
directOpen="true"</t>
    <phoneticPr fontId="2" type="noConversion"/>
  </si>
  <si>
    <t>/GridView/inputType/inputType_autoComplete_directOpen_gridView_column.xml</t>
    <phoneticPr fontId="2" type="noConversion"/>
  </si>
  <si>
    <t>https://youtu.be/hGZhEpgzH0s</t>
    <phoneticPr fontId="2" type="noConversion"/>
  </si>
  <si>
    <t>inputType_autoComplete_directOpen_gridView_column</t>
    <phoneticPr fontId="2" type="noConversion"/>
  </si>
  <si>
    <t>gridView.column - inputType="autoComplete" &amp; directOpen</t>
    <phoneticPr fontId="2" type="noConversion"/>
  </si>
  <si>
    <t>정의한 포맷으로 숫자만 입력하고 입력 중 포맷을 적용하여 표시.</t>
    <phoneticPr fontId="2" type="noConversion"/>
  </si>
  <si>
    <t>DataList의 userData1, userData2, 혹은 userData3 속성 값을 설정/반환.</t>
    <phoneticPr fontId="2" type="noConversion"/>
  </si>
  <si>
    <t>윈도우 배열 방법을 지정하는 아이콘을 표시할 위치를 설정.</t>
    <phoneticPr fontId="2" type="noConversion"/>
  </si>
  <si>
    <t>dataType_displayFormat_applyFormat_InputBox</t>
    <phoneticPr fontId="2" type="noConversion"/>
  </si>
  <si>
    <t>InputBox - dataType &amp; displayFormat &amp; applyFormat</t>
    <phoneticPr fontId="2" type="noConversion"/>
  </si>
  <si>
    <t>setUserData_getUserData_DataList</t>
    <phoneticPr fontId="2" type="noConversion"/>
  </si>
  <si>
    <t>DataList - setUserData() &amp; getUserData()</t>
    <phoneticPr fontId="2" type="noConversion"/>
  </si>
  <si>
    <t>WindowContainer - controlIconPosition &amp; useNameContainer</t>
    <phoneticPr fontId="2" type="noConversion"/>
  </si>
  <si>
    <t>controlIconPosition_useNameContainer_WindowContainer</t>
    <phoneticPr fontId="2" type="noConversion"/>
  </si>
  <si>
    <t>getUserData() 
setUserData() 
userData1 
userData2 
userData3</t>
    <phoneticPr fontId="2" type="noConversion"/>
  </si>
  <si>
    <t>controlIconPosition 
useNameContainer="true"</t>
    <phoneticPr fontId="2" type="noConversion"/>
  </si>
  <si>
    <t>https://youtu.be/oEbMw_9xGaQ</t>
    <phoneticPr fontId="2" type="noConversion"/>
  </si>
  <si>
    <t>https://youtu.be/al7A8OO0dWQ</t>
    <phoneticPr fontId="2" type="noConversion"/>
  </si>
  <si>
    <t>/InputBox/dataType_displayFormat_applyFormat_InputBox.xml</t>
    <phoneticPr fontId="2" type="noConversion"/>
  </si>
  <si>
    <t>/WindowContainer/controlIconPosition_useNameContainer_WindowContainer.xml</t>
    <phoneticPr fontId="2" type="noConversion"/>
  </si>
  <si>
    <t>https://youtu.be/UX4YEp2obi8</t>
    <phoneticPr fontId="2" type="noConversion"/>
  </si>
  <si>
    <t>WindowContainer - closeOthers()</t>
    <phoneticPr fontId="2" type="noConversion"/>
  </si>
  <si>
    <t>closeOthers() 
getUniqueIdByTitle() 
getUniqueIdByWindowId()</t>
    <phoneticPr fontId="2" type="noConversion"/>
  </si>
  <si>
    <t>현재 활성화된 윈도우, 혹은 주어진 windowID나 uniqueID에 해당하는 윈도우를 제외한 모든 윈도우 닫기.</t>
    <phoneticPr fontId="2" type="noConversion"/>
  </si>
  <si>
    <t>/WindowContainer/closeOthers_WindowContainer.xml</t>
    <phoneticPr fontId="2" type="noConversion"/>
  </si>
  <si>
    <t>https://youtu.be/456lXCr-O0Y</t>
    <phoneticPr fontId="2" type="noConversion"/>
  </si>
  <si>
    <t>closeOthers_WindowContainer</t>
    <phoneticPr fontId="2" type="noConversion"/>
  </si>
  <si>
    <t>TabControl - tabScroll &amp; tabPosition</t>
    <phoneticPr fontId="2" type="noConversion"/>
  </si>
  <si>
    <t>Ctrl 키 + 마우스 우클릭을 통해 디버깅용 컨텍스트 메뉴 사용.</t>
    <phoneticPr fontId="2" type="noConversion"/>
  </si>
  <si>
    <t>다양한 화폐 단위로 금액을 입력.</t>
    <phoneticPr fontId="2" type="noConversion"/>
  </si>
  <si>
    <t>탭 위치(tabPosition)에 따라 탭 목록 버튼(tabScroll="true")의 위치 결정.</t>
    <phoneticPr fontId="2" type="noConversion"/>
  </si>
  <si>
    <t>https://youtu.be/G2NKZg9n_eM</t>
    <phoneticPr fontId="2" type="noConversion"/>
  </si>
  <si>
    <t>tabScroll="true" 
tabPosition="top"
tabPosition="bottom"</t>
    <phoneticPr fontId="2" type="noConversion"/>
  </si>
  <si>
    <t>InputBox - euroMask &amp; rupeeMask &amp; tengeMask</t>
    <phoneticPr fontId="2" type="noConversion"/>
  </si>
  <si>
    <t>euroMask_rupeeMask_tengeMask_InputBox</t>
    <phoneticPr fontId="2" type="noConversion"/>
  </si>
  <si>
    <t>Menus_Debugging</t>
    <phoneticPr fontId="2" type="noConversion"/>
  </si>
  <si>
    <t>https://youtu.be/icJ1TWyaIt0</t>
    <phoneticPr fontId="2" type="noConversion"/>
  </si>
  <si>
    <t>/InputBox/euroMask_rupeeMask_tengeMask_InputBox.xml</t>
    <phoneticPr fontId="2" type="noConversion"/>
  </si>
  <si>
    <t>Debugging - Context menus</t>
    <phoneticPr fontId="2" type="noConversion"/>
  </si>
  <si>
    <t>dataType="euro" 
dataType="rupee"
dataType="tenge" 
euroMask 
rupeeMask 
tengeMask</t>
    <phoneticPr fontId="2" type="noConversion"/>
  </si>
  <si>
    <t>gridView.column - excelCellType</t>
    <phoneticPr fontId="2" type="noConversion"/>
  </si>
  <si>
    <t>enterKeyMove</t>
    <phoneticPr fontId="2" type="noConversion"/>
  </si>
  <si>
    <t>TabControl - tabPosition</t>
    <phoneticPr fontId="2" type="noConversion"/>
  </si>
  <si>
    <t>GridView - enterKeyMove</t>
    <phoneticPr fontId="2" type="noConversion"/>
  </si>
  <si>
    <t>https://youtu.be/bhtHwu1yiOQ</t>
    <phoneticPr fontId="2" type="noConversion"/>
  </si>
  <si>
    <t>excelCellType_gridView_column</t>
    <phoneticPr fontId="2" type="noConversion"/>
  </si>
  <si>
    <t>GridView에서 다운로드한 Excel 파일의 셀 표시 형식 지정.</t>
    <phoneticPr fontId="2" type="noConversion"/>
  </si>
  <si>
    <t>enterKeyMove_GridView</t>
    <phoneticPr fontId="2" type="noConversion"/>
  </si>
  <si>
    <t>https://youtu.be/mM_2hO0FG1s</t>
    <phoneticPr fontId="2" type="noConversion"/>
  </si>
  <si>
    <t>사용자가 셀에서 Enter 키를 입력할 경우 포커스가 이동하는 방향을 설정.</t>
    <phoneticPr fontId="2" type="noConversion"/>
  </si>
  <si>
    <t>탭을 표시할 위치를 지정.</t>
    <phoneticPr fontId="2" type="noConversion"/>
  </si>
  <si>
    <t>https://youtu.be/HXLexQKZUTU</t>
    <phoneticPr fontId="2" type="noConversion"/>
  </si>
  <si>
    <t>tabPosition_TabControl</t>
    <phoneticPr fontId="2" type="noConversion"/>
  </si>
  <si>
    <t>/GridView/Excel/excelCellType_gridView_column.xml</t>
    <phoneticPr fontId="2" type="noConversion"/>
  </si>
  <si>
    <t xml:space="preserve">excelCellType 
advancedExcelDownload()
options.useDataFormat 
options.useSubTotal 
options.useFooter </t>
    <phoneticPr fontId="2" type="noConversion"/>
  </si>
  <si>
    <t xml:space="preserve">팝업이 열리는 동시에 $p.executeSubmission() 함수가 즉시 실행될 경우, 상태창을 팝업 외부에 표시. </t>
    <phoneticPr fontId="2" type="noConversion"/>
  </si>
  <si>
    <t>popup_lazyPopup_config_xml</t>
    <phoneticPr fontId="2" type="noConversion"/>
  </si>
  <si>
    <t>/AutoComplete/enableColumn_enableColumnFalseValue_AutoComplete.xml</t>
    <phoneticPr fontId="2" type="noConversion"/>
  </si>
  <si>
    <t>특정 선택 항목들을 비활성화.</t>
    <phoneticPr fontId="2" type="noConversion"/>
  </si>
  <si>
    <t>https://youtu.be/7jwLEOi3GY4</t>
    <phoneticPr fontId="2" type="noConversion"/>
  </si>
  <si>
    <t>enableColumn_enableColumnFalseValue_AutoComplete</t>
    <phoneticPr fontId="2" type="noConversion"/>
  </si>
  <si>
    <t>enableColumn
enableColumnFalseValue</t>
    <phoneticPr fontId="2" type="noConversion"/>
  </si>
  <si>
    <t>CheckComboBox - visibleColumn &amp; visibleColumnFalseValue &amp; setVisibleColumn()</t>
    <phoneticPr fontId="2" type="noConversion"/>
  </si>
  <si>
    <t>Radio - visibleColumn &amp; visibleColumnFalseValue &amp; setVisibleColumn()</t>
    <phoneticPr fontId="2" type="noConversion"/>
  </si>
  <si>
    <t>SelectBox - visibleColumn &amp; visibleColumnFalseValue &amp; setVisibleColumn()</t>
    <phoneticPr fontId="2" type="noConversion"/>
  </si>
  <si>
    <t>https://youtu.be/bGIxYMKQlCA</t>
    <phoneticPr fontId="2" type="noConversion"/>
  </si>
  <si>
    <t>dataList_dataMap_linkedDataList</t>
    <phoneticPr fontId="2" type="noConversion"/>
  </si>
  <si>
    <t>User-defined Component (UDC) 생성 후 페이지에서 활용.</t>
    <phoneticPr fontId="2" type="noConversion"/>
  </si>
  <si>
    <t>setEnableColumn()
enableColumn
enableColumnFalseValue</t>
    <phoneticPr fontId="2" type="noConversion"/>
  </si>
  <si>
    <t>AutoComplete - setEnableColumn()</t>
    <phoneticPr fontId="2" type="noConversion"/>
  </si>
  <si>
    <t>특정 선택 항목들을 함수를 사용하여 동적으로 비활성화.</t>
    <phoneticPr fontId="2" type="noConversion"/>
  </si>
  <si>
    <t>/AutoComplete/setEnableColumn_AutoComplete.xml</t>
    <phoneticPr fontId="2" type="noConversion"/>
  </si>
  <si>
    <t>https://youtu.be/XjwoYsUlGLs</t>
    <phoneticPr fontId="2" type="noConversion"/>
  </si>
  <si>
    <t>setEnableColumn_AutoComplete</t>
    <phoneticPr fontId="2" type="noConversion"/>
  </si>
  <si>
    <t>/_UDC/UDC/</t>
    <phoneticPr fontId="2" type="noConversion"/>
  </si>
  <si>
    <t>_Debugging</t>
    <phoneticPr fontId="2" type="noConversion"/>
  </si>
  <si>
    <t>https://youtu.be/tw5OYIVIRHQ</t>
    <phoneticPr fontId="2" type="noConversion"/>
  </si>
  <si>
    <t>visibleColumn_visibleColumnFalseValue_setVisibleColumn_AutoComplete</t>
    <phoneticPr fontId="2" type="noConversion"/>
  </si>
  <si>
    <t xml:space="preserve">특정 선택 항목들을 선택 항목 목록에 표시하지 않고 숨기기. </t>
    <phoneticPr fontId="2" type="noConversion"/>
  </si>
  <si>
    <t>/AutoComplete/visibleColumn_visibleColumnFalseValue_setVisibleColumn_AutoComplete.xml</t>
    <phoneticPr fontId="2" type="noConversion"/>
  </si>
  <si>
    <t>visibleColumn_visibleColumnFalseValue_setVisibleColumn_CheckBox</t>
    <phoneticPr fontId="2" type="noConversion"/>
  </si>
  <si>
    <t>AutoComplete - visibleColumn &amp; visibleColumnFalseValue &amp; setVisibleColumn()</t>
    <phoneticPr fontId="2" type="noConversion"/>
  </si>
  <si>
    <t>CheckBox - visibleColumn &amp; visibleColumnFalseValue &amp; setVisibleColumn()</t>
    <phoneticPr fontId="2" type="noConversion"/>
  </si>
  <si>
    <t>setColumnEnableColumn_GridView</t>
    <phoneticPr fontId="2" type="noConversion"/>
  </si>
  <si>
    <t>GridView - setColumnEnableColumn()</t>
    <phoneticPr fontId="2" type="noConversion"/>
  </si>
  <si>
    <t>/GridView/_General/setColumnEnableColumn_GridView.xml</t>
    <phoneticPr fontId="2" type="noConversion"/>
  </si>
  <si>
    <t>https://youtu.be/0IybbS4LnxU</t>
    <phoneticPr fontId="2" type="noConversion"/>
  </si>
  <si>
    <t>GridView 컬럼의 inputType에 따라 특정 선택 항목들을 동적으로 비활성화.</t>
    <phoneticPr fontId="2" type="noConversion"/>
  </si>
  <si>
    <t>https://youtu.be/TG3nZBI8msE</t>
    <phoneticPr fontId="2" type="noConversion"/>
  </si>
  <si>
    <t>setColumnVisibleColumn_GridView</t>
    <phoneticPr fontId="2" type="noConversion"/>
  </si>
  <si>
    <t>GridView 컬럼의 inputType에 따라 특정 선택 항목들을 동적으로 숨기기.</t>
    <phoneticPr fontId="2" type="noConversion"/>
  </si>
  <si>
    <t>CheckBox - enableColumn &amp; enableColumnFalseValue</t>
    <phoneticPr fontId="2" type="noConversion"/>
  </si>
  <si>
    <t>/CheckBox/enableColumn_enableColumnFalseValue_CheckBox.xml</t>
    <phoneticPr fontId="2" type="noConversion"/>
  </si>
  <si>
    <t>CheckComboBox - enableColumn &amp; enableColumnFalseValue</t>
    <phoneticPr fontId="2" type="noConversion"/>
  </si>
  <si>
    <t>/CheckComboBox/enableColumn_enableColumnFalseValue_CheckComboBox.xml</t>
    <phoneticPr fontId="2" type="noConversion"/>
  </si>
  <si>
    <t>Radio - enableColumn &amp; enableColumnFalseValue</t>
    <phoneticPr fontId="2" type="noConversion"/>
  </si>
  <si>
    <t>/Radio/enableColumn_enableColumnFalseValue_Radio.xml</t>
    <phoneticPr fontId="2" type="noConversion"/>
  </si>
  <si>
    <t>SelectBox - enableColumn &amp; enableColumnFalseValue</t>
    <phoneticPr fontId="2" type="noConversion"/>
  </si>
  <si>
    <t>/SelectBox/enableColumn_enableColumnFalseValue_SelectBox.xml</t>
    <phoneticPr fontId="2" type="noConversion"/>
  </si>
  <si>
    <t>https://youtu.be/ldOW5p20Bn8</t>
    <phoneticPr fontId="2" type="noConversion"/>
  </si>
  <si>
    <t>visibleColumn_visibleColumnFalseValue_setVisibleColumn_CheckComboBox</t>
    <phoneticPr fontId="2" type="noConversion"/>
  </si>
  <si>
    <t>visibleColumn
visibleColumnFalseValue
setVisibleColumn()</t>
    <phoneticPr fontId="2" type="noConversion"/>
  </si>
  <si>
    <t>https://youtu.be/Vir5iv1uFX8</t>
    <phoneticPr fontId="2" type="noConversion"/>
  </si>
  <si>
    <t>visibleColumn_visibleColumnFalseValue_setVisibleColumn_Radio</t>
    <phoneticPr fontId="2" type="noConversion"/>
  </si>
  <si>
    <t>visibleColumn_visibleColumnFalseValue_setVisibleColumn_SelectBox</t>
    <phoneticPr fontId="2" type="noConversion"/>
  </si>
  <si>
    <t>https://youtu.be/WGoQwiYj9ZM</t>
    <phoneticPr fontId="2" type="noConversion"/>
  </si>
  <si>
    <t>enableColumn_enableColumnFalseValue_CheckComboBox</t>
    <phoneticPr fontId="2" type="noConversion"/>
  </si>
  <si>
    <t>https://youtu.be/zslrkyb_-gk</t>
    <phoneticPr fontId="2" type="noConversion"/>
  </si>
  <si>
    <t>enableColumn_enableColumnFalseValue_Radio</t>
    <phoneticPr fontId="2" type="noConversion"/>
  </si>
  <si>
    <t>https://youtu.be/zZMB4xD6anc</t>
    <phoneticPr fontId="2" type="noConversion"/>
  </si>
  <si>
    <t>enableColumn_enableColumnFalseValue_SelectBox</t>
    <phoneticPr fontId="2" type="noConversion"/>
  </si>
  <si>
    <t>https://youtu.be/5d-Jtl7wl_4</t>
    <phoneticPr fontId="2" type="noConversion"/>
  </si>
  <si>
    <t>enableColumn_enableColumnFalseValue_CheckBox</t>
    <phoneticPr fontId="2" type="noConversion"/>
  </si>
  <si>
    <t>https://youtu.be/hhX3_IvDYow</t>
    <phoneticPr fontId="2" type="noConversion"/>
  </si>
  <si>
    <t>/CheckBox/visibleColumn_visibleColumnFalseValue_setVisibleColumn_CheckBox.xml</t>
    <phoneticPr fontId="2" type="noConversion"/>
  </si>
  <si>
    <t xml:space="preserve">/CheckComboBox/visibleColumn_visibleColumnFalseValue_setVisibleColumn_CheckComboBox.xml </t>
    <phoneticPr fontId="2" type="noConversion"/>
  </si>
  <si>
    <t>/Radio/visibleColumn_visibleColumnFalseValue_setVisibleColumn_Radio.xml</t>
    <phoneticPr fontId="2" type="noConversion"/>
  </si>
  <si>
    <t>/SelectBox/visibleColumn_visibleColumnFalseValue_setVisibleColumn_SelectBox.xml</t>
    <phoneticPr fontId="2" type="noConversion"/>
  </si>
  <si>
    <t>setColumnEnableColumn()
gridView.column
inputType="autoComplete"
inputType="checkbox"
inputType="checkcombobox"
inputType="radio"
inputType="select"</t>
    <phoneticPr fontId="2" type="noConversion"/>
  </si>
  <si>
    <t>setColumnVisibleColumn()
gridView.column
inputType="autoComplete"
inputType="checkbox"
inputType="checkcombobox"
inputType="radio"
inputType="select"</t>
    <phoneticPr fontId="2" type="noConversion"/>
  </si>
  <si>
    <t>CheckBox - setEnableColumn()</t>
    <phoneticPr fontId="2" type="noConversion"/>
  </si>
  <si>
    <t>https://youtu.be/ydxGwxMrdzw</t>
    <phoneticPr fontId="2" type="noConversion"/>
  </si>
  <si>
    <t>setEnableColumn_CheckBox</t>
    <phoneticPr fontId="2" type="noConversion"/>
  </si>
  <si>
    <t>/CheckBox/setEnableColumn_CheckBox.xml</t>
    <phoneticPr fontId="2" type="noConversion"/>
  </si>
  <si>
    <t>Multi-language - useLocale &amp; useDefaultLabel</t>
    <phoneticPr fontId="2" type="noConversion"/>
  </si>
  <si>
    <t>useLocale="true" 
localeRef 
config.xml
useDefaultLabel="true" 
useLanguagePack</t>
    <phoneticPr fontId="2" type="noConversion"/>
  </si>
  <si>
    <t xml:space="preserve">localeRef 속성 값이 언어 파일에 지정되지 않은 경우, 컴포넌트의 label이나 value 값을 표시. </t>
    <phoneticPr fontId="2" type="noConversion"/>
  </si>
  <si>
    <t>https://youtu.be/p3FQLMpBe1g</t>
    <phoneticPr fontId="2" type="noConversion"/>
  </si>
  <si>
    <t>useLocale_useDefaultLabel_Multi_language</t>
    <phoneticPr fontId="2" type="noConversion"/>
  </si>
  <si>
    <t>/CheckComboBox/setEnableColumn_CheckComboBox.xml</t>
    <phoneticPr fontId="2" type="noConversion"/>
  </si>
  <si>
    <t>CheckComboBox - setEnableColumn()</t>
    <phoneticPr fontId="2" type="noConversion"/>
  </si>
  <si>
    <t>/SelectBox/setEnableColumn_SelectBox.xml</t>
    <phoneticPr fontId="2" type="noConversion"/>
  </si>
  <si>
    <t>/Radio/setEnableColumn_Radio.xml</t>
    <phoneticPr fontId="2" type="noConversion"/>
  </si>
  <si>
    <t>Radio - setEnableColumn()</t>
    <phoneticPr fontId="2" type="noConversion"/>
  </si>
  <si>
    <t>https://youtu.be/1WYG-PFPrWA</t>
    <phoneticPr fontId="2" type="noConversion"/>
  </si>
  <si>
    <t>setEnableColumn_CheckComboBox</t>
    <phoneticPr fontId="2" type="noConversion"/>
  </si>
  <si>
    <t>https://youtu.be/LQhmpFKq9tA</t>
    <phoneticPr fontId="2" type="noConversion"/>
  </si>
  <si>
    <t>setEnableColumn_Radio</t>
    <phoneticPr fontId="2" type="noConversion"/>
  </si>
  <si>
    <t>https://youtu.be/xkCOJdnZXVo</t>
    <phoneticPr fontId="2" type="noConversion"/>
  </si>
  <si>
    <t>setEnableColumn_SelectBox</t>
    <phoneticPr fontId="2" type="noConversion"/>
  </si>
  <si>
    <t>blockSelect</t>
    <phoneticPr fontId="2" type="noConversion"/>
  </si>
  <si>
    <t>GridView - setBlockSelect()</t>
    <phoneticPr fontId="2" type="noConversion"/>
  </si>
  <si>
    <t>https://youtu.be/BKVzAv9EVNM</t>
    <phoneticPr fontId="2" type="noConversion"/>
  </si>
  <si>
    <t>blockSelect_gridView_column</t>
    <phoneticPr fontId="2" type="noConversion"/>
  </si>
  <si>
    <t>https://youtu.be/c0Atmug5x1U</t>
    <phoneticPr fontId="2" type="noConversion"/>
  </si>
  <si>
    <t>setBlockSelect_GridView</t>
    <phoneticPr fontId="2" type="noConversion"/>
  </si>
  <si>
    <t>setBlockSelect()
blockSelect (gridView.column)</t>
    <phoneticPr fontId="2" type="noConversion"/>
  </si>
  <si>
    <t xml:space="preserve">GridView의 특정 칼럼에 속한 셀들의 선택을 함수를 통해 동적으로 차단. </t>
    <phoneticPr fontId="2" type="noConversion"/>
  </si>
  <si>
    <t xml:space="preserve">GridView의 특정 칼럼에 속한 셀들의 선택을 차단. </t>
    <phoneticPr fontId="2" type="noConversion"/>
  </si>
  <si>
    <t>/GridView/_General/blockSelect_gridView_column.xml</t>
    <phoneticPr fontId="2" type="noConversion"/>
  </si>
  <si>
    <t>/GridView/_General/setBlockSelect_GridView.xml</t>
    <phoneticPr fontId="2" type="noConversion"/>
  </si>
  <si>
    <t>gridView.column - blockSelect</t>
    <phoneticPr fontId="2" type="noConversion"/>
  </si>
  <si>
    <t>gridView.column - inputType="autoComplete"</t>
    <phoneticPr fontId="2" type="noConversion"/>
  </si>
  <si>
    <t>gridView.column - inputType="checkcombobox"</t>
    <phoneticPr fontId="2" type="noConversion"/>
  </si>
  <si>
    <t>https://youtu.be/IEJiQnLUlxQ</t>
    <phoneticPr fontId="2" type="noConversion"/>
  </si>
  <si>
    <t>inputType_autoComplete_gridView_column</t>
    <phoneticPr fontId="2" type="noConversion"/>
  </si>
  <si>
    <t xml:space="preserve">GridView 특정 컬럼의 inputType을 "autoComplete"로 설정.
</t>
    <phoneticPr fontId="2" type="noConversion"/>
  </si>
  <si>
    <t>inputType_checkcombobox_gridView_column</t>
    <phoneticPr fontId="2" type="noConversion"/>
  </si>
  <si>
    <t>https://youtu.be/4EHQtRAoEV4</t>
    <phoneticPr fontId="2" type="noConversion"/>
  </si>
  <si>
    <t xml:space="preserve">GridView 특정 컬럼의 inputType을 "checkcombobox"로 설정.
</t>
    <phoneticPr fontId="2" type="noConversion"/>
  </si>
  <si>
    <t>/GridView/inputType/inputType_autoComplete_gridView_column.xml</t>
    <phoneticPr fontId="2" type="noConversion"/>
  </si>
  <si>
    <t>/GridView/inputType/inputType_checkcombobox_gridView_column.xml</t>
    <phoneticPr fontId="2" type="noConversion"/>
  </si>
  <si>
    <t>Calendar - visibleWeekNum</t>
    <phoneticPr fontId="2" type="noConversion"/>
  </si>
  <si>
    <t>gridView.column - useFilter</t>
    <phoneticPr fontId="2" type="noConversion"/>
  </si>
  <si>
    <t>Spinner - userAlert</t>
    <phoneticPr fontId="2" type="noConversion"/>
  </si>
  <si>
    <t xml:space="preserve">정렬 아이콘(showSortableImage="true")과 필터링 아이콘(useFilter="true")을 모두 헤더에 표시. </t>
    <phoneticPr fontId="2" type="noConversion"/>
  </si>
  <si>
    <t>/GridView/Filtering/showSortableUseFilter_GridView.xml</t>
    <phoneticPr fontId="2" type="noConversion"/>
  </si>
  <si>
    <t>https://youtu.be/iC26GKbsJpQ</t>
    <phoneticPr fontId="2" type="noConversion"/>
  </si>
  <si>
    <t>visibleWeekNum_Calendar</t>
    <phoneticPr fontId="2" type="noConversion"/>
  </si>
  <si>
    <t>달력에 표시할 주(Week)의 수를 설정.</t>
    <phoneticPr fontId="2" type="noConversion"/>
  </si>
  <si>
    <t>https://youtu.be/WEkPBLOgshE</t>
    <phoneticPr fontId="2" type="noConversion"/>
  </si>
  <si>
    <t>copyOption (GridView)
copyOption (gridView.column)</t>
    <phoneticPr fontId="2" type="noConversion"/>
  </si>
  <si>
    <t xml:space="preserve">복사하는 값을 설정 – 바인딩된 DatatList 값 혹은 현재 화면에 표시된 값 중 어떤 값을 복사할지 결정. </t>
    <phoneticPr fontId="2" type="noConversion"/>
  </si>
  <si>
    <t>copyOption_GridView</t>
    <phoneticPr fontId="2" type="noConversion"/>
  </si>
  <si>
    <t>useFilter_gridView_column</t>
    <phoneticPr fontId="2" type="noConversion"/>
  </si>
  <si>
    <t>useFilter (Header) 
useFilterList (GridView)</t>
    <phoneticPr fontId="2" type="noConversion"/>
  </si>
  <si>
    <t>필터링 조건을 직접 설정. 
필터링 조건을 목록으로 표시. 
숫자 및 알파벳을 필터링할 경우 조건 비교.</t>
    <phoneticPr fontId="2" type="noConversion"/>
  </si>
  <si>
    <t>https://youtu.be/dwEVjSMhvvg</t>
    <phoneticPr fontId="2" type="noConversion"/>
  </si>
  <si>
    <t>useAlert_Spinner</t>
    <phoneticPr fontId="2" type="noConversion"/>
  </si>
  <si>
    <t>dataType="date" 
useAlert</t>
    <phoneticPr fontId="2" type="noConversion"/>
  </si>
  <si>
    <t>dataType=“date”인 경우, 잘못된 날짜를 입력할 경우 경고창 출력.</t>
    <phoneticPr fontId="2" type="noConversion"/>
  </si>
  <si>
    <t>/Calendar/visibleWeekNum_Calendar.xml</t>
    <phoneticPr fontId="2" type="noConversion"/>
  </si>
  <si>
    <t>InputCalendar - pickerType</t>
    <phoneticPr fontId="2" type="noConversion"/>
  </si>
  <si>
    <t>Spinner가 날짜를 표시할 때 (dataType="date")  값 증가 단위 설정.</t>
    <phoneticPr fontId="2" type="noConversion"/>
  </si>
  <si>
    <t>Spinner가 시간을 표시할 때 (dataType="time")  값 증가 단위 설정.</t>
    <phoneticPr fontId="2" type="noConversion"/>
  </si>
  <si>
    <t>달력에서 연도 및 월을 선택하는 방식을 설정.</t>
    <phoneticPr fontId="2" type="noConversion"/>
  </si>
  <si>
    <t>/InputCalendar/pickerType_InputCalendar.xml</t>
    <phoneticPr fontId="2" type="noConversion"/>
  </si>
  <si>
    <t>업로드할 수 있는 최대 파일 수를 지정.</t>
    <phoneticPr fontId="2" type="noConversion"/>
  </si>
  <si>
    <t>/MultiUpload/maxcount_MultiUpload.xml</t>
    <phoneticPr fontId="2" type="noConversion"/>
  </si>
  <si>
    <t>dateIncrementType_dataType_time_Spinner</t>
    <phoneticPr fontId="2" type="noConversion"/>
  </si>
  <si>
    <t>dateIncrementType_dataType_date_Spinner</t>
    <phoneticPr fontId="2" type="noConversion"/>
  </si>
  <si>
    <t>/Spinner/dateIncrementType_dataType_date_Spinner.xml</t>
    <phoneticPr fontId="2" type="noConversion"/>
  </si>
  <si>
    <t>/Spinner/dateIncrementType_dataType_time_Spinner.xml</t>
    <phoneticPr fontId="2" type="noConversion"/>
  </si>
  <si>
    <t>https://youtu.be/pk816oMqbBg</t>
    <phoneticPr fontId="2" type="noConversion"/>
  </si>
  <si>
    <t>https://youtu.be/PUwerF67bzs</t>
    <phoneticPr fontId="2" type="noConversion"/>
  </si>
  <si>
    <t>pickerType_InputCalendar</t>
    <phoneticPr fontId="2" type="noConversion"/>
  </si>
  <si>
    <t>https://youtu.be/JSEHOpyEmP4</t>
    <phoneticPr fontId="2" type="noConversion"/>
  </si>
  <si>
    <t>https://youtu.be/dBTN2L2FOqY</t>
    <phoneticPr fontId="2" type="noConversion"/>
  </si>
  <si>
    <t>maxcount_MultiUpload</t>
    <phoneticPr fontId="2" type="noConversion"/>
  </si>
  <si>
    <t>MultiUpload - maxcount</t>
    <phoneticPr fontId="2" type="noConversion"/>
  </si>
  <si>
    <t>Calendar - setHoliday()</t>
    <phoneticPr fontId="2" type="noConversion"/>
  </si>
  <si>
    <t>setHoliday_Calendar</t>
    <phoneticPr fontId="2" type="noConversion"/>
  </si>
  <si>
    <t>removeHoliday_Calendar</t>
    <phoneticPr fontId="2" type="noConversion"/>
  </si>
  <si>
    <t>setHolidayRef_Calendar</t>
    <phoneticPr fontId="2" type="noConversion"/>
  </si>
  <si>
    <t>Calendar - setHolidayRef()</t>
    <phoneticPr fontId="2" type="noConversion"/>
  </si>
  <si>
    <t>setHoliday()</t>
    <phoneticPr fontId="2" type="noConversion"/>
  </si>
  <si>
    <t>setHolidayRef()</t>
    <phoneticPr fontId="2" type="noConversion"/>
  </si>
  <si>
    <t>/Calendar/setHoliday_Calendar.xml</t>
    <phoneticPr fontId="2" type="noConversion"/>
  </si>
  <si>
    <t>/Calendar/setHolidayRef_Calendar.xml</t>
    <phoneticPr fontId="2" type="noConversion"/>
  </si>
  <si>
    <t xml:space="preserve">setHoliday() 혹은 setHolidayRef() 함수를 사용한 휴일 지정을 취소. </t>
    <phoneticPr fontId="2" type="noConversion"/>
  </si>
  <si>
    <t xml:space="preserve">DataList 컬럼에 지정된 날짜들을 휴일로 지정. 
</t>
    <phoneticPr fontId="2" type="noConversion"/>
  </si>
  <si>
    <t>https://youtu.be/9FebFKSN4jM</t>
    <phoneticPr fontId="2" type="noConversion"/>
  </si>
  <si>
    <t>https://youtu.be/usyyZnkL6xM</t>
    <phoneticPr fontId="2" type="noConversion"/>
  </si>
  <si>
    <t>Spinner - dateIncrementType &amp; dataType="time"</t>
    <phoneticPr fontId="2" type="noConversion"/>
  </si>
  <si>
    <t>dataType="time" 
dateIncremenType="second" "minute" "hour"</t>
    <phoneticPr fontId="2" type="noConversion"/>
  </si>
  <si>
    <t>pickerType="selectbox" "dynamic"</t>
    <phoneticPr fontId="2" type="noConversion"/>
  </si>
  <si>
    <t>dataType="date" 
dateIncremenType="minute" "hour" "day" "month" "year"</t>
    <phoneticPr fontId="2" type="noConversion"/>
  </si>
  <si>
    <t>noResultMessage_noResultMessageVisibleAlways_GridView</t>
    <phoneticPr fontId="2" type="noConversion"/>
  </si>
  <si>
    <t>dataDragDropOther_GridView</t>
    <phoneticPr fontId="2" type="noConversion"/>
  </si>
  <si>
    <t>다른 GridView로만 드래그-앤-드롭을 허용. (동일 GridView 내에서의 이동은 방지.)</t>
    <phoneticPr fontId="2" type="noConversion"/>
  </si>
  <si>
    <t>https://youtu.be/L0drA0Vw6sc</t>
    <phoneticPr fontId="2" type="noConversion"/>
  </si>
  <si>
    <t xml:space="preserve">GridView와 바인딩된 DataList에 데이터가 없는 경우, 지정한 메시지를 표시. </t>
    <phoneticPr fontId="2" type="noConversion"/>
  </si>
  <si>
    <t>tabScroll_tabScrollAuto_TabControl</t>
    <phoneticPr fontId="2" type="noConversion"/>
  </si>
  <si>
    <t>https://youtu.be/rHG-CO9T2eI</t>
    <phoneticPr fontId="2" type="noConversion"/>
  </si>
  <si>
    <t>noResultMessage
noResultMessageVisibleAlways</t>
    <phoneticPr fontId="2" type="noConversion"/>
  </si>
  <si>
    <t>dataDragDrop="true"
dataDragDropOther="true"</t>
    <phoneticPr fontId="2" type="noConversion"/>
  </si>
  <si>
    <t>/GridView/Dragging/dataDragDropOther_GridView.xml</t>
    <phoneticPr fontId="2" type="noConversion"/>
  </si>
  <si>
    <t>탭이 여러 개인 경우 상단에 스크롤을 표시하고, 마지막 탭을 닫을 경우 앞쪽의 탭으로 마지막 탭의 위치 채우기.</t>
    <phoneticPr fontId="2" type="noConversion"/>
  </si>
  <si>
    <t>tabScroll="true"
tabScrollAuto="true"</t>
    <phoneticPr fontId="2" type="noConversion"/>
  </si>
  <si>
    <t>https://youtu.be/nt3DExi4iTs</t>
    <phoneticPr fontId="2" type="noConversion"/>
  </si>
  <si>
    <t>/Calendar/removeHoliday_Calendar.xml</t>
    <phoneticPr fontId="2" type="noConversion"/>
  </si>
  <si>
    <t>revemoHoliday()
setHoliday()
setHolidayRef()</t>
    <phoneticPr fontId="2" type="noConversion"/>
  </si>
  <si>
    <t>GridView - noResultMessage &amp; noResultMessageVisibleAlways</t>
    <phoneticPr fontId="2" type="noConversion"/>
  </si>
  <si>
    <t>Calendar - removeHoliday()</t>
    <phoneticPr fontId="2" type="noConversion"/>
  </si>
  <si>
    <t>TabControl - tabScroll &amp; tabScrollAuto</t>
    <phoneticPr fontId="2" type="noConversion"/>
  </si>
  <si>
    <t>mergeFocusedCell_mergeSplitFocusedCell_GridView</t>
    <phoneticPr fontId="2" type="noConversion"/>
  </si>
  <si>
    <t>GridView - mergeFocusedCell() &amp; mergeSplitFocusedCell()</t>
    <phoneticPr fontId="2" type="noConversion"/>
  </si>
  <si>
    <t>포커스된 셀들을 병합하거나 해제하기.</t>
    <phoneticPr fontId="2" type="noConversion"/>
  </si>
  <si>
    <t>Added to DOC and Sample</t>
    <phoneticPr fontId="2" type="noConversion"/>
  </si>
  <si>
    <t>https://youtu.be/UPplWg8kuXM</t>
    <phoneticPr fontId="2" type="noConversion"/>
  </si>
  <si>
    <t>/GridView/Merge/mergeFocusedCell_mergeSplitFocusedCell_GridView.pdf</t>
    <phoneticPr fontId="2" type="noConversion"/>
  </si>
  <si>
    <t>mergeCells="byrow"
mergeByRow()</t>
    <phoneticPr fontId="2" type="noConversion"/>
  </si>
  <si>
    <t>mergeCells="bycolrec"
mergeByColRec()</t>
    <phoneticPr fontId="2" type="noConversion"/>
  </si>
  <si>
    <t>mergeCells="byrowrec"
mergeByRowRec()</t>
    <phoneticPr fontId="2" type="noConversion"/>
  </si>
  <si>
    <t>mergeCells="byrestriccol"
mergeByRestricCol()</t>
    <phoneticPr fontId="2" type="noConversion"/>
  </si>
  <si>
    <t>mergeCells="byrestricrow"
mergeByRestricRow()</t>
    <phoneticPr fontId="2" type="noConversion"/>
  </si>
  <si>
    <t>GridView - merge</t>
    <phoneticPr fontId="2" type="noConversion"/>
  </si>
  <si>
    <t>merge_GridView</t>
    <phoneticPr fontId="2" type="noConversion"/>
  </si>
  <si>
    <t>https://youtu.be/PfhoJKm7BPU</t>
    <phoneticPr fontId="2" type="noConversion"/>
  </si>
  <si>
    <t>/GridView/Merge/merge_GridView.pdf</t>
    <phoneticPr fontId="2" type="noConversion"/>
  </si>
  <si>
    <t>GridView의 6가지 셀 병합 방식 소개</t>
    <phoneticPr fontId="2" type="noConversion"/>
  </si>
  <si>
    <t>mergeCells=
   "bycol"
   "byrow"
   "bycolrec"
   "byrowrec"
   "byrestriccol"
   "byrestricrow"
mergeByCol()
mergeByRow()
mergeByColRec()
mergeByColRow()
mergeByReistricCol()
mergeByRestrictRow()</t>
    <phoneticPr fontId="2" type="noConversion"/>
  </si>
  <si>
    <t>mergeClear()</t>
    <phoneticPr fontId="2" type="noConversion"/>
  </si>
  <si>
    <t>https://youtu.be/X16DleFE0Vg</t>
    <phoneticPr fontId="2" type="noConversion"/>
  </si>
  <si>
    <t>GridView - mergeByFree() &amp; unmergeByFree()</t>
    <phoneticPr fontId="2" type="noConversion"/>
  </si>
  <si>
    <t>mergeByFree_unmergeByFree_GridView</t>
    <phoneticPr fontId="2" type="noConversion"/>
  </si>
  <si>
    <t>/GridView/Merge/mergeByFree_unmergeByFree_GridView.pdf</t>
    <phoneticPr fontId="2" type="noConversion"/>
  </si>
  <si>
    <t>특정 영역을 지정한 후, 해당 영역에 포함된 셀을 병합하거나 병합을 해제.</t>
    <phoneticPr fontId="2" type="noConversion"/>
  </si>
  <si>
    <t>mergeByFree()
unmergeByFree()</t>
    <phoneticPr fontId="2" type="noConversion"/>
  </si>
  <si>
    <t>inputType_spinner_viewType_gridView_column</t>
    <phoneticPr fontId="2" type="noConversion"/>
  </si>
  <si>
    <t>inputType="spinner" 
viewType="icon"</t>
    <phoneticPr fontId="2" type="noConversion"/>
  </si>
  <si>
    <t>inputType="spinner" 컬럼의 셀에 화살표 아이콘을 표시.</t>
    <phoneticPr fontId="2" type="noConversion"/>
  </si>
  <si>
    <t>https://youtu.be/OaPwYvixkpA</t>
    <phoneticPr fontId="2" type="noConversion"/>
  </si>
  <si>
    <t>/GridView/InputType/inputType_spinner_viewType_gridView_column.pdf</t>
    <phoneticPr fontId="2" type="noConversion"/>
  </si>
  <si>
    <t>advancedExcelUpload_removeColumns_GridView</t>
    <phoneticPr fontId="2" type="noConversion"/>
  </si>
  <si>
    <t>GridView - advancedExcelUpload() &amp; options.removeColumns</t>
    <phoneticPr fontId="2" type="noConversion"/>
  </si>
  <si>
    <t>advancedExcelUpload()
options.removeColumns</t>
    <phoneticPr fontId="2" type="noConversion"/>
  </si>
  <si>
    <t>Excel 파일을 GridView로 업로드할 때 Excel 특정 컬럼을 제외하고 업로드.</t>
    <phoneticPr fontId="2" type="noConversion"/>
  </si>
  <si>
    <t>https://youtu.be/pCpFEoC7Rm8</t>
    <phoneticPr fontId="2" type="noConversion"/>
  </si>
  <si>
    <t>/GridView/Excel/advancedExcelUpload_removeColumns_GridView.pdf</t>
    <phoneticPr fontId="2" type="noConversion"/>
  </si>
  <si>
    <t>fixedColumn_fixedRightColumn_GridView</t>
    <phoneticPr fontId="2" type="noConversion"/>
  </si>
  <si>
    <t>GridView - fixedColumn &amp; fixedRightColumn</t>
    <phoneticPr fontId="2" type="noConversion"/>
  </si>
  <si>
    <t>fixedColumn
fixedRightColumn</t>
    <phoneticPr fontId="2" type="noConversion"/>
  </si>
  <si>
    <t xml:space="preserve">좌우 스크롤링 시 고정할 좌측 및 우측 열의 개수를 지정. </t>
    <phoneticPr fontId="2" type="noConversion"/>
  </si>
  <si>
    <t>https://youtu.be/Kxh6WwZUUWo</t>
    <phoneticPr fontId="2" type="noConversion"/>
  </si>
  <si>
    <t>/GridView/_General/fixedColumn_fixedRightColumn_GridView.pdf</t>
    <phoneticPr fontId="2" type="noConversion"/>
  </si>
  <si>
    <t>config.xml - strictMode</t>
    <phoneticPr fontId="2" type="noConversion"/>
  </si>
  <si>
    <t>WFrame - scope (2)</t>
    <phoneticPr fontId="2" type="noConversion"/>
  </si>
  <si>
    <t>WFrame - scope (1)</t>
    <phoneticPr fontId="2" type="noConversion"/>
  </si>
  <si>
    <t>https://youtu.be/958L9UKfYiY</t>
    <phoneticPr fontId="2" type="noConversion"/>
  </si>
  <si>
    <t>scope_WFrame_2</t>
    <phoneticPr fontId="2" type="noConversion"/>
  </si>
  <si>
    <t>/WFrame/scope_WFrame_2.pdf</t>
    <phoneticPr fontId="2" type="noConversion"/>
  </si>
  <si>
    <t>scope 속성 설명 (2)</t>
    <phoneticPr fontId="2" type="noConversion"/>
  </si>
  <si>
    <t>scope 속성 설명 (1)</t>
    <phoneticPr fontId="2" type="noConversion"/>
  </si>
  <si>
    <t>scope="true"</t>
    <phoneticPr fontId="2" type="noConversion"/>
  </si>
  <si>
    <t>https://youtu.be/rdDGRo2gF8I</t>
    <phoneticPr fontId="2" type="noConversion"/>
  </si>
  <si>
    <t>scope_WFrame_1</t>
    <phoneticPr fontId="2" type="noConversion"/>
  </si>
  <si>
    <t>/WFrame/scope_WFrame_1.pdf</t>
    <phoneticPr fontId="2" type="noConversion"/>
  </si>
  <si>
    <t xml:space="preserve">최상단 메인 페이지를 WFrame으로 감싼 후, 메인 화면과 메인 화면에 포함된 WFrame 간의 객체 참조를 허용. </t>
    <phoneticPr fontId="2" type="noConversion"/>
  </si>
  <si>
    <t>https://youtu.be/7jJ8zEbhz3M</t>
    <phoneticPr fontId="2" type="noConversion"/>
  </si>
  <si>
    <t>strictMode_config_xml</t>
    <phoneticPr fontId="2" type="noConversion"/>
  </si>
  <si>
    <t>page_template_Studio</t>
    <phoneticPr fontId="2" type="noConversion"/>
  </si>
  <si>
    <t xml:space="preserve">공통적으로 사용되는 디자인을 미리 작성하여, 페이지 생성 시 썸네일 이미지 형태로 제공.
</t>
    <phoneticPr fontId="2" type="noConversion"/>
  </si>
  <si>
    <t xml:space="preserve">화면 바탕에 워터마크를 출력. </t>
    <phoneticPr fontId="2" type="noConversion"/>
  </si>
  <si>
    <t>$p.watermark()</t>
    <phoneticPr fontId="2" type="noConversion"/>
  </si>
  <si>
    <t>https://youtu.be/2ifAe7gA_28</t>
    <phoneticPr fontId="2" type="noConversion"/>
  </si>
  <si>
    <t xml:space="preserve">WFrame 내부의 GridView와 부모 화면의 DataList를 바인딩. </t>
    <phoneticPr fontId="2" type="noConversion"/>
  </si>
  <si>
    <t>https://youtu.be/0Hp5G0cT1tk</t>
    <phoneticPr fontId="2" type="noConversion"/>
  </si>
  <si>
    <t>id
scope</t>
    <phoneticPr fontId="2" type="noConversion"/>
  </si>
  <si>
    <t>id_scope_aliasDataList</t>
    <phoneticPr fontId="2" type="noConversion"/>
  </si>
  <si>
    <t>AliasDataList - id &amp; scope</t>
    <phoneticPr fontId="2" type="noConversion"/>
  </si>
  <si>
    <t>/_DataCollection/id_scope_aliasDataList.pdf</t>
    <phoneticPr fontId="2" type="noConversion"/>
  </si>
  <si>
    <t>wheelStop
preventWheelEvent</t>
    <phoneticPr fontId="2" type="noConversion"/>
  </si>
  <si>
    <t>https://youtu.be/Fk_COS9_dOk</t>
    <phoneticPr fontId="2" type="noConversion"/>
  </si>
  <si>
    <t>wheelStop_preventWheelEvent_AutoComplete_SelectBox</t>
    <phoneticPr fontId="2" type="noConversion"/>
  </si>
  <si>
    <t>/AutoComplete/wheelStop_preventWheelEvent_AutoComplete_SelectBox.pdf</t>
    <phoneticPr fontId="2" type="noConversion"/>
  </si>
  <si>
    <t>AutoComplete &amp; SelectBox - wheelStop &amp; preventWheelEvent</t>
    <phoneticPr fontId="2" type="noConversion"/>
  </si>
  <si>
    <t xml:space="preserve">선택 목록에서만 스크롤링을 허용하거나, 혹은 브라우저 전체에서 스크롤링을 허용할지를 결정.  </t>
    <phoneticPr fontId="2" type="noConversion"/>
  </si>
  <si>
    <t xml:space="preserve">방향키로 셀 사이를 이동할 때, 셀로 이동하는 동시에 편집 모드로 진입. </t>
    <phoneticPr fontId="2" type="noConversion"/>
  </si>
  <si>
    <t xml:space="preserve">필터링 기능을 사용할 경우, 필터 상자의 너비를 텍스트 크기에 따라 자동 조절. </t>
    <phoneticPr fontId="2" type="noConversion"/>
  </si>
  <si>
    <t>https://youtu.be/J086xJbf7Wg</t>
    <phoneticPr fontId="2" type="noConversion"/>
  </si>
  <si>
    <t>autoFitFilterList_gridView_column</t>
    <phoneticPr fontId="2" type="noConversion"/>
  </si>
  <si>
    <t>https://youtu.be/eJTTpnbLIeY</t>
    <phoneticPr fontId="2" type="noConversion"/>
  </si>
  <si>
    <t>/GridView/_General/autoFitFilterList_gridView_column.xml</t>
    <phoneticPr fontId="2" type="noConversion"/>
  </si>
  <si>
    <t>/GridView/_General/moveKeyEditMode_moveKeyEditModeAll_GridView.xml</t>
    <phoneticPr fontId="2" type="noConversion"/>
  </si>
  <si>
    <t>autoFitFilterList="true"
useFilter="true"
useFilterList="true" (GridView)</t>
    <phoneticPr fontId="2" type="noConversion"/>
  </si>
  <si>
    <t>moveKeyEditMode
moveKeyEditModeAll</t>
    <phoneticPr fontId="2" type="noConversion"/>
  </si>
  <si>
    <t>editModeEvent
editModeEventIcon</t>
    <phoneticPr fontId="2" type="noConversion"/>
  </si>
  <si>
    <t>keyMoveEditMode
moveKeyEditMode
moveKeyEditModeAll</t>
    <phoneticPr fontId="2" type="noConversion"/>
  </si>
  <si>
    <t>disableBeforeToday
disableAfterToday</t>
    <phoneticPr fontId="2" type="noConversion"/>
  </si>
  <si>
    <t>disableBeforeToday_disableAfterToday_Calendar</t>
    <phoneticPr fontId="2" type="noConversion"/>
  </si>
  <si>
    <t>Calendar - disableBeforeToday &amp; disableAfterToday</t>
    <phoneticPr fontId="2" type="noConversion"/>
  </si>
  <si>
    <t xml:space="preserve">현재 날짜 이전 혹은 이후의 날짜 선택을 방지. </t>
    <phoneticPr fontId="2" type="noConversion"/>
  </si>
  <si>
    <t>https://youtu.be/T87T6hOuU7o</t>
    <phoneticPr fontId="2" type="noConversion"/>
  </si>
  <si>
    <t>/Calendar/disableBeforeToday_disableAfterToday_Calendar.pdf</t>
    <phoneticPr fontId="2" type="noConversion"/>
  </si>
  <si>
    <t>/GridView/_General/keyMoveEditMode_moveKeyEditMode_moveKeyEditModeAll_GridView.xml</t>
    <phoneticPr fontId="2" type="noConversion"/>
  </si>
  <si>
    <t>/GridView/_General/editModeEvent_editModeEventIcon_GridView.xml</t>
    <phoneticPr fontId="2" type="noConversion"/>
  </si>
  <si>
    <t>셀 편집 모드 진입에 필요한 키를 지정. (Enter, Tab, 방향키)</t>
    <phoneticPr fontId="2" type="noConversion"/>
  </si>
  <si>
    <t>https://youtu.be/5DPn3dtn-vw</t>
    <phoneticPr fontId="2" type="noConversion"/>
  </si>
  <si>
    <t>onchange_AutoComplete</t>
    <phoneticPr fontId="2" type="noConversion"/>
  </si>
  <si>
    <t>onchange 이벤트는 선택 항목을 변경할 때 발생.</t>
    <phoneticPr fontId="2" type="noConversion"/>
  </si>
  <si>
    <t>https://youtu.be/PgsaCUWAuho</t>
    <phoneticPr fontId="2" type="noConversion"/>
  </si>
  <si>
    <t>이벤트가 발생한 컴포넌트의 정보를 반환. (pluginName, id, realId)</t>
    <phoneticPr fontId="2" type="noConversion"/>
  </si>
  <si>
    <t>https://youtu.be/N7dAsU12OGY</t>
    <phoneticPr fontId="2" type="noConversion"/>
  </si>
  <si>
    <t>getFileInfos_setParamJSON_MultiUpload</t>
    <phoneticPr fontId="2" type="noConversion"/>
  </si>
  <si>
    <t>업로드하는 각 파일 별로 서로 다른 파라미터를 설정.</t>
    <phoneticPr fontId="2" type="noConversion"/>
  </si>
  <si>
    <t>/MultiUpload/getFileInfos_setParamJSON_MultiUpload.xml</t>
    <phoneticPr fontId="2" type="noConversion"/>
  </si>
  <si>
    <t>getFileInfos() 
setParamJSON()</t>
    <phoneticPr fontId="2" type="noConversion"/>
  </si>
  <si>
    <t>https://youtu.be/ojd55iLjAOg</t>
    <phoneticPr fontId="2" type="noConversion"/>
  </si>
  <si>
    <t>inputType_expression_AVG_gridView_column</t>
    <phoneticPr fontId="2" type="noConversion"/>
  </si>
  <si>
    <t xml:space="preserve">GridView에서 소수점 숫자에 대한 AVG 연산 수행. (JavaScript의 부동 소수점 오류 자동 보정.) </t>
    <phoneticPr fontId="2" type="noConversion"/>
  </si>
  <si>
    <t>https://youtu.be/L1GGULl6cFA</t>
    <phoneticPr fontId="2" type="noConversion"/>
  </si>
  <si>
    <t>inputType_expression_SUM_gridView_column</t>
    <phoneticPr fontId="2" type="noConversion"/>
  </si>
  <si>
    <t xml:space="preserve">GridView에서 소수점 숫자에 대한 SUM 연산 수행. (JavaScript의 부동 소수점 오류 자동 보정.) </t>
    <phoneticPr fontId="2" type="noConversion"/>
  </si>
  <si>
    <t>inputType="expression"
expression='AVG'("columnID")</t>
    <phoneticPr fontId="2" type="noConversion"/>
  </si>
  <si>
    <t>inputType="expression"
expression='SUM'("columnID")</t>
    <phoneticPr fontId="2" type="noConversion"/>
  </si>
  <si>
    <t>dataMapPath
changeMapPath()</t>
    <phoneticPr fontId="2" type="noConversion"/>
  </si>
  <si>
    <t>선택된 데이터를 사용하여 시각화된 지도 데이터를 생성.</t>
    <phoneticPr fontId="2" type="noConversion"/>
  </si>
  <si>
    <t>https://youtu.be/BRcjBZ6xNeg</t>
    <phoneticPr fontId="2" type="noConversion"/>
  </si>
  <si>
    <t>MapChart - dataMapPath &amp; changeMapPath()</t>
    <phoneticPr fontId="2" type="noConversion"/>
  </si>
  <si>
    <t>displaySearchbox_PageList</t>
    <phoneticPr fontId="2" type="noConversion"/>
  </si>
  <si>
    <t>PageList - displaySearchBox</t>
    <phoneticPr fontId="2" type="noConversion"/>
  </si>
  <si>
    <t xml:space="preserve">페이지 번호를 입력하여 해당 페이지로 바로 이동할 수 있는 페이지 번호 입력창을 표시. </t>
    <phoneticPr fontId="2" type="noConversion"/>
  </si>
  <si>
    <t>displaySearchbox</t>
    <phoneticPr fontId="2" type="noConversion"/>
  </si>
  <si>
    <t>https://youtu.be/iWo8SKPH_-0</t>
    <phoneticPr fontId="2" type="noConversion"/>
  </si>
  <si>
    <t>/PageList/displaySearchbox_PageList.pdf</t>
    <phoneticPr fontId="2" type="noConversion"/>
  </si>
  <si>
    <t>preventWheelEvent_SelectBox</t>
    <phoneticPr fontId="2" type="noConversion"/>
  </si>
  <si>
    <t>SelectBox - preventWheelEvent</t>
    <phoneticPr fontId="2" type="noConversion"/>
  </si>
  <si>
    <t xml:space="preserve">선택 목록 위에서 마우스 스크롤링 시 선택 목록이 스크롤되는 것을 방지. 대신 브라우저가 스크롤됨. </t>
    <phoneticPr fontId="2" type="noConversion"/>
  </si>
  <si>
    <t>preventWheelEvent</t>
    <phoneticPr fontId="2" type="noConversion"/>
  </si>
  <si>
    <t>https://youtu.be/KXhjWiPzx-k</t>
    <phoneticPr fontId="2" type="noConversion"/>
  </si>
  <si>
    <t>/SelectBox/preventWheelEvent_SelectBox.pdf</t>
    <phoneticPr fontId="2" type="noConversion"/>
  </si>
  <si>
    <t>cols_unitHeightPixel_addWidgets_WidgetContainer</t>
    <phoneticPr fontId="2" type="noConversion"/>
  </si>
  <si>
    <t>cols
unitHeightPixel
addWidgets()</t>
    <phoneticPr fontId="2" type="noConversion"/>
  </si>
  <si>
    <t xml:space="preserve">위젯 생성 방법 및 위젯 이동, 최대화, 고정, 리사이징, 닫기 방법 소개. </t>
    <phoneticPr fontId="2" type="noConversion"/>
  </si>
  <si>
    <t>https://youtu.be/dlKWj8jXlTY</t>
    <phoneticPr fontId="2" type="noConversion"/>
  </si>
  <si>
    <t>/WidgetContainer/cols_unitHeightPixel_addWidgets_WidgetContainer.pdf</t>
    <phoneticPr fontId="2" type="noConversion"/>
  </si>
  <si>
    <t>WidgetContainer - cols &amp; unitHeightPixel &amp; addWidgets()</t>
    <phoneticPr fontId="2" type="noConversion"/>
  </si>
  <si>
    <t>enableWidgetTitle_enableWidgetMove_enableWidgetResize_WidgetContainer</t>
    <phoneticPr fontId="2" type="noConversion"/>
  </si>
  <si>
    <t>nameLayerMove_WindowContainer</t>
    <phoneticPr fontId="2" type="noConversion"/>
  </si>
  <si>
    <t>createWindow_fixWindow_unfixWindow_WindowContainer</t>
    <phoneticPr fontId="2" type="noConversion"/>
  </si>
  <si>
    <t>closeType_useFixButton_WindowContainer</t>
    <phoneticPr fontId="2" type="noConversion"/>
  </si>
  <si>
    <t>setFixedRow_GridView</t>
    <phoneticPr fontId="2" type="noConversion"/>
  </si>
  <si>
    <t>GridView - setFixedRow()</t>
    <phoneticPr fontId="2" type="noConversion"/>
  </si>
  <si>
    <t>gridView.column - autoFitFilterList</t>
    <phoneticPr fontId="2" type="noConversion"/>
  </si>
  <si>
    <t>AutoComplete - onchange</t>
    <phoneticPr fontId="2" type="noConversion"/>
  </si>
  <si>
    <t>/AutoComplete/onchange_AutoComplete.xml</t>
    <phoneticPr fontId="2" type="noConversion"/>
  </si>
  <si>
    <t>GridView - setFixedColumn() &amp; setFixedRightColumn()</t>
    <phoneticPr fontId="2" type="noConversion"/>
  </si>
  <si>
    <t>setFixedColumn_setFixedRightColumn_GridView</t>
    <phoneticPr fontId="2" type="noConversion"/>
  </si>
  <si>
    <t>setFixedRow_mergeCellsFixedRows_GridView</t>
    <phoneticPr fontId="2" type="noConversion"/>
  </si>
  <si>
    <t>GridView - setFixedRow() &amp; mergeCellsFixedRows()</t>
    <phoneticPr fontId="2" type="noConversion"/>
  </si>
  <si>
    <t>setFixedCol_setFixedRightCol_mergeCellsFixedCols_GridView</t>
    <phoneticPr fontId="2" type="noConversion"/>
  </si>
  <si>
    <t>GridView - setFixedCol()  &amp; setFixedRightCol() &amp; mergeCellsFixedCols()</t>
    <phoneticPr fontId="2" type="noConversion"/>
  </si>
  <si>
    <t>Studio - Page Template</t>
    <phoneticPr fontId="2" type="noConversion"/>
  </si>
  <si>
    <t>getMerged()_GridView</t>
    <phoneticPr fontId="2" type="noConversion"/>
  </si>
  <si>
    <t>advancedExcelUpload_GridView</t>
    <phoneticPr fontId="2" type="noConversion"/>
  </si>
  <si>
    <t>GridView - advancedExcelUpload()</t>
    <phoneticPr fontId="2" type="noConversion"/>
  </si>
  <si>
    <t>advancedExcelUpload_headerExist_GridView</t>
    <phoneticPr fontId="2" type="noConversion"/>
  </si>
  <si>
    <t>advancedExcelUpload_dateFormat_GridView</t>
    <phoneticPr fontId="2" type="noConversion"/>
  </si>
  <si>
    <t>GridView - advancedExcelUpload() &amp; options.dateFormat</t>
    <phoneticPr fontId="2" type="noConversion"/>
  </si>
  <si>
    <t>GridView - mergeCells &amp; mergeCol</t>
    <phoneticPr fontId="2" type="noConversion"/>
  </si>
  <si>
    <t>mergeCells_mergeCol_GridView</t>
    <phoneticPr fontId="2" type="noConversion"/>
  </si>
  <si>
    <t>mergeCol_GridView</t>
    <phoneticPr fontId="2" type="noConversion"/>
  </si>
  <si>
    <t>GridView - mergeCol()</t>
    <phoneticPr fontId="2" type="noConversion"/>
  </si>
  <si>
    <t>gridView.column - inputType="expression" &amp; AVG</t>
    <phoneticPr fontId="2" type="noConversion"/>
  </si>
  <si>
    <t>gridView.column - inputType="expression" &amp; SUM</t>
    <phoneticPr fontId="2" type="noConversion"/>
  </si>
  <si>
    <t>WidgetContainer - enableWidgetTitle() &amp; enableWidgetMove() &amp; enableWidgetResize()</t>
    <phoneticPr fontId="2" type="noConversion"/>
  </si>
  <si>
    <t xml:space="preserve">위젯 타이틀 표시, 위젯 이동, 위젯 리사이징 방법 설명. </t>
    <phoneticPr fontId="2" type="noConversion"/>
  </si>
  <si>
    <t>addWidgets() - options.hasTitleBar
widget.showTitle()
enableWidgetTitle()
widgetMove
enableWidgetMove()
widgetResize
enableWidgetResize()
widget.setResizable()</t>
    <phoneticPr fontId="2" type="noConversion"/>
  </si>
  <si>
    <t>WindowContainer - nameLayerMove</t>
    <phoneticPr fontId="2" type="noConversion"/>
  </si>
  <si>
    <t xml:space="preserve">네임 레이어 상의 윈도우 순서 변경. </t>
    <phoneticPr fontId="2" type="noConversion"/>
  </si>
  <si>
    <t>nameLayerMove</t>
    <phoneticPr fontId="2" type="noConversion"/>
  </si>
  <si>
    <t>https://youtu.be/Cnp_VCf7WN8</t>
    <phoneticPr fontId="2" type="noConversion"/>
  </si>
  <si>
    <t>https://youtu.be/2-K7dD7OVHs</t>
    <phoneticPr fontId="2" type="noConversion"/>
  </si>
  <si>
    <t>WindowContainer - createWindow() &amp; fixWindow() &amp; unfixWindow()</t>
    <phoneticPr fontId="2" type="noConversion"/>
  </si>
  <si>
    <t>윈도우 생성, 윈도우 고정 및 고정 취소, 윈도우를 고정한 채로 생성.</t>
    <phoneticPr fontId="2" type="noConversion"/>
  </si>
  <si>
    <t>createWindow() - options.fixed
fixWindow()
unfixWindow()</t>
    <phoneticPr fontId="2" type="noConversion"/>
  </si>
  <si>
    <t>https://youtu.be/60Az2lCc_10</t>
    <phoneticPr fontId="2" type="noConversion"/>
  </si>
  <si>
    <t>WindowContainer - closeType &amp; useFixButton</t>
    <phoneticPr fontId="2" type="noConversion"/>
  </si>
  <si>
    <t xml:space="preserve">전체 윈도우를 한번에 닫거나, 혹은 고정되거나 고정되어 있지 않은 윈도우만 한번에 닫기. </t>
    <phoneticPr fontId="2" type="noConversion"/>
  </si>
  <si>
    <t>closeType
useFixButton</t>
    <phoneticPr fontId="2" type="noConversion"/>
  </si>
  <si>
    <t>https://youtu.be/8Hx2sBDwxRE</t>
    <phoneticPr fontId="2" type="noConversion"/>
  </si>
  <si>
    <t>팝업을 전체 화면에 표시.</t>
    <phoneticPr fontId="2" type="noConversion"/>
  </si>
  <si>
    <t>openPopup() - options.fullscreen</t>
    <phoneticPr fontId="2" type="noConversion"/>
  </si>
  <si>
    <t>https://youtu.be/ZVnDEldLee0</t>
    <phoneticPr fontId="2" type="noConversion"/>
  </si>
  <si>
    <t>GridView 행들을 고정.</t>
    <phoneticPr fontId="2" type="noConversion"/>
  </si>
  <si>
    <t>setFixedRow()</t>
    <phoneticPr fontId="2" type="noConversion"/>
  </si>
  <si>
    <t xml:space="preserve">https://youtu.be/1Gta-JwBQNI </t>
    <phoneticPr fontId="2" type="noConversion"/>
  </si>
  <si>
    <t xml:space="preserve">행 고정된 부분에서만 셀들을 병합. </t>
    <phoneticPr fontId="2" type="noConversion"/>
  </si>
  <si>
    <t>fixedRow
setFixedRow()
mergeCellsFixedRows
mergeCellsFixedRows()</t>
    <phoneticPr fontId="2" type="noConversion"/>
  </si>
  <si>
    <t>https://youtu.be/MKQ1c0k33bw</t>
    <phoneticPr fontId="2" type="noConversion"/>
  </si>
  <si>
    <t xml:space="preserve">좌측 및 우측의 열들을 고정. </t>
    <phoneticPr fontId="2" type="noConversion"/>
  </si>
  <si>
    <t>fixedColumn
setFixedColumn()
fixedRightColumn
setFixedRightColumn()</t>
    <phoneticPr fontId="2" type="noConversion"/>
  </si>
  <si>
    <t>https://youtu.be/vXsMm4ydtY4</t>
    <phoneticPr fontId="2" type="noConversion"/>
  </si>
  <si>
    <t xml:space="preserve">열 고정된 부분에서만 셀들을 병합. </t>
    <phoneticPr fontId="2" type="noConversion"/>
  </si>
  <si>
    <t>fixedColumn
setFixedColumn()
fixedRightColumn
setFixedRightColumn()
mergeCellsFixedCols()</t>
    <phoneticPr fontId="2" type="noConversion"/>
  </si>
  <si>
    <t>https://youtu.be/N6Md83g1YgY</t>
    <phoneticPr fontId="2" type="noConversion"/>
  </si>
  <si>
    <t>엑셀 파일을 그리드뷰로 업로드.</t>
    <phoneticPr fontId="2" type="noConversion"/>
  </si>
  <si>
    <t>advancedExcelUpload()</t>
    <phoneticPr fontId="2" type="noConversion"/>
  </si>
  <si>
    <t>https://youtu.be/b62m9Ppr710</t>
    <phoneticPr fontId="2" type="noConversion"/>
  </si>
  <si>
    <t>GridView - advancedExcelUpload() &amp; options.headerExist</t>
    <phoneticPr fontId="2" type="noConversion"/>
  </si>
  <si>
    <t xml:space="preserve">엑셀 파일의 헤더를 제외하고 그리드뷰로 업로드. </t>
    <phoneticPr fontId="2" type="noConversion"/>
  </si>
  <si>
    <t>advancedExcelUpload()
options.headerExist</t>
    <phoneticPr fontId="2" type="noConversion"/>
  </si>
  <si>
    <t>https://youtu.be/xQi_mH-rcXs</t>
    <phoneticPr fontId="2" type="noConversion"/>
  </si>
  <si>
    <t>엑셀 파일을 그리드뷰로 업로드할 때 그리드뷰에 표시할 날짜 형식을 지정.</t>
    <phoneticPr fontId="2" type="noConversion"/>
  </si>
  <si>
    <t>advancedExcelUpload()
options.dateFormat</t>
    <phoneticPr fontId="2" type="noConversion"/>
  </si>
  <si>
    <t>https://youtu.be/BpLQJUrDebY</t>
    <phoneticPr fontId="2" type="noConversion"/>
  </si>
  <si>
    <t>지정한 열의 셀들만 병합. (선택적 병합)</t>
    <phoneticPr fontId="2" type="noConversion"/>
  </si>
  <si>
    <t>mergeCells="bycol"
mergeCol</t>
    <phoneticPr fontId="2" type="noConversion"/>
  </si>
  <si>
    <t>https://youtu.be/mq_Zq0H_K9c</t>
    <phoneticPr fontId="2" type="noConversion"/>
  </si>
  <si>
    <t xml:space="preserve">셀 병합에서 제외할 컬럼을 지정. 지정한 컬럼의 셀들은 병합에서 제외됨. </t>
    <phoneticPr fontId="2" type="noConversion"/>
  </si>
  <si>
    <t>mergeCol()</t>
    <phoneticPr fontId="2" type="noConversion"/>
  </si>
  <si>
    <t>https://youtu.be/bl6q791x12U</t>
    <phoneticPr fontId="2" type="noConversion"/>
  </si>
  <si>
    <t>GridView - getMerged()</t>
    <phoneticPr fontId="2" type="noConversion"/>
  </si>
  <si>
    <t xml:space="preserve">지정한 셀의 합 상태를 확인. </t>
    <phoneticPr fontId="2" type="noConversion"/>
  </si>
  <si>
    <t>https://youtu.be/TCRq5oo_wxw</t>
    <phoneticPr fontId="2" type="noConversion"/>
  </si>
  <si>
    <t>getMerged()</t>
    <phoneticPr fontId="2" type="noConversion"/>
  </si>
  <si>
    <t>/GridView/Merge/getMerged()_GridView.pdf</t>
    <phoneticPr fontId="2" type="noConversion"/>
  </si>
  <si>
    <t>/WidgetContainer/enableWidgetTitle_enableWidgetMove_enableWidgetResize_WidgetContainer.pdf</t>
    <phoneticPr fontId="2" type="noConversion"/>
  </si>
  <si>
    <t>/WindowContainer/nameLayerMove_WindowContainer.pdf</t>
    <phoneticPr fontId="2" type="noConversion"/>
  </si>
  <si>
    <t>/WindowContainer/createWindow_fixWindow_unfixWindow_WindowContainer.pdf</t>
    <phoneticPr fontId="2" type="noConversion"/>
  </si>
  <si>
    <t>/WindowContainer/closeType_useFixButton_WindowContainer.pdf</t>
    <phoneticPr fontId="2" type="noConversion"/>
  </si>
  <si>
    <t>/GridView/_General/setFixedRow_GridView.pdf</t>
    <phoneticPr fontId="2" type="noConversion"/>
  </si>
  <si>
    <t>/GridView/_General/setFixedColumn_setFixedRightColumn_GridView.pdf</t>
    <phoneticPr fontId="2" type="noConversion"/>
  </si>
  <si>
    <t>/GridView/Merge/setFixedRow_mergeCellsFixedRows_GridView.pdf</t>
    <phoneticPr fontId="2" type="noConversion"/>
  </si>
  <si>
    <t>/GridView/Merge/setFixedCol_setFixedRightCol_mergeCellsFixedCols_GridView.pdf</t>
    <phoneticPr fontId="2" type="noConversion"/>
  </si>
  <si>
    <t>/GridView/Merge/mergeCells_mergeCol_GridView.pdf</t>
    <phoneticPr fontId="2" type="noConversion"/>
  </si>
  <si>
    <t>/GridView/Merge/mergeCol_GridView.pdf</t>
    <phoneticPr fontId="2" type="noConversion"/>
  </si>
  <si>
    <t>/GridView/Excel/advancedExcelUpload_GridView.pdf</t>
    <phoneticPr fontId="2" type="noConversion"/>
  </si>
  <si>
    <t>/GridView/Excel/advancedExcelUpload_headerExist_GridView.pdf</t>
    <phoneticPr fontId="2" type="noConversion"/>
  </si>
  <si>
    <t>/GridView/Excel/advancedExcelUpload_dateFormat_GridView.pdf</t>
    <phoneticPr fontId="2" type="noConversion"/>
  </si>
  <si>
    <t>https://youtu.be/kq_mC97YZeI</t>
    <phoneticPr fontId="2" type="noConversion"/>
  </si>
  <si>
    <t>openPopup()
options.closeAction</t>
    <phoneticPr fontId="2" type="noConversion"/>
  </si>
  <si>
    <t>팝업창의 닫기 버튼을 클릭할 경우 호출할 사용자 정의 함수를 지정.</t>
    <phoneticPr fontId="2" type="noConversion"/>
  </si>
  <si>
    <t xml:space="preserve">일부 행들이 선택된 상태에서 헤더의 체크박스를 선택할 경우 전체 행의 선택 및 선택 해제 여부를 결정. </t>
    <phoneticPr fontId="2" type="noConversion"/>
  </si>
  <si>
    <t>https://youtu.be/GQtn0YSOPmc</t>
    <phoneticPr fontId="2" type="noConversion"/>
  </si>
  <si>
    <t>inputType_checkbox_partialCheckNextClick_gridView_column</t>
    <phoneticPr fontId="2" type="noConversion"/>
  </si>
  <si>
    <t>/GridView/inputType/inputType_checkbox_partialCheckNextClick_gridView_column.xml</t>
    <phoneticPr fontId="2" type="noConversion"/>
  </si>
  <si>
    <t>inputType="checkbox"
partialCheckNextClick</t>
    <phoneticPr fontId="2" type="noConversion"/>
  </si>
  <si>
    <t>pickerType_dynamicHeaderOrder_InputCalendar</t>
    <phoneticPr fontId="2" type="noConversion"/>
  </si>
  <si>
    <t>visibleRowNum_visibleRowNumFix_GridView</t>
    <phoneticPr fontId="2" type="noConversion"/>
  </si>
  <si>
    <t>https://youtu.be/mdRM__Fl_zA</t>
    <phoneticPr fontId="2" type="noConversion"/>
  </si>
  <si>
    <t>visibleWeekNum_InputCalendar</t>
    <phoneticPr fontId="2" type="noConversion"/>
  </si>
  <si>
    <t>/InputCalendar/visibleWeekNum_InputCalendar.xml</t>
    <phoneticPr fontId="2" type="noConversion"/>
  </si>
  <si>
    <t>pickerType="dynamic"인 경우 달력 헤더 부분의 연도 및 월 표시 순서 설정.</t>
    <phoneticPr fontId="2" type="noConversion"/>
  </si>
  <si>
    <t>https://youtu.be/5OYRmiYI8Cw</t>
    <phoneticPr fontId="2" type="noConversion"/>
  </si>
  <si>
    <t>GridView에 표시하는 행의 개수(visibleRowNum)를 기반으로 GridView 높이를 설정.</t>
    <phoneticPr fontId="2" type="noConversion"/>
  </si>
  <si>
    <t>https://youtu.be/vftrJvR2tT8</t>
    <phoneticPr fontId="2" type="noConversion"/>
  </si>
  <si>
    <t xml:space="preserve">pickerType="dynamic"
dynamicHeaderOrder </t>
    <phoneticPr fontId="2" type="noConversion"/>
  </si>
  <si>
    <t>visibleRowNum 
visibleRowNumFix</t>
    <phoneticPr fontId="2" type="noConversion"/>
  </si>
  <si>
    <t>WebSquare.util - multipleDataListDownload()</t>
    <phoneticPr fontId="2" type="noConversion"/>
  </si>
  <si>
    <t>multipleDataListDownload()</t>
    <phoneticPr fontId="2" type="noConversion"/>
  </si>
  <si>
    <t>여러 개의 DataList를 엑셀 파일로 다운로드.</t>
    <phoneticPr fontId="2" type="noConversion"/>
  </si>
  <si>
    <t>multipleExcelDownload_WebSquare_util</t>
    <phoneticPr fontId="2" type="noConversion"/>
  </si>
  <si>
    <t>WebSquare.util - multipleExcelDownload()</t>
    <phoneticPr fontId="2" type="noConversion"/>
  </si>
  <si>
    <t>multipleExcelDownload()</t>
    <phoneticPr fontId="2" type="noConversion"/>
  </si>
  <si>
    <t>여러 개의 GridView를 엑셀 파일로 다운로드.</t>
    <phoneticPr fontId="2" type="noConversion"/>
  </si>
  <si>
    <t>https://youtu.be/nX4Q2K7Hvwo</t>
    <phoneticPr fontId="2" type="noConversion"/>
  </si>
  <si>
    <t>headerLeftBtn
headerRightBtn</t>
    <phoneticPr fontId="2" type="noConversion"/>
  </si>
  <si>
    <t>headerLeftBtn_headerRightBtn_ScheduleCalendar</t>
    <phoneticPr fontId="2" type="noConversion"/>
  </si>
  <si>
    <t>ScheduleCalendar - headerLeftBtn &amp; headerRightBtn</t>
    <phoneticPr fontId="2" type="noConversion"/>
  </si>
  <si>
    <t>https://youtu.be/O6z8sjzHfbc</t>
    <phoneticPr fontId="2" type="noConversion"/>
  </si>
  <si>
    <t>좌측 상단에는 앞뒤 이동 버튼을 표시하고, 우측 상단에는 스케줄 단위(일, 주, 월) 버튼을 표시. </t>
    <phoneticPr fontId="2" type="noConversion"/>
  </si>
  <si>
    <t>/ScheduleCalendar/headerLeftBtn_headerRightBtn_ScheduleCalendar.pdf</t>
    <phoneticPr fontId="2" type="noConversion"/>
  </si>
  <si>
    <t xml:space="preserve">동적으로 웹스퀘어 컴포넌트를 생성. </t>
    <phoneticPr fontId="2" type="noConversion"/>
  </si>
  <si>
    <t>navBtn_CheckComboBox</t>
    <phoneticPr fontId="2" type="noConversion"/>
  </si>
  <si>
    <t>CheckComboBox - navBtn</t>
    <phoneticPr fontId="2" type="noConversion"/>
  </si>
  <si>
    <t>navBtn</t>
    <phoneticPr fontId="2" type="noConversion"/>
  </si>
  <si>
    <t>https://youtu.be/xBT12u0jQps</t>
    <phoneticPr fontId="2" type="noConversion"/>
  </si>
  <si>
    <t>"선택완료" 및 "선택해제" 버튼을 표시.</t>
    <phoneticPr fontId="2" type="noConversion"/>
  </si>
  <si>
    <t>/CheckComboBox/navBtn_CheckComboBox.pdf</t>
    <phoneticPr fontId="2" type="noConversion"/>
  </si>
  <si>
    <t>$p.openPopup()
$p.getParameter()</t>
    <phoneticPr fontId="2" type="noConversion"/>
  </si>
  <si>
    <t>createWindow()
$p.getParameter()</t>
    <phoneticPr fontId="2" type="noConversion"/>
  </si>
  <si>
    <t xml:space="preserve">$p.openPopup() 함수를 통해 팝업을 생성할 때, dataObject를 통해 파라미터를 팝업에 전달하고, 전달받은 파라미터는 생성한 팝업창에서 $p.getParameger() 함수로 확인. </t>
    <phoneticPr fontId="2" type="noConversion"/>
  </si>
  <si>
    <t>gridView.column - inputType="checkbox" &amp; partialCheckNextClick</t>
    <phoneticPr fontId="2" type="noConversion"/>
  </si>
  <si>
    <t>InputCalendar - pickerType &amp; dynamicHeaderOrder</t>
    <phoneticPr fontId="2" type="noConversion"/>
  </si>
  <si>
    <t xml:space="preserve">addTab() 함수를 통해 탭을 생성할 때, dataObject를 통해 파라미터를 새로 생성하는 탭에 전달하고, 전달받은 파라미터는 새로 생성한 탭에서 $p.getParameger() 함수로 확인. </t>
    <phoneticPr fontId="2" type="noConversion"/>
  </si>
  <si>
    <t xml:space="preserve">createWindow() 함수를 통해 윈도우를을 생성할 때, dataObject를 통해 파라미터를 새로 생성하는 윈도우에 전달하고, 전달받은 파라미터는 새로 생성한 윈도우에서 $p.getParameger() 함수로 확인. </t>
    <phoneticPr fontId="2" type="noConversion"/>
  </si>
  <si>
    <t xml:space="preserve">setSrc() 함수를 통해 WFrame 화면을 설정할 때, dataObject를 통해 파라미터를 새로 설정하는 화면에 전달하고, 전달받은 파라미터는 새로 설정한 화면에서 $p.getParameger() 함수로 확인. </t>
    <phoneticPr fontId="2" type="noConversion"/>
  </si>
  <si>
    <t xml:space="preserve">gridView.column - useFilter &amp; useFilterList (GridView) </t>
    <phoneticPr fontId="2" type="noConversion"/>
  </si>
  <si>
    <t>useFilter_gridView_column_useFilterList_GridView</t>
    <phoneticPr fontId="2" type="noConversion"/>
  </si>
  <si>
    <t>useFilter="true" (gridView.column)
useFilterList="true" (gridView)</t>
    <phoneticPr fontId="2" type="noConversion"/>
  </si>
  <si>
    <t xml:space="preserve">컬럼에 필터링 기능을 적용하고, 필터링 아이콘을 클릭하면 필터 항목을 목록으로 표시. </t>
    <phoneticPr fontId="2" type="noConversion"/>
  </si>
  <si>
    <t>https://youtu.be/2Fzwxj5d7SU</t>
    <phoneticPr fontId="2" type="noConversion"/>
  </si>
  <si>
    <t>/GridView/Filtering/useFilter_gridView_column_useFilterList_GridView.pdf</t>
    <phoneticPr fontId="2" type="noConversion"/>
  </si>
  <si>
    <t>https://youtu.be/aaB2U-mlFXA</t>
    <phoneticPr fontId="2" type="noConversion"/>
  </si>
  <si>
    <t>setCondition_LinkedDataList</t>
    <phoneticPr fontId="2" type="noConversion"/>
  </si>
  <si>
    <t>LinkedDataList - setCondition()</t>
    <phoneticPr fontId="2" type="noConversion"/>
  </si>
  <si>
    <t xml:space="preserve">LinkedDataList의 필터링 혹은 정렬 조건을 설정. </t>
    <phoneticPr fontId="2" type="noConversion"/>
  </si>
  <si>
    <t>setCondition()</t>
    <phoneticPr fontId="2" type="noConversion"/>
  </si>
  <si>
    <t>/_DataCollection/setCondition_LinkedDataList.pdf</t>
    <phoneticPr fontId="2" type="noConversion"/>
  </si>
  <si>
    <t>setCondition_LinkedDataList_Radio</t>
    <phoneticPr fontId="2" type="noConversion"/>
  </si>
  <si>
    <t>LinkedDataList - setCondition() &amp; Radio</t>
    <phoneticPr fontId="2" type="noConversion"/>
  </si>
  <si>
    <t xml:space="preserve">Radio와 바인딩된 LinkedDataList의 필터링 혹은 정렬 조건을 설정. </t>
    <phoneticPr fontId="2" type="noConversion"/>
  </si>
  <si>
    <t>getFilteredRowIndex()</t>
    <phoneticPr fontId="2" type="noConversion"/>
  </si>
  <si>
    <t>LinkedDataList - getFilteredRowIndex()</t>
    <phoneticPr fontId="2" type="noConversion"/>
  </si>
  <si>
    <t>getFilteredRowIndex_LinkedDataList</t>
    <phoneticPr fontId="2" type="noConversion"/>
  </si>
  <si>
    <t>https://youtu.be/xbtkTRYbHq4</t>
    <phoneticPr fontId="2" type="noConversion"/>
  </si>
  <si>
    <t xml:space="preserve">필터링을 수행한 이후, 필터링된 데이터의 행 인덱스를 반환. </t>
    <phoneticPr fontId="2" type="noConversion"/>
  </si>
  <si>
    <t>https://youtu.be/ryTUYKFiHx8</t>
    <phoneticPr fontId="2" type="noConversion"/>
  </si>
  <si>
    <t>dataType_displayFormat_InputBox</t>
    <phoneticPr fontId="2" type="noConversion"/>
  </si>
  <si>
    <t>InputBox - dataType &amp; displayFormat</t>
    <phoneticPr fontId="2" type="noConversion"/>
  </si>
  <si>
    <t>https://youtu.be/ijYnYvNdlSE</t>
    <phoneticPr fontId="2" type="noConversion"/>
  </si>
  <si>
    <t xml:space="preserve">시간 및 날짜 입력 방식을 지정. </t>
    <phoneticPr fontId="2" type="noConversion"/>
  </si>
  <si>
    <t>/InputBox/dataType_displayFormat_InputBox.pdf</t>
    <phoneticPr fontId="2" type="noConversion"/>
  </si>
  <si>
    <t>dataType="number"
displayFormat</t>
    <phoneticPr fontId="2" type="noConversion"/>
  </si>
  <si>
    <t>dataType_number_displayFormat_InputBox</t>
    <phoneticPr fontId="2" type="noConversion"/>
  </si>
  <si>
    <t>InputBox - dataType="number" &amp; displayFormat</t>
    <phoneticPr fontId="2" type="noConversion"/>
  </si>
  <si>
    <t xml:space="preserve">소수점 숫자의 반올림 및 무조건 올림. </t>
    <phoneticPr fontId="2" type="noConversion"/>
  </si>
  <si>
    <t>dataType="time" / "date"
displayFormat</t>
    <phoneticPr fontId="2" type="noConversion"/>
  </si>
  <si>
    <t>https://youtu.be/BuRyN4ZxtfY</t>
    <phoneticPr fontId="2" type="noConversion"/>
  </si>
  <si>
    <t>/InputBox/dataType_number_displayFormat_InputBox.pdf</t>
    <phoneticPr fontId="2" type="noConversion"/>
  </si>
  <si>
    <t>dataType_text_displayFormatter_InputBox</t>
    <phoneticPr fontId="2" type="noConversion"/>
  </si>
  <si>
    <t>InputBox - dataType="text" &amp; displayFormatter</t>
    <phoneticPr fontId="2" type="noConversion"/>
  </si>
  <si>
    <t>dataType="text"
displayFormatter</t>
    <phoneticPr fontId="2" type="noConversion"/>
  </si>
  <si>
    <t>알파벳 소문자를 대문자로 변환.</t>
    <phoneticPr fontId="2" type="noConversion"/>
  </si>
  <si>
    <t>https://youtu.be/OsS9j06q5ME</t>
    <phoneticPr fontId="2" type="noConversion"/>
  </si>
  <si>
    <t>/InputBox/dataType_text_displayFormatter_InputBox.pdf</t>
    <phoneticPr fontId="2" type="noConversion"/>
  </si>
  <si>
    <t>getting_started_Studio</t>
    <phoneticPr fontId="2" type="noConversion"/>
  </si>
  <si>
    <t xml:space="preserve">웹스퀘어 스튜디오 시작 후, 웹스퀘어 프로젝트 및 페이지 생성. </t>
    <phoneticPr fontId="2" type="noConversion"/>
  </si>
  <si>
    <t xml:space="preserve">F1 버튼을 눌러 도움말 확인 &amp; Perspective 선택 및 복구.
</t>
    <phoneticPr fontId="2" type="noConversion"/>
  </si>
  <si>
    <t xml:space="preserve"> -</t>
    <phoneticPr fontId="2" type="noConversion"/>
  </si>
  <si>
    <t>그리기 모드 비교 (Absolute Vs. Static)</t>
    <phoneticPr fontId="2" type="noConversion"/>
  </si>
  <si>
    <t xml:space="preserve">윈도우 크기를 최소화하는 버튼 혹은 복원하는 버튼을 클릭할 때 발생. </t>
    <phoneticPr fontId="2" type="noConversion"/>
  </si>
  <si>
    <t>WindowContainer - onminimizebtnclick &amp; onrestorebtnclick</t>
    <phoneticPr fontId="2" type="noConversion"/>
  </si>
  <si>
    <t>Calendar - onmonthselect &amp; onyearselect</t>
    <phoneticPr fontId="2" type="noConversion"/>
  </si>
  <si>
    <t>SelectBox - tooltipDisplay &amp; itemTooltipDisplay</t>
    <phoneticPr fontId="2" type="noConversion"/>
  </si>
  <si>
    <t>GridView - visibleRowNum &amp; visibleRowNumFix</t>
    <phoneticPr fontId="2" type="noConversion"/>
  </si>
  <si>
    <t>툴팁을 직접 변환하여 선택 항목 목록 상에 표시.</t>
    <phoneticPr fontId="2" type="noConversion"/>
  </si>
  <si>
    <t>/SelectBox/itemTooltipFormatter_SelectBox.xml</t>
    <phoneticPr fontId="2" type="noConversion"/>
  </si>
  <si>
    <t>/SelectBox/tooltipDisplay_itemToolTipDisplay_SelectBox.xml</t>
    <phoneticPr fontId="2" type="noConversion"/>
  </si>
  <si>
    <t>itemTooltipFormatter_SelectBox</t>
    <phoneticPr fontId="2" type="noConversion"/>
  </si>
  <si>
    <t>SelectBox - itemTooltipFormatter</t>
    <phoneticPr fontId="2" type="noConversion"/>
  </si>
  <si>
    <t>https://youtu.be/wC8QoEawA0Y</t>
    <phoneticPr fontId="2" type="noConversion"/>
  </si>
  <si>
    <t>onminimizebtnclick_onrestorebtnclick_WindowContainer</t>
    <phoneticPr fontId="2" type="noConversion"/>
  </si>
  <si>
    <t>onminimizebtnclick
onrestorebtnclick</t>
    <phoneticPr fontId="2" type="noConversion"/>
  </si>
  <si>
    <t>https://youtu.be/Pd_QBd2xCPc</t>
    <phoneticPr fontId="2" type="noConversion"/>
  </si>
  <si>
    <t>onmonthselect_onyearselect_Calendar</t>
    <phoneticPr fontId="2" type="noConversion"/>
  </si>
  <si>
    <t>/Calendar/onmonthselect_onyearselect_Calendar.xml</t>
    <phoneticPr fontId="2" type="noConversion"/>
  </si>
  <si>
    <t>onmonthselect
onyearselect</t>
    <phoneticPr fontId="2" type="noConversion"/>
  </si>
  <si>
    <t xml:space="preserve">달력에서 월 혹은 연도를 변경할 경우 발생. </t>
    <phoneticPr fontId="2" type="noConversion"/>
  </si>
  <si>
    <t xml:space="preserve">선택된 항목에 대한 툴팁을 표시. Vs. 선택 항목 목록 상에서 툴팁을 표시. </t>
    <phoneticPr fontId="2" type="noConversion"/>
  </si>
  <si>
    <t>https://youtu.be/dxBR0tn6hs0</t>
    <phoneticPr fontId="2" type="noConversion"/>
  </si>
  <si>
    <t>tooltipDisplay
itemTooltipDisplay</t>
    <phoneticPr fontId="2" type="noConversion"/>
  </si>
  <si>
    <t>itemTooltipDisplay
itemTooltipFormatter</t>
    <phoneticPr fontId="2" type="noConversion"/>
  </si>
  <si>
    <t>onbeforemodelchange</t>
    <phoneticPr fontId="2" type="noConversion"/>
  </si>
  <si>
    <t>https://youtu.be/qbWFtdeni_s</t>
    <phoneticPr fontId="2" type="noConversion"/>
  </si>
  <si>
    <t>tooltipDisplay_itemToolTipDisplay_SelectBox</t>
    <phoneticPr fontId="2" type="noConversion"/>
  </si>
  <si>
    <t xml:space="preserve">GridView를 Excel 파일로 다운로드 할 때 Excel 파일의 각 셀에 포함된 공백을 제거. </t>
    <phoneticPr fontId="2" type="noConversion"/>
  </si>
  <si>
    <t>https://youtu.be/A-F4r2LCwmI</t>
    <phoneticPr fontId="2" type="noConversion"/>
  </si>
  <si>
    <t>advancedExcelDownload_trim_GridView</t>
    <phoneticPr fontId="2" type="noConversion"/>
  </si>
  <si>
    <t>/GridView/Excel/advancedExcelDownload_trim_GridView.xml</t>
    <phoneticPr fontId="2" type="noConversion"/>
  </si>
  <si>
    <t>https://youtu.be/3xh5OE5Mar4</t>
    <phoneticPr fontId="2" type="noConversion"/>
  </si>
  <si>
    <t>subtotalStyleFormatter_subtotalColumnId_GridView</t>
    <phoneticPr fontId="2" type="noConversion"/>
  </si>
  <si>
    <t>GridView - subtotalStyleFormatter &amp; subtotalColumnId</t>
    <phoneticPr fontId="2" type="noConversion"/>
  </si>
  <si>
    <t>subtotal 컬럼 별로 적용할 CSS 클래스를 판단. 즉, subtotal 컬럼에 따라 서로 다른 CSS를 적용.</t>
    <phoneticPr fontId="2" type="noConversion"/>
  </si>
  <si>
    <t>onbeforemodelchange_DataMap</t>
    <phoneticPr fontId="2" type="noConversion"/>
  </si>
  <si>
    <t>데이터 값이 변경되기 직전에 발생.</t>
    <phoneticPr fontId="2" type="noConversion"/>
  </si>
  <si>
    <t>advancedExcelDownload()
options.trim</t>
    <phoneticPr fontId="2" type="noConversion"/>
  </si>
  <si>
    <t>subtotalStyleFormatter
subtotalColumnId</t>
    <phoneticPr fontId="2" type="noConversion"/>
  </si>
  <si>
    <t>$p/_General</t>
    <phoneticPr fontId="2" type="noConversion"/>
  </si>
  <si>
    <t>$p/Submission</t>
    <phoneticPr fontId="2" type="noConversion"/>
  </si>
  <si>
    <t>GridView/_General</t>
    <phoneticPr fontId="2" type="noConversion"/>
  </si>
  <si>
    <t>GridView/Dragging</t>
    <phoneticPr fontId="2" type="noConversion"/>
  </si>
  <si>
    <t>GridView/Excel</t>
    <phoneticPr fontId="2" type="noConversion"/>
  </si>
  <si>
    <t>GridView/inputType</t>
    <phoneticPr fontId="2" type="noConversion"/>
  </si>
  <si>
    <t>DataMap - onbeforemodelchange</t>
    <phoneticPr fontId="2" type="noConversion"/>
  </si>
  <si>
    <t>contextMenu="true"</t>
    <phoneticPr fontId="2" type="noConversion"/>
  </si>
  <si>
    <t>showCheckBox</t>
    <phoneticPr fontId="2" type="noConversion"/>
  </si>
  <si>
    <t xml:space="preserve">GridView의 컨텍스트 메뉴를 이용하여 컬럼 폭을 조정. </t>
    <phoneticPr fontId="2" type="noConversion"/>
  </si>
  <si>
    <t xml:space="preserve">Alt 키 + 마우스 좌클릭을 통해 GridView의 컨텍스트 메뉴를 표시. </t>
    <phoneticPr fontId="2" type="noConversion"/>
  </si>
  <si>
    <t xml:space="preserve">사용자가 GridView 위에서 마우스 우클릭할 경우 컨텍스트 메뉴를 표시. </t>
    <phoneticPr fontId="2" type="noConversion"/>
  </si>
  <si>
    <t>https://youtu.be/PYq9S0e4T8w</t>
    <phoneticPr fontId="2" type="noConversion"/>
  </si>
  <si>
    <t>contextMenu_autoFit_GridView</t>
    <phoneticPr fontId="2" type="noConversion"/>
  </si>
  <si>
    <t>https://youtu.be/AF3KgtSROwc</t>
    <phoneticPr fontId="2" type="noConversion"/>
  </si>
  <si>
    <t>contextMenu_GridView</t>
    <phoneticPr fontId="2" type="noConversion"/>
  </si>
  <si>
    <t>/GridView/_General/contextMenu_GridView.xml</t>
    <phoneticPr fontId="2" type="noConversion"/>
  </si>
  <si>
    <t>https://youtu.be/iqsNUcLaBIU</t>
    <phoneticPr fontId="2" type="noConversion"/>
  </si>
  <si>
    <t>https://youtu.be/WpGLtdALi3U</t>
    <phoneticPr fontId="2" type="noConversion"/>
  </si>
  <si>
    <t>showCheckbox_setShowCheckBox_TreeView</t>
    <phoneticPr fontId="2" type="noConversion"/>
  </si>
  <si>
    <t xml:space="preserve">TreeView의 각 노드에 체크박스를 표시. </t>
    <phoneticPr fontId="2" type="noConversion"/>
  </si>
  <si>
    <t>/TreeView/showCheckbox_setShowCheckBox_TreeView.xml</t>
    <phoneticPr fontId="2" type="noConversion"/>
  </si>
  <si>
    <t>contextMenu=“true” 
contextMenuAltClick=“true”</t>
    <phoneticPr fontId="2" type="noConversion"/>
  </si>
  <si>
    <t xml:space="preserve">기본 브라우저를 설정하고 기본 브라우저에서 페이지 확인하기. </t>
    <phoneticPr fontId="2" type="noConversion"/>
  </si>
  <si>
    <t>GridView/Filtering</t>
    <phoneticPr fontId="2" type="noConversion"/>
  </si>
  <si>
    <t>GridView/Merge</t>
    <phoneticPr fontId="2" type="noConversion"/>
  </si>
  <si>
    <t>_DataCollection</t>
    <phoneticPr fontId="2" type="noConversion"/>
  </si>
  <si>
    <t>GridView/Grouping</t>
    <phoneticPr fontId="2" type="noConversion"/>
  </si>
  <si>
    <t>GridView/Sorting</t>
    <phoneticPr fontId="2" type="noConversion"/>
  </si>
  <si>
    <t>_Design</t>
    <phoneticPr fontId="2" type="noConversion"/>
  </si>
  <si>
    <t>margin_padding_Design</t>
    <phoneticPr fontId="2" type="noConversion"/>
  </si>
  <si>
    <t>margin과 padding 비교.</t>
    <phoneticPr fontId="2" type="noConversion"/>
  </si>
  <si>
    <t xml:space="preserve">Group 컴포넌트 스타일링 팁. </t>
    <phoneticPr fontId="2" type="noConversion"/>
  </si>
  <si>
    <t>component_property_search_Studio</t>
    <phoneticPr fontId="2" type="noConversion"/>
  </si>
  <si>
    <t xml:space="preserve">Studio에서 컴포넌트와 속성을 검색. </t>
    <phoneticPr fontId="2" type="noConversion"/>
  </si>
  <si>
    <t>Studio - Searching components and properties</t>
    <phoneticPr fontId="2" type="noConversion"/>
  </si>
  <si>
    <t>https://youtu.be/D1N7hJB6DeE</t>
    <phoneticPr fontId="2" type="noConversion"/>
  </si>
  <si>
    <t>_Studio</t>
    <phoneticPr fontId="2" type="noConversion"/>
  </si>
  <si>
    <t>TableLayout - Introduction</t>
    <phoneticPr fontId="2" type="noConversion"/>
  </si>
  <si>
    <t>adding_events_Studio</t>
    <phoneticPr fontId="2" type="noConversion"/>
  </si>
  <si>
    <t>스니핏 추가 방법.</t>
    <phoneticPr fontId="2" type="noConversion"/>
  </si>
  <si>
    <t>https://youtu.be/4RTDZwFc8Ic</t>
    <phoneticPr fontId="2" type="noConversion"/>
  </si>
  <si>
    <t>adding_snippets_Studio</t>
    <phoneticPr fontId="2" type="noConversion"/>
  </si>
  <si>
    <t>Studio - Adding snippets</t>
    <phoneticPr fontId="2" type="noConversion"/>
  </si>
  <si>
    <t xml:space="preserve">웹스퀘어 페이지 설명. </t>
    <phoneticPr fontId="2" type="noConversion"/>
  </si>
  <si>
    <t>WFrame - page</t>
    <phoneticPr fontId="2" type="noConversion"/>
  </si>
  <si>
    <t>page_WFrame</t>
    <phoneticPr fontId="2" type="noConversion"/>
  </si>
  <si>
    <t>/WFrame/page_WFrame.pdf</t>
    <phoneticPr fontId="2" type="noConversion"/>
  </si>
  <si>
    <t>GridView - contextMenu</t>
    <phoneticPr fontId="2" type="noConversion"/>
  </si>
  <si>
    <t>TreeView - showCheckbox &amp; setShowCheckBox()</t>
    <phoneticPr fontId="2" type="noConversion"/>
  </si>
  <si>
    <t>Studio - Adding events</t>
    <phoneticPr fontId="2" type="noConversion"/>
  </si>
  <si>
    <t>웹스퀘어5 컴포넌트에 이벤트 추가. JS 코드를 작성하여 동작 추가.</t>
    <phoneticPr fontId="2" type="noConversion"/>
  </si>
  <si>
    <t>GridView - contextMenuAltClick</t>
    <phoneticPr fontId="2" type="noConversion"/>
  </si>
  <si>
    <t>GridView - contextMenu &amp; autoFit</t>
    <phoneticPr fontId="2" type="noConversion"/>
  </si>
  <si>
    <t>https://youtu.be/5lO3ZLmhBHc</t>
    <phoneticPr fontId="2" type="noConversion"/>
  </si>
  <si>
    <t>showCheckbox_hierarchy_TreeView</t>
    <phoneticPr fontId="2" type="noConversion"/>
  </si>
  <si>
    <t>/TreeView/showCheckbox_hierarchy_TreeView.xml</t>
    <phoneticPr fontId="2" type="noConversion"/>
  </si>
  <si>
    <t xml:space="preserve">부모 노드의 체크박스를 선택하여 하위 노드 전체를 선택. 
</t>
    <phoneticPr fontId="2" type="noConversion"/>
  </si>
  <si>
    <t>https://youtu.be/pjEYTl_b7TI</t>
    <phoneticPr fontId="2" type="noConversion"/>
  </si>
  <si>
    <t>/GridView/_General/autoFit_GridView.xml</t>
    <phoneticPr fontId="2" type="noConversion"/>
  </si>
  <si>
    <t>전체 컬럼 혹은 마지막 컬럼의 폭을 조절하여 GridView 전체 너비를 채움.</t>
    <phoneticPr fontId="2" type="noConversion"/>
  </si>
  <si>
    <t>https://youtu.be/VtwE8p1ALfc</t>
    <phoneticPr fontId="2" type="noConversion"/>
  </si>
  <si>
    <t xml:space="preserve">GridView의 너비가 특정 값 이상인 경우, 컬럼 폭을 조절하여 GridView의 전체 너비를 채움. </t>
    <phoneticPr fontId="2" type="noConversion"/>
  </si>
  <si>
    <t>autoFit_autoFitMinWidth_GridView</t>
    <phoneticPr fontId="2" type="noConversion"/>
  </si>
  <si>
    <t>/GridView/_General/autoFit_autoFitMinWidth_GridView.xml</t>
    <phoneticPr fontId="2" type="noConversion"/>
  </si>
  <si>
    <t>https://youtu.be/08K5gCovQcc</t>
    <phoneticPr fontId="2" type="noConversion"/>
  </si>
  <si>
    <t>setAutoFit_clearAutoFit_GridView</t>
    <phoneticPr fontId="2" type="noConversion"/>
  </si>
  <si>
    <t xml:space="preserve">GridView의 autoFit 속성을 적용하거나 취소. 
</t>
    <phoneticPr fontId="2" type="noConversion"/>
  </si>
  <si>
    <t>showCheckbox
hierarchy</t>
    <phoneticPr fontId="2" type="noConversion"/>
  </si>
  <si>
    <t>autoFit
autoFitMinWidth
setAutoFit()
clearAutoFit()</t>
    <phoneticPr fontId="2" type="noConversion"/>
  </si>
  <si>
    <t>TreeView - showCheckbox &amp; hierarchy</t>
    <phoneticPr fontId="2" type="noConversion"/>
  </si>
  <si>
    <t>GridView - autoFit</t>
    <phoneticPr fontId="2" type="noConversion"/>
  </si>
  <si>
    <t>GridView - autoFit &amp; autoFitMinWidth</t>
    <phoneticPr fontId="2" type="noConversion"/>
  </si>
  <si>
    <t>https://youtu.be/_hxZ7iKLy5o</t>
    <phoneticPr fontId="2" type="noConversion"/>
  </si>
  <si>
    <t>AutoComplete_Radio_SelectBox_Spinner_CheckBox_CheckComboBox_MultiSelect</t>
    <phoneticPr fontId="2" type="noConversion"/>
  </si>
  <si>
    <t>Selection Components</t>
    <phoneticPr fontId="2" type="noConversion"/>
  </si>
  <si>
    <t>https://youtu.be/U--QTIHu6SQ</t>
    <phoneticPr fontId="2" type="noConversion"/>
  </si>
  <si>
    <t>단일 선택 vs. 다중 선택</t>
    <phoneticPr fontId="2" type="noConversion"/>
  </si>
  <si>
    <t>/AutoComplete/AutoComplete_Radio_SelectBox_Spinner_CheckBox_CheckComboBox_MultiSelect.pdf</t>
    <phoneticPr fontId="2" type="noConversion"/>
  </si>
  <si>
    <t>ItemSet_chooseOption_chooseOptionLabel_AutoComplete_SelectBox</t>
    <phoneticPr fontId="2" type="noConversion"/>
  </si>
  <si>
    <t>ItemSet을 통한 선택 항목 직접 입력하고 선택 안내 메시지 표시.</t>
    <phoneticPr fontId="2" type="noConversion"/>
  </si>
  <si>
    <t>https://youtu.be/x40RQUFAS3c</t>
    <phoneticPr fontId="2" type="noConversion"/>
  </si>
  <si>
    <t>/AutoComplete/ItemSet_chooseOption_chooseOptionLabel_AutoComplete_SelectBox.pdf</t>
    <phoneticPr fontId="2" type="noConversion"/>
  </si>
  <si>
    <t>AutoComplete_GridView - ItemSet &amp; chooseOption &amp; chooseOptionLabel</t>
    <phoneticPr fontId="2" type="noConversion"/>
  </si>
  <si>
    <t>ItemSet
chooseOption
chooseOptionLabel</t>
    <phoneticPr fontId="2" type="noConversion"/>
  </si>
  <si>
    <t>Span Direction
Span Count
cols
rows</t>
    <phoneticPr fontId="2" type="noConversion"/>
  </si>
  <si>
    <t xml:space="preserve">선택 항목을 직접 입력하고, 선택 항목을 표시하는 방법을 설정. </t>
    <phoneticPr fontId="2" type="noConversion"/>
  </si>
  <si>
    <t>CheckBox - Span Direction &amp; Span Count &amp; cols &amp; rows</t>
    <phoneticPr fontId="2" type="noConversion"/>
  </si>
  <si>
    <t>SpanDirection_SpanCount_cols_rows_CheckBox</t>
    <phoneticPr fontId="2" type="noConversion"/>
  </si>
  <si>
    <t>Span Direction
Span Count
chooseOption
chooseOptionLabel</t>
    <phoneticPr fontId="2" type="noConversion"/>
  </si>
  <si>
    <t>https://youtu.be/oWlUmnfkBeA</t>
    <phoneticPr fontId="2" type="noConversion"/>
  </si>
  <si>
    <t>/CheckBox/SpanDirection_SpanCount_cols_rows_CheckBox.pdf</t>
    <phoneticPr fontId="2" type="noConversion"/>
  </si>
  <si>
    <t xml:space="preserve">선택 항목을 직접 입력하여 설정. </t>
    <phoneticPr fontId="2" type="noConversion"/>
  </si>
  <si>
    <t>ItemSet_CheckComboBox</t>
    <phoneticPr fontId="2" type="noConversion"/>
  </si>
  <si>
    <t>CheckComboBox - ItemSet</t>
    <phoneticPr fontId="2" type="noConversion"/>
  </si>
  <si>
    <t>ItemSet</t>
    <phoneticPr fontId="2" type="noConversion"/>
  </si>
  <si>
    <t xml:space="preserve">https://youtu.be/gDMHA9y-JOg </t>
    <phoneticPr fontId="2" type="noConversion"/>
  </si>
  <si>
    <t>/CheckComboBox/ItemSet_CheckComboBox.pdf</t>
    <phoneticPr fontId="2" type="noConversion"/>
  </si>
  <si>
    <t>allOption_chooseOption_chooseOptionLabel_CheckComboBox</t>
    <phoneticPr fontId="2" type="noConversion"/>
  </si>
  <si>
    <t>CheckComboBox - allOption &amp; chooseOption &amp; chooseOptionLabel</t>
    <phoneticPr fontId="2" type="noConversion"/>
  </si>
  <si>
    <t xml:space="preserve">“전체 선택” 및 선택 안내 메시지 표시. 
</t>
    <phoneticPr fontId="2" type="noConversion"/>
  </si>
  <si>
    <t>https://youtu.be/Kk7D_8F6kOY</t>
    <phoneticPr fontId="2" type="noConversion"/>
  </si>
  <si>
    <t>allOption
chooseOption
chooseOptionLabel</t>
    <phoneticPr fontId="2" type="noConversion"/>
  </si>
  <si>
    <t>/CheckComboBox/allOption_chooseOption_chooseOptionLabel_CheckComboBox.pdf</t>
    <phoneticPr fontId="2" type="noConversion"/>
  </si>
  <si>
    <t>AutoComplete_SelectBox</t>
    <phoneticPr fontId="2" type="noConversion"/>
  </si>
  <si>
    <t>AutoComplete Vs. SelectBox</t>
    <phoneticPr fontId="2" type="noConversion"/>
  </si>
  <si>
    <t>/AutoComplete/AutoComplete_SelectBox.pdf</t>
    <phoneticPr fontId="2" type="noConversion"/>
  </si>
  <si>
    <t xml:space="preserve">키워드를 사용하여 웹스퀘어 페이지 파일 검색.
</t>
    <phoneticPr fontId="2" type="noConversion"/>
  </si>
  <si>
    <t>https://youtu.be/N7kfGHs-CR4</t>
    <phoneticPr fontId="2" type="noConversion"/>
  </si>
  <si>
    <t>/Group/styling_Group.xml</t>
    <phoneticPr fontId="2" type="noConversion"/>
  </si>
  <si>
    <t>HTML 태그 사용.</t>
    <phoneticPr fontId="2" type="noConversion"/>
  </si>
  <si>
    <t>/TextBox/tagname_TextBox.xml</t>
    <phoneticPr fontId="2" type="noConversion"/>
  </si>
  <si>
    <t>tagname</t>
    <phoneticPr fontId="2" type="noConversion"/>
  </si>
  <si>
    <t>/TableLayout/introduction_TableLayout.xml</t>
    <phoneticPr fontId="2" type="noConversion"/>
  </si>
  <si>
    <t>adaptive="layout"
adaptiveThreshold</t>
    <phoneticPr fontId="2" type="noConversion"/>
  </si>
  <si>
    <t>https://youtu.be/FgJIBcSgqTI</t>
    <phoneticPr fontId="2" type="noConversion"/>
  </si>
  <si>
    <t>https://youtu.be/-_7Mjl_BPdg</t>
    <phoneticPr fontId="2" type="noConversion"/>
  </si>
  <si>
    <t>DataList 생성, 복사, 삭제.</t>
    <phoneticPr fontId="2" type="noConversion"/>
  </si>
  <si>
    <t>BindItemSet_SpanDirection_SpanCount_cols_rows_Radio</t>
    <phoneticPr fontId="2" type="noConversion"/>
  </si>
  <si>
    <t>DataList와 바인딩하여 선택 항목을 설정.</t>
    <phoneticPr fontId="2" type="noConversion"/>
  </si>
  <si>
    <t>BindItemSet
allOption
chooseOption
chooseOptionLabel</t>
    <phoneticPr fontId="2" type="noConversion"/>
  </si>
  <si>
    <t>Group - Styling</t>
    <phoneticPr fontId="2" type="noConversion"/>
  </si>
  <si>
    <t>TableLayout - adaptive="layout" &amp; adaptiveThreshold</t>
    <phoneticPr fontId="2" type="noConversion"/>
  </si>
  <si>
    <t>DataList와 바인딩하여 선택 항목을  설정하고, 속성을 통해 선택 안내 메시지 표시.</t>
    <phoneticPr fontId="2" type="noConversion"/>
  </si>
  <si>
    <t>displayMode
delimiter</t>
    <phoneticPr fontId="2" type="noConversion"/>
  </si>
  <si>
    <t>/SelectBox/BindItemSet_SelectBox.xml</t>
    <phoneticPr fontId="2" type="noConversion"/>
  </si>
  <si>
    <t>/AutoComplete/BindItemSet_allOption_chooseOption_chooseOptionLabel_AutoComplete.xml</t>
    <phoneticPr fontId="2" type="noConversion"/>
  </si>
  <si>
    <t>enterKeyPanelToggle</t>
    <phoneticPr fontId="2" type="noConversion"/>
  </si>
  <si>
    <t>WebSquare.logger</t>
    <phoneticPr fontId="2" type="noConversion"/>
  </si>
  <si>
    <t>TextArea</t>
    <phoneticPr fontId="2" type="noConversion"/>
  </si>
  <si>
    <t>disableDate()</t>
    <phoneticPr fontId="2" type="noConversion"/>
  </si>
  <si>
    <t xml:space="preserve">GridView와 바인딩된 DataList에 원격지의 데이터를 로딩. </t>
    <phoneticPr fontId="2" type="noConversion"/>
  </si>
  <si>
    <t xml:space="preserve">$p.executeSubmission() </t>
    <phoneticPr fontId="2" type="noConversion"/>
  </si>
  <si>
    <t>depthColumn</t>
    <phoneticPr fontId="2" type="noConversion"/>
  </si>
  <si>
    <t xml:space="preserve">디버깅 메뉴를 동적으로 허용하거나 차단. </t>
    <phoneticPr fontId="2" type="noConversion"/>
  </si>
  <si>
    <t xml:space="preserve">계층 구조의 데이터를 선택 항목으로 표시. </t>
    <phoneticPr fontId="2" type="noConversion"/>
  </si>
  <si>
    <t>$p/PopUp</t>
    <phoneticPr fontId="2" type="noConversion"/>
  </si>
  <si>
    <t>https://youtu.be/K7FZqdsSXro</t>
    <phoneticPr fontId="2" type="noConversion"/>
  </si>
  <si>
    <t>depthColumn_SelectBox</t>
    <phoneticPr fontId="2" type="noConversion"/>
  </si>
  <si>
    <t>/SelectBox/depthColumn_SelectBox.xml</t>
    <phoneticPr fontId="2" type="noConversion"/>
  </si>
  <si>
    <t>https://youtu.be/nGZQwuYFjkg</t>
    <phoneticPr fontId="2" type="noConversion"/>
  </si>
  <si>
    <t>enableContextMenu_disableContextMenu_WebSquare_logger</t>
    <phoneticPr fontId="2" type="noConversion"/>
  </si>
  <si>
    <t>enableContextMenu()
disableContextMenu()
config.xml - &lt;debugMenu&gt;</t>
    <phoneticPr fontId="2" type="noConversion"/>
  </si>
  <si>
    <t>/InputBox/setValue_getValue_InputBox.xml</t>
    <phoneticPr fontId="2" type="noConversion"/>
  </si>
  <si>
    <t xml:space="preserve">동적으로 value를 설정하거나 현재 설정된 value를 반환. </t>
    <phoneticPr fontId="2" type="noConversion"/>
  </si>
  <si>
    <t>setValue()
getValue()</t>
    <phoneticPr fontId="2" type="noConversion"/>
  </si>
  <si>
    <t>Submission 생성, 실행, 확인하기.</t>
    <phoneticPr fontId="2" type="noConversion"/>
  </si>
  <si>
    <t>Submission 생성/실행 및 관련 이벤트 정의.</t>
    <phoneticPr fontId="2" type="noConversion"/>
  </si>
  <si>
    <t>https://youtu.be/hK4KZi9vA5k</t>
    <phoneticPr fontId="2" type="noConversion"/>
  </si>
  <si>
    <t xml:space="preserve">한 개의 Submission을 통해 두 개 이상의 DataList에 데이터를 로딩. </t>
    <phoneticPr fontId="2" type="noConversion"/>
  </si>
  <si>
    <t>Target
$p.executeSubmission();</t>
    <phoneticPr fontId="2" type="noConversion"/>
  </si>
  <si>
    <t xml:space="preserve">여러 컴포넌트와 바인딩된 DataMap의 데이터를 로딩. </t>
    <phoneticPr fontId="2" type="noConversion"/>
  </si>
  <si>
    <t>ref
$p.executeSubmission();</t>
    <phoneticPr fontId="2" type="noConversion"/>
  </si>
  <si>
    <t>config.xml - warningSync</t>
    <phoneticPr fontId="2" type="noConversion"/>
  </si>
  <si>
    <t xml:space="preserve">동기 모드의 서브미션 사용을 경고. (비동기 모드 권장.) </t>
    <phoneticPr fontId="2" type="noConversion"/>
  </si>
  <si>
    <t>warningSync_config_xml</t>
    <phoneticPr fontId="2" type="noConversion"/>
  </si>
  <si>
    <t>setJSON()</t>
    <phoneticPr fontId="2" type="noConversion"/>
  </si>
  <si>
    <t xml:space="preserve">DataList에 JSON 데이터를 설정. </t>
    <phoneticPr fontId="2" type="noConversion"/>
  </si>
  <si>
    <t>setData()
setJSON()
setXML()</t>
    <phoneticPr fontId="2" type="noConversion"/>
  </si>
  <si>
    <t xml:space="preserve">DataList에 1차원 배열, JSON, XML 데이터를 설정. </t>
    <phoneticPr fontId="2" type="noConversion"/>
  </si>
  <si>
    <t>recommended_use_LinkedDataList</t>
    <phoneticPr fontId="2" type="noConversion"/>
  </si>
  <si>
    <t>LinkedDataList - Recommended Use</t>
    <phoneticPr fontId="2" type="noConversion"/>
  </si>
  <si>
    <t>AutoComplete
CheckBox
CheckComboBox
MultiSelect
Radio
SelectBox</t>
    <phoneticPr fontId="2" type="noConversion"/>
  </si>
  <si>
    <t>LinkedDataList - Create</t>
    <phoneticPr fontId="2" type="noConversion"/>
  </si>
  <si>
    <t>bind
Filter Condition
Sort Condition</t>
    <phoneticPr fontId="2" type="noConversion"/>
  </si>
  <si>
    <t>WebSquare5 Studio 에서 LinkedDataList 생성하기.</t>
    <phoneticPr fontId="2" type="noConversion"/>
  </si>
  <si>
    <t>LinkedDataList의 권장 사용법.</t>
    <phoneticPr fontId="2" type="noConversion"/>
  </si>
  <si>
    <t>setColumnFilter_LinkedDataList</t>
    <phoneticPr fontId="2" type="noConversion"/>
  </si>
  <si>
    <t>LinkedDataList - setColumnFilter()</t>
    <phoneticPr fontId="2" type="noConversion"/>
  </si>
  <si>
    <t>LinkedDataList의 데이터를 필터링.</t>
    <phoneticPr fontId="2" type="noConversion"/>
  </si>
  <si>
    <t>setColumnFilter()</t>
    <phoneticPr fontId="2" type="noConversion"/>
  </si>
  <si>
    <t xml:space="preserve">DataList들을 동적로 생성하고 생성한 DataList들에 데이터를 설정한 후, 해당 DataList들의 데이터를 Excel 파일로 다운로드. </t>
    <phoneticPr fontId="2" type="noConversion"/>
  </si>
  <si>
    <r>
      <t>DataList</t>
    </r>
    <r>
      <rPr>
        <sz val="11"/>
        <color rgb="FF000000"/>
        <rFont val="돋움"/>
        <family val="3"/>
        <charset val="129"/>
      </rPr>
      <t>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데이터를</t>
    </r>
    <r>
      <rPr>
        <sz val="11"/>
        <color rgb="FF000000"/>
        <rFont val="Arial"/>
        <family val="2"/>
      </rPr>
      <t xml:space="preserve"> rowStatus</t>
    </r>
    <r>
      <rPr>
        <sz val="11"/>
        <color rgb="FF000000"/>
        <rFont val="돋움"/>
        <family val="3"/>
        <charset val="129"/>
      </rPr>
      <t>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제외하고</t>
    </r>
    <r>
      <rPr>
        <sz val="11"/>
        <color rgb="FF000000"/>
        <rFont val="Arial"/>
        <family val="2"/>
      </rPr>
      <t xml:space="preserve"> JSON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반환</t>
    </r>
    <r>
      <rPr>
        <sz val="11"/>
        <color rgb="FF000000"/>
        <rFont val="Arial"/>
        <family val="2"/>
      </rPr>
      <t xml:space="preserve">. </t>
    </r>
    <phoneticPr fontId="2" type="noConversion"/>
  </si>
  <si>
    <t>getFilterList()
clearFilter()
setColumnFilter()</t>
    <phoneticPr fontId="2" type="noConversion"/>
  </si>
  <si>
    <t xml:space="preserve">현재 적용된 필터를 저장 후, 저장한 필터를 다시 로딩. </t>
    <phoneticPr fontId="2" type="noConversion"/>
  </si>
  <si>
    <t>getRowCount()</t>
    <phoneticPr fontId="2" type="noConversion"/>
  </si>
  <si>
    <t xml:space="preserve">DataList와 바인딩된 GridView에 현재 표시된 행의 수를 반환. </t>
    <phoneticPr fontId="2" type="noConversion"/>
  </si>
  <si>
    <t>getCellData()</t>
    <phoneticPr fontId="2" type="noConversion"/>
  </si>
  <si>
    <t xml:space="preserve">지정한 셀의 데이터를 반환. </t>
    <phoneticPr fontId="2" type="noConversion"/>
  </si>
  <si>
    <t xml:space="preserve">DataList의 데이터가 새로 설정되거나 추가될 때 발생. </t>
    <phoneticPr fontId="2" type="noConversion"/>
  </si>
  <si>
    <t>ondataload</t>
    <phoneticPr fontId="2" type="noConversion"/>
  </si>
  <si>
    <t xml:space="preserve">DataList와 바인딩된 GridView의 셀 데이터가 변경되기 직전에 발생. </t>
    <phoneticPr fontId="2" type="noConversion"/>
  </si>
  <si>
    <t>onbeforecelldatachange</t>
    <phoneticPr fontId="2" type="noConversion"/>
  </si>
  <si>
    <t>/Calendar/highlightSelectedWeek_Calendar.xml</t>
    <phoneticPr fontId="2" type="noConversion"/>
  </si>
  <si>
    <t>highlightSelectedWeek</t>
    <phoneticPr fontId="2" type="noConversion"/>
  </si>
  <si>
    <t>/ScheduleCalendar/nextDayThreshold_ScheduleCalendar.xml</t>
    <phoneticPr fontId="2" type="noConversion"/>
  </si>
  <si>
    <t>insertRow()
removeRows()</t>
    <phoneticPr fontId="2" type="noConversion"/>
  </si>
  <si>
    <t>inputType="checkbox"
inputType="select"</t>
    <phoneticPr fontId="2" type="noConversion"/>
  </si>
  <si>
    <t>rowNumVisible
rowStatusVisible</t>
    <phoneticPr fontId="2" type="noConversion"/>
  </si>
  <si>
    <t>/GridView/_General/rowNumVisible_rowStatusVisible_Gridview.xml</t>
    <phoneticPr fontId="2" type="noConversion"/>
  </si>
  <si>
    <t>/GridView/_General/getCheckedXXX_Gridview.xml</t>
    <phoneticPr fontId="2" type="noConversion"/>
  </si>
  <si>
    <t xml:space="preserve">지정한 인덱스에 해당하는 행을 추가하거나, 지정한 인텍스의 행(들)을 삭제. </t>
    <phoneticPr fontId="2" type="noConversion"/>
  </si>
  <si>
    <t>getFilteredColData()
getColData()
useFilter (gridView.column)
useFilterList (GridView)</t>
    <phoneticPr fontId="2" type="noConversion"/>
  </si>
  <si>
    <t>sortable
showSortableImage
sortable (gridView.column)</t>
    <phoneticPr fontId="2" type="noConversion"/>
  </si>
  <si>
    <t>useCtrlOnMultisort
showSortableImage
sortable (gridView.column)</t>
    <phoneticPr fontId="2" type="noConversion"/>
  </si>
  <si>
    <t>addWidgets()</t>
    <phoneticPr fontId="2" type="noConversion"/>
  </si>
  <si>
    <t>defaultDate 
getDefaultDate()
setDefaultDate()</t>
    <phoneticPr fontId="2" type="noConversion"/>
  </si>
  <si>
    <t>validate()
displaymessage
invalidMessage
invalidMessageFunc
mandatory</t>
    <phoneticPr fontId="2" type="noConversion"/>
  </si>
  <si>
    <t>validate()
displaymessage
invalidMessage
invalidMessageFunc
mandatory
maxLength
maxByteLength
minLength
minByteLenth</t>
    <phoneticPr fontId="2" type="noConversion"/>
  </si>
  <si>
    <t>rowStatusVisible
rowStatusHeaderValue
rowStatusWidth</t>
    <phoneticPr fontId="2" type="noConversion"/>
  </si>
  <si>
    <t>enterKeyPanelToggle_Accordion</t>
    <phoneticPr fontId="2" type="noConversion"/>
  </si>
  <si>
    <t>Enter 키를 이용하여 패널을 열고 닫기.</t>
    <phoneticPr fontId="2" type="noConversion"/>
  </si>
  <si>
    <t>showPlaceHolderOnReadOnly_TextArea</t>
    <phoneticPr fontId="2" type="noConversion"/>
  </si>
  <si>
    <t>https://youtu.be/oG856h31NQE</t>
    <phoneticPr fontId="2" type="noConversion"/>
  </si>
  <si>
    <t xml:space="preserve">읽기 전용 모드 혹은 비활성화 상태에서도 placeholder를 표시. </t>
    <phoneticPr fontId="2" type="noConversion"/>
  </si>
  <si>
    <t>https://youtu.be/1fSpSevuwGA</t>
    <phoneticPr fontId="2" type="noConversion"/>
  </si>
  <si>
    <t>disableDate_InputCalendar</t>
    <phoneticPr fontId="2" type="noConversion"/>
  </si>
  <si>
    <t>https://youtu.be/Jl3g8DH0qN0</t>
    <phoneticPr fontId="2" type="noConversion"/>
  </si>
  <si>
    <t xml:space="preserve">공휴일을 포함한 지정한 날짜들을 비활성화. </t>
    <phoneticPr fontId="2" type="noConversion"/>
  </si>
  <si>
    <t>/TextArea/showPlaceHolderOnReadOnly_TextArea.xml</t>
    <phoneticPr fontId="2" type="noConversion"/>
  </si>
  <si>
    <t>showPlaceHolderOnReadOnly
readOnly
disabled</t>
    <phoneticPr fontId="2" type="noConversion"/>
  </si>
  <si>
    <t>addWidgets()
exportWidgets()
removeWidgetsAll()</t>
    <phoneticPr fontId="2" type="noConversion"/>
  </si>
  <si>
    <t>/WidgetContainer/exportWidgets_removeWidgetsAll_WidgetContainer.xml</t>
    <phoneticPr fontId="2" type="noConversion"/>
  </si>
  <si>
    <t>/InputBox/validate_displaymessage_invalidMessage_invalidMessageFunc_InputBox.xml</t>
    <phoneticPr fontId="2" type="noConversion"/>
  </si>
  <si>
    <t>/InputCalendar/defaultDate_getDefaultDate_setDefaultDate_InputCalendar.xml</t>
    <phoneticPr fontId="2" type="noConversion"/>
  </si>
  <si>
    <t xml:space="preserve">해당하는 컬럼의 필터링된 데이터를 반환. </t>
    <phoneticPr fontId="2" type="noConversion"/>
  </si>
  <si>
    <t xml:space="preserve">GridView 전체 혹은 특정 컬럼에 정렬 기능 추가. </t>
    <phoneticPr fontId="2" type="noConversion"/>
  </si>
  <si>
    <t xml:space="preserve">Ctrl 키와 해당 컬럼을 더블 클릭하여 추가 정렬을 수행. </t>
    <phoneticPr fontId="2" type="noConversion"/>
  </si>
  <si>
    <t xml:space="preserve">동적으로 위젯을 추가.
</t>
    <phoneticPr fontId="2" type="noConversion"/>
  </si>
  <si>
    <t>/Radio/validate_displaymessage_invalidMessage_invalidMessageFunc_Radio.xml</t>
    <phoneticPr fontId="2" type="noConversion"/>
  </si>
  <si>
    <t xml:space="preserve">달력 아이콘 클릭 시 표시되는 날짜를 설정하거나 확인. </t>
    <phoneticPr fontId="2" type="noConversion"/>
  </si>
  <si>
    <t xml:space="preserve">GridView 각 행의 상태를 표시하는 컬럼의 헤더 값과 폭을 지정.
</t>
    <phoneticPr fontId="2" type="noConversion"/>
  </si>
  <si>
    <t>GridView 각 행의 번호를 표시하는 컬럼의 헤더 값, 폭, 배경색을 지정.</t>
    <phoneticPr fontId="2" type="noConversion"/>
  </si>
  <si>
    <t>rowNumVisible
rowNumHeaderValue
rowNumWidth
rowNumBackgroundColor</t>
    <phoneticPr fontId="2" type="noConversion"/>
  </si>
  <si>
    <t>rowStatusVisible_rowStatusHeaderValue_rowStatusWidth_GridView</t>
    <phoneticPr fontId="2" type="noConversion"/>
  </si>
  <si>
    <t>/GridView/_General/rowStatusVisible_rowStatusHeaderValue_rowStatusWidth_GridView.xml</t>
    <phoneticPr fontId="2" type="noConversion"/>
  </si>
  <si>
    <t>/WidgetContainer/move_resize_widgets_WidgetContainer.xml</t>
    <phoneticPr fontId="2" type="noConversion"/>
  </si>
  <si>
    <t>sortable_showSortableImage_GridView</t>
    <phoneticPr fontId="2" type="noConversion"/>
  </si>
  <si>
    <t>/GridView/Sorting/sortable_showSortableImage_GridView.xml</t>
    <phoneticPr fontId="2" type="noConversion"/>
  </si>
  <si>
    <t>/GridView/Sorting/useCtrlOnMultisort_GridView.xml</t>
    <phoneticPr fontId="2" type="noConversion"/>
  </si>
  <si>
    <t>/Accordion/enterKeyPanelToggle_Accordion.xml</t>
    <phoneticPr fontId="2" type="noConversion"/>
  </si>
  <si>
    <t>createWindow()</t>
    <phoneticPr fontId="2" type="noConversion"/>
  </si>
  <si>
    <t>validate()
mandatory</t>
    <phoneticPr fontId="2" type="noConversion"/>
  </si>
  <si>
    <t>columnMove</t>
    <phoneticPr fontId="2" type="noConversion"/>
  </si>
  <si>
    <t>tooltipDisplay
tooltipShowAlways
tooltipFormatter</t>
    <phoneticPr fontId="2" type="noConversion"/>
  </si>
  <si>
    <t>tooltipDisplay
tooltipShowAlways
tooltipItemLabel
tooltipFormatter</t>
    <phoneticPr fontId="2" type="noConversion"/>
  </si>
  <si>
    <t>preveventMaximizeByTitle</t>
    <phoneticPr fontId="2" type="noConversion"/>
  </si>
  <si>
    <t xml:space="preserve">마우스 드래깅 혹은 Shift 키를 사용하여 여러 셀들을 선택한 후 다른 GridView로 복사하기. </t>
    <phoneticPr fontId="2" type="noConversion"/>
  </si>
  <si>
    <t>dataDragSelect_useShiftKey_to_copy_GridView</t>
    <phoneticPr fontId="2" type="noConversion"/>
  </si>
  <si>
    <t>GridView/Events</t>
    <phoneticPr fontId="2" type="noConversion"/>
  </si>
  <si>
    <t xml:space="preserve">onscrollstart 이벤트는 세로 스크롤이 GridView 상단에 닿을 때 발생. </t>
    <phoneticPr fontId="2" type="noConversion"/>
  </si>
  <si>
    <t>onscrollstart_alwaysTriggerScrollStart_GridView</t>
    <phoneticPr fontId="2" type="noConversion"/>
  </si>
  <si>
    <t>autoFocus_nextTabID_dataType_dateIncrementType_Spinner</t>
    <phoneticPr fontId="2" type="noConversion"/>
  </si>
  <si>
    <t xml:space="preserve">날짜를 입력할 경우, nextTabID 컴포넌트로 포커스를 이동. </t>
    <phoneticPr fontId="2" type="noConversion"/>
  </si>
  <si>
    <t>/Spinner/autoFocus_nextTabID_dataType_dateIncrementType_Spinner.xml</t>
    <phoneticPr fontId="2" type="noConversion"/>
  </si>
  <si>
    <t>autoFocus_nextTabID_AutoComplete</t>
    <phoneticPr fontId="2" type="noConversion"/>
  </si>
  <si>
    <t>https://youtu.be/hlmFVdkh060</t>
    <phoneticPr fontId="2" type="noConversion"/>
  </si>
  <si>
    <t>/AutoComplete/autoFocus_nextTabID_AutoComplete.xml</t>
    <phoneticPr fontId="2" type="noConversion"/>
  </si>
  <si>
    <t>dataDragSelect=“true” 
useShiftKey=“true”</t>
    <phoneticPr fontId="2" type="noConversion"/>
  </si>
  <si>
    <t>onscrollstart 
alwaysTriggerScrollStart</t>
    <phoneticPr fontId="2" type="noConversion"/>
  </si>
  <si>
    <t xml:space="preserve">autoFocus 
nextTabID
dataType="date" 
dateIncrementType </t>
    <phoneticPr fontId="2" type="noConversion"/>
  </si>
  <si>
    <t>autoFocus 
nextTabID</t>
    <phoneticPr fontId="2" type="noConversion"/>
  </si>
  <si>
    <t>네임 레이어 클릭 시 화면을 최소화하지 않고 화면 크기를 유지.</t>
    <phoneticPr fontId="2" type="noConversion"/>
  </si>
  <si>
    <t xml:space="preserve">사용자가 SelectBox에 입력한 데이터를 검증. </t>
    <phoneticPr fontId="2" type="noConversion"/>
  </si>
  <si>
    <t xml:space="preserve">사용자가 AutoComplete에 입력한 데이터를 검증. </t>
    <phoneticPr fontId="2" type="noConversion"/>
  </si>
  <si>
    <t>GridView 상에서 헤더 드래깅을 통한 열 이동을 허용.</t>
    <phoneticPr fontId="2" type="noConversion"/>
  </si>
  <si>
    <t>https://youtu.be/VDVxknvJ8KA</t>
    <phoneticPr fontId="2" type="noConversion"/>
  </si>
  <si>
    <t xml:space="preserve">사용자가 Secret에 입력한 데이터를 검증. </t>
    <phoneticPr fontId="2" type="noConversion"/>
  </si>
  <si>
    <t>/Secret/validate_displaymessage_invalidMessage_invalidMessageFunc_Secret.xml</t>
    <phoneticPr fontId="2" type="noConversion"/>
  </si>
  <si>
    <t xml:space="preserve">WindowContainer 내에 윈도우를 생성. </t>
    <phoneticPr fontId="2" type="noConversion"/>
  </si>
  <si>
    <t>/SelectBox/validate_displaymessage_invalidMessage_invalidMessageFunc_SelectBox.xml</t>
    <phoneticPr fontId="2" type="noConversion"/>
  </si>
  <si>
    <t>SelectBox - validate() &amp; displaymessage &amp; invalidmessage &amp; invalidMessageFunc</t>
    <phoneticPr fontId="2" type="noConversion"/>
  </si>
  <si>
    <t>/AutoComplete/validate_mandatory_AutoComplete.xml</t>
    <phoneticPr fontId="2" type="noConversion"/>
  </si>
  <si>
    <t>/GridView/_General/columnMove_GridView.xml</t>
    <phoneticPr fontId="2" type="noConversion"/>
  </si>
  <si>
    <t>/CheckBox/tooltipDisplay_tooltipShowAlways_tooltipFormatter_CheckBox.xml</t>
    <phoneticPr fontId="2" type="noConversion"/>
  </si>
  <si>
    <t xml:space="preserve">CheckBox의 각 선택 항목에 label 값 혹은 사용자 지정값을 툴팁으로 표시. </t>
    <phoneticPr fontId="2" type="noConversion"/>
  </si>
  <si>
    <t>/Radio/tooltipDisplay_tooltipShowAlways_tooltipItemLabel_tooltipFormatter_Radio.xml</t>
    <phoneticPr fontId="2" type="noConversion"/>
  </si>
  <si>
    <t>/WidgetContainer/preventMaximizeByTitle_WidgetContainer.xml</t>
    <phoneticPr fontId="2" type="noConversion"/>
  </si>
  <si>
    <t xml:space="preserve">사용자의 타이들 더블-클릭을 통한 위젯 최대화 방지. </t>
    <phoneticPr fontId="2" type="noConversion"/>
  </si>
  <si>
    <t>/_WebSquare.util/multipleDataListDownload_WebSquare_util.pdf</t>
    <phoneticPr fontId="2" type="noConversion"/>
  </si>
  <si>
    <t>/_WebSquare.util/multipleExcelDownload_WebSquare_util.pdf</t>
    <phoneticPr fontId="2" type="noConversion"/>
  </si>
  <si>
    <t>/_WebSquare.logger/enableContextMenu_disableContextMenu_WebSquare_logger.xml</t>
    <phoneticPr fontId="2" type="noConversion"/>
  </si>
  <si>
    <t>multipleDataListDownload_WebSquare_util</t>
    <phoneticPr fontId="2" type="noConversion"/>
  </si>
  <si>
    <t>https://youtu.be/QJ3G8Rg0-NI</t>
    <phoneticPr fontId="2" type="noConversion"/>
  </si>
  <si>
    <t>multipleDataListDownload()
options.showProcess
options.processMsg</t>
    <phoneticPr fontId="2" type="noConversion"/>
  </si>
  <si>
    <t>columnMove
columnMoveWithFooter</t>
    <phoneticPr fontId="2" type="noConversion"/>
  </si>
  <si>
    <t>validate()
mandatory
dateValidCheck
displaymessage
invalidMessageCheck</t>
    <phoneticPr fontId="2" type="noConversion"/>
  </si>
  <si>
    <t>헤더가 병합된 열을 푸터와 함께 이동.</t>
    <phoneticPr fontId="2" type="noConversion"/>
  </si>
  <si>
    <t>columnMove_columnMoveWithFooter_GridView</t>
    <phoneticPr fontId="2" type="noConversion"/>
  </si>
  <si>
    <t>/GridView/_General/columnMove_columnMoveWithFooter_GridView.xml</t>
    <phoneticPr fontId="2" type="noConversion"/>
  </si>
  <si>
    <t xml:space="preserve">여러 DataList를 다운로드하는 동안 상태 메시지 표시. </t>
    <phoneticPr fontId="2" type="noConversion"/>
  </si>
  <si>
    <t>multipleDataListDownload_showProcess_processMsg_WebSquare_util</t>
    <phoneticPr fontId="2" type="noConversion"/>
  </si>
  <si>
    <t>/_WebSquare.util/multipleDataListDownload_showProcess_processMsg_WebSquare_util.xml</t>
    <phoneticPr fontId="2" type="noConversion"/>
  </si>
  <si>
    <t>validate_displaymessage_invalidMessageFunc_InputCalendar</t>
    <phoneticPr fontId="2" type="noConversion"/>
  </si>
  <si>
    <t>/InputCalendar/validate_displaymessage_invalidMessageFunc_InputCalendar.xml</t>
    <phoneticPr fontId="2" type="noConversion"/>
  </si>
  <si>
    <t>/GridView/_General/tooltipDisplay_tooltipShowAlways_GridView.xml</t>
    <phoneticPr fontId="2" type="noConversion"/>
  </si>
  <si>
    <t xml:space="preserve">GridView의 body 그리고/혹은 header에 툴팁을 표시. </t>
    <phoneticPr fontId="2" type="noConversion"/>
  </si>
  <si>
    <t>tooltipDisplay_tooltipShowAlways_GridView</t>
    <phoneticPr fontId="2" type="noConversion"/>
  </si>
  <si>
    <t xml:space="preserve">GridView 각 열에 정렬 기능을 추가. </t>
    <phoneticPr fontId="2" type="noConversion"/>
  </si>
  <si>
    <t>sortable
sortEvent
showSortableImage
sortedIconPosition
sortOrderReverse</t>
    <phoneticPr fontId="2" type="noConversion"/>
  </si>
  <si>
    <t>/GridView/Sorting/sortable_sortEvent_showSortableImage_sortedIconPosition_sortOrderReverse_GridView.xml</t>
    <phoneticPr fontId="2" type="noConversion"/>
  </si>
  <si>
    <t xml:space="preserve">GridView 컬럼(gridView.column)의 inputType에 따라 해당 아이콘을 표시. </t>
    <phoneticPr fontId="2" type="noConversion"/>
  </si>
  <si>
    <t>inputType
viewType</t>
    <phoneticPr fontId="2" type="noConversion"/>
  </si>
  <si>
    <t>/GridView/inputType/viewType_inputType_gridView_column.xml</t>
    <phoneticPr fontId="2" type="noConversion"/>
  </si>
  <si>
    <t>포커스 이동 방향 설정.</t>
    <phoneticPr fontId="2" type="noConversion"/>
  </si>
  <si>
    <t>focusFlow</t>
    <phoneticPr fontId="2" type="noConversion"/>
  </si>
  <si>
    <t>/GridView/_General/focusFlow_GridView.xml</t>
    <phoneticPr fontId="2" type="noConversion"/>
  </si>
  <si>
    <t>tooltipDisplay
tooltipShowAlways
tooltipHeader
tooltipHeaderShowAlways</t>
    <phoneticPr fontId="2" type="noConversion"/>
  </si>
  <si>
    <t xml:space="preserve">페이지 로딩 직후 실행되며 scwin.onpageload 이전에 실행. </t>
    <phoneticPr fontId="2" type="noConversion"/>
  </si>
  <si>
    <t>initScript
onpageload</t>
    <phoneticPr fontId="2" type="noConversion"/>
  </si>
  <si>
    <t>initScript_Page</t>
    <phoneticPr fontId="2" type="noConversion"/>
  </si>
  <si>
    <t xml:space="preserve">페이지 로딩 시 scwin.onpageload 스크립트가 실행된 후에 실행. </t>
    <phoneticPr fontId="2" type="noConversion"/>
  </si>
  <si>
    <t>initScript
onpageload
postScript</t>
    <phoneticPr fontId="2" type="noConversion"/>
  </si>
  <si>
    <t>Page - postScript</t>
    <phoneticPr fontId="2" type="noConversion"/>
  </si>
  <si>
    <t>focusMode
selectedCellColor
selectedRowColor</t>
    <phoneticPr fontId="2" type="noConversion"/>
  </si>
  <si>
    <t xml:space="preserve">선택된 셀 및 해당 셀이 속한 행을 포커싱하는 방법을 결정.  </t>
    <phoneticPr fontId="2" type="noConversion"/>
  </si>
  <si>
    <t>setRowVisible()
clearRowVisible()</t>
    <phoneticPr fontId="2" type="noConversion"/>
  </si>
  <si>
    <t>/GridView/_General/visibleRowNum_GridView.xml</t>
    <phoneticPr fontId="2" type="noConversion"/>
  </si>
  <si>
    <t>setArrangeWindows()</t>
    <phoneticPr fontId="2" type="noConversion"/>
  </si>
  <si>
    <t>inputType="custom"
typeGetter</t>
    <phoneticPr fontId="2" type="noConversion"/>
  </si>
  <si>
    <t>processMsgFrame</t>
    <phoneticPr fontId="2" type="noConversion"/>
  </si>
  <si>
    <t xml:space="preserve">특정 행(들)을 숨김 처리하고, 숨김 처리를 다시 해제. </t>
    <phoneticPr fontId="2" type="noConversion"/>
  </si>
  <si>
    <t xml:space="preserve">표시할 윈도우 및 표시 방법을 설정. </t>
    <phoneticPr fontId="2" type="noConversion"/>
  </si>
  <si>
    <t xml:space="preserve">GridView 컬럼의 inputType을 동적으로 변경. </t>
    <phoneticPr fontId="2" type="noConversion"/>
  </si>
  <si>
    <t>WFrame - processMsgFrame</t>
    <phoneticPr fontId="2" type="noConversion"/>
  </si>
  <si>
    <t xml:space="preserve">드래깅으로 셀을 선택할 때 마우스가 GridView 밖을 벗어나면 자동으로 스크롤을 수행. (대각선 방향 이동도 지원.)
</t>
    <phoneticPr fontId="2" type="noConversion"/>
  </si>
  <si>
    <t>/GridView/Dragging/dataDragSelect_dataDragSelectAutoScroll_2_GridView.xml</t>
    <phoneticPr fontId="2" type="noConversion"/>
  </si>
  <si>
    <t xml:space="preserve">사용자가 스크롤 바의 버튼 중 하나를 클릭할 때 발생. </t>
    <phoneticPr fontId="2" type="noConversion"/>
  </si>
  <si>
    <t>https://youtu.be/81mP-CegE6k</t>
    <phoneticPr fontId="2" type="noConversion"/>
  </si>
  <si>
    <t>onscrollleftbtnclick_onscrollrightbtnclick_onsubmenubtnclick_TabControl</t>
    <phoneticPr fontId="2" type="noConversion"/>
  </si>
  <si>
    <t>/TabControl/onscrollleftbtnclick_onscrollrightbtnclick_onsubmenubtnclick_TabControl.xml</t>
    <phoneticPr fontId="2" type="noConversion"/>
  </si>
  <si>
    <t>onscrollleftbtnclick
onscrollrightbtnclick
onsubmenubtnclick
tabScroll="true"</t>
    <phoneticPr fontId="2" type="noConversion"/>
  </si>
  <si>
    <t xml:space="preserve">(1) WFrame 혹은 (2) IFrame을 사용하거나, (3) 새로운 브라우저를 통해 팝업을 생성. 
</t>
    <phoneticPr fontId="2" type="noConversion"/>
  </si>
  <si>
    <t>setSubtotalVisible()</t>
    <phoneticPr fontId="2" type="noConversion"/>
  </si>
  <si>
    <t>서브미션 상태 메시지를 WFrame 윈도우 내부에만 표시.</t>
    <phoneticPr fontId="2" type="noConversion"/>
  </si>
  <si>
    <t>서브미션 상태메시지를 WFrame 탭 내부에만 표시.</t>
    <phoneticPr fontId="2" type="noConversion"/>
  </si>
  <si>
    <t>서브미션 상태메시지를 WFrame 내부에만 표시.</t>
    <phoneticPr fontId="2" type="noConversion"/>
  </si>
  <si>
    <t xml:space="preserve">WFrame 탭 내부에 표시할 서브미션 상태 메시지 소스를 변경. </t>
    <phoneticPr fontId="2" type="noConversion"/>
  </si>
  <si>
    <t xml:space="preserve">WFrame 내부에 표시할 서브미션 상태 메시지 소스를 변경. </t>
    <phoneticPr fontId="2" type="noConversion"/>
  </si>
  <si>
    <t xml:space="preserve">WFrame 윈도우 내부에 표시할 서브미션 상태 메시지 소스를 변경. </t>
    <phoneticPr fontId="2" type="noConversion"/>
  </si>
  <si>
    <t>advancedExcelUpload_decimal_applyDecimal_GridView</t>
    <phoneticPr fontId="2" type="noConversion"/>
  </si>
  <si>
    <t>GridView - advancedExcelUpload() &amp; options.decimal &amp; options.applyDecimal</t>
    <phoneticPr fontId="2" type="noConversion"/>
  </si>
  <si>
    <t>Excel 파일의 소수점 데이터를 Excel 표시 형식(“일반” 혹은 “숫자”)에 상관 없이 반올림하여 GridView로 업로드.</t>
    <phoneticPr fontId="2" type="noConversion"/>
  </si>
  <si>
    <t>advancedExcelUpload()
options.decimal
options.applyDecimal</t>
    <phoneticPr fontId="2" type="noConversion"/>
  </si>
  <si>
    <t>Page - script execution sequence</t>
    <phoneticPr fontId="2" type="noConversion"/>
  </si>
  <si>
    <t>https://youtu.be/r7WapwWZoZw</t>
    <phoneticPr fontId="2" type="noConversion"/>
  </si>
  <si>
    <t>script_execution_sequence_Page</t>
    <phoneticPr fontId="2" type="noConversion"/>
  </si>
  <si>
    <t>initScript
postScript
onpageload</t>
    <phoneticPr fontId="2" type="noConversion"/>
  </si>
  <si>
    <t>onpageload_Page</t>
    <phoneticPr fontId="2" type="noConversion"/>
  </si>
  <si>
    <t>onpageload
scwin.onpageload</t>
    <phoneticPr fontId="2" type="noConversion"/>
  </si>
  <si>
    <t>페이지 로딩 직후 발생하는 이벤트.  페이지 로딩 직후 실행할 함수를 정의. (scwin.onpageload)</t>
    <phoneticPr fontId="2" type="noConversion"/>
  </si>
  <si>
    <t>https://youtu.be/S87KThzT_SY</t>
    <phoneticPr fontId="2" type="noConversion"/>
  </si>
  <si>
    <t>inputType_drilldown_gridView_column</t>
    <phoneticPr fontId="2" type="noConversion"/>
  </si>
  <si>
    <t xml:space="preserve">GridView 특정 컬럼의 inputType을 “drilldown”으로 설정. </t>
    <phoneticPr fontId="2" type="noConversion"/>
  </si>
  <si>
    <t>https://youtu.be/FKwA33pBzYQ</t>
    <phoneticPr fontId="2" type="noConversion"/>
  </si>
  <si>
    <t>tooltipDisplay_tooltipShowAlways_TextBox</t>
    <phoneticPr fontId="2" type="noConversion"/>
  </si>
  <si>
    <t>/TextBox/tooltipDisplay_tooltipShowAlways_TextBox.xml</t>
    <phoneticPr fontId="2" type="noConversion"/>
  </si>
  <si>
    <t>(데이터 길이가 짧아서 화면에 모두 표시되는 경우에도) 항상 툴팁을 표시.</t>
    <phoneticPr fontId="2" type="noConversion"/>
  </si>
  <si>
    <t>onpageload_execution_sequence_WFrame</t>
    <phoneticPr fontId="2" type="noConversion"/>
  </si>
  <si>
    <t>https://youtu.be/dhRGB_CQnAw</t>
    <phoneticPr fontId="2" type="noConversion"/>
  </si>
  <si>
    <t>WFrame - onpageload execution sequence</t>
    <phoneticPr fontId="2" type="noConversion"/>
  </si>
  <si>
    <t>WFrame이 중첩된 경우 scwin.onpageload 실행 순서.</t>
    <phoneticPr fontId="2" type="noConversion"/>
  </si>
  <si>
    <t>_Studio/SP4</t>
    <phoneticPr fontId="2" type="noConversion"/>
  </si>
  <si>
    <t>/_Studio/Common/page_template_Studio.pdf</t>
    <phoneticPr fontId="2" type="noConversion"/>
  </si>
  <si>
    <t>/_Studio/Common/getting_started_Studio.pdf</t>
    <phoneticPr fontId="2" type="noConversion"/>
  </si>
  <si>
    <t>/_Studio/Common/help_perspective_Studio.pdf</t>
    <phoneticPr fontId="2" type="noConversion"/>
  </si>
  <si>
    <t>/_Studio/Common/static_absolute_drawing_mode_Studio.pdf</t>
    <phoneticPr fontId="2" type="noConversion"/>
  </si>
  <si>
    <t>/_Studio/Common/drawing_components_Studio.pdf</t>
    <phoneticPr fontId="2" type="noConversion"/>
  </si>
  <si>
    <t>/_Studio/Common/viewing_on_browsers_Studio.pdf</t>
    <phoneticPr fontId="2" type="noConversion"/>
  </si>
  <si>
    <t>/_Studio/Common/component_property_search_Studio.pdf</t>
    <phoneticPr fontId="2" type="noConversion"/>
  </si>
  <si>
    <t>/_Studio/Common/adding_events_Studio.pdf</t>
    <phoneticPr fontId="2" type="noConversion"/>
  </si>
  <si>
    <t>/_Studio/Common/drag_n_drop_Studio.pdf</t>
    <phoneticPr fontId="2" type="noConversion"/>
  </si>
  <si>
    <t>/_Studio/Common/gridlines_ruler_guides_Studio.pdf</t>
    <phoneticPr fontId="2" type="noConversion"/>
  </si>
  <si>
    <t>/_Studio/Common/search_Studio.pdf</t>
    <phoneticPr fontId="2" type="noConversion"/>
  </si>
  <si>
    <t xml:space="preserve">셀 더블-클릭 시 발생하는 이벤트를 GridView에 추가. </t>
    <phoneticPr fontId="2" type="noConversion"/>
  </si>
  <si>
    <t>onsort</t>
    <phoneticPr fontId="2" type="noConversion"/>
  </si>
  <si>
    <t>oncelldblclick</t>
    <phoneticPr fontId="2" type="noConversion"/>
  </si>
  <si>
    <t>GridView의 각 컬럼을 다른 컴포넌트와 맵핑.</t>
    <phoneticPr fontId="2" type="noConversion"/>
  </si>
  <si>
    <t>각 스케줄 항목의 시간 표시 형식 지정.</t>
    <phoneticPr fontId="2" type="noConversion"/>
  </si>
  <si>
    <t>timeFormat</t>
    <phoneticPr fontId="2" type="noConversion"/>
  </si>
  <si>
    <t>setIoFormat()</t>
    <phoneticPr fontId="2" type="noConversion"/>
  </si>
  <si>
    <t>inputType="calendar" 컬럼의 날짜 입력 순서 및 셀과 달력에 표시되는 날짜 표시 형식 지정.</t>
    <phoneticPr fontId="2" type="noConversion"/>
  </si>
  <si>
    <t>Excel 업로드 창을 WFram으로 생성하고 업로드 창의 속성을 지정. (이름, 크기 및 위치 등.)</t>
    <phoneticPr fontId="2" type="noConversion"/>
  </si>
  <si>
    <t xml:space="preserve">셀 병합을 유지한 상태로 GridView를 Excel 파일로 다운로드. </t>
    <phoneticPr fontId="2" type="noConversion"/>
  </si>
  <si>
    <t>GridView/gridView.column</t>
    <phoneticPr fontId="2" type="noConversion"/>
  </si>
  <si>
    <t xml:space="preserve">GridView 컬럼의 데이터 표시 형식 설정. </t>
    <phoneticPr fontId="2" type="noConversion"/>
  </si>
  <si>
    <t>displayFormat</t>
    <phoneticPr fontId="2" type="noConversion"/>
  </si>
  <si>
    <t xml:space="preserve">GridView 컬럼의 데이터 표시 형식을 함수를 통해 설정. </t>
    <phoneticPr fontId="2" type="noConversion"/>
  </si>
  <si>
    <t>customFormatter
inputType="text"
inputType="link"
inputType="textImage"
inputType="textarea"
inputType="select"
inputType="expression"
inputType="spinner"</t>
    <phoneticPr fontId="2" type="noConversion"/>
  </si>
  <si>
    <t>GridView 특정 컬럼의 데이터 표시 형식을 함수를 통해 설정. (단, 해당 컬럼의 inputType이 "text", "link", "textImage", "textarea", "select", "expression", 혹은 "spinner"인 경우에만 유효.)</t>
    <phoneticPr fontId="2" type="noConversion"/>
  </si>
  <si>
    <t xml:space="preserve">DataList 컬럼의 데이터를  함수를 통해 변경. </t>
    <phoneticPr fontId="2" type="noConversion"/>
  </si>
  <si>
    <t>importFormatter</t>
    <phoneticPr fontId="2" type="noConversion"/>
  </si>
  <si>
    <t>setSubtotalVisible_GridView</t>
    <phoneticPr fontId="2" type="noConversion"/>
  </si>
  <si>
    <t>GridView - setSubtotalVisible()</t>
    <phoneticPr fontId="2" type="noConversion"/>
  </si>
  <si>
    <t>/_Studio/SP4/Palette_Upgrade_SP4_Studio.pdf</t>
    <phoneticPr fontId="2" type="noConversion"/>
  </si>
  <si>
    <t>/_Studio/SP4/Property_Upgrade_SP4_Studio.pdf</t>
    <phoneticPr fontId="2" type="noConversion"/>
  </si>
  <si>
    <t xml:space="preserve">스튜디오의 Outline 뷰 설명. </t>
    <phoneticPr fontId="2" type="noConversion"/>
  </si>
  <si>
    <t>/_Studio/Common/Outline_Studio.pdf</t>
    <phoneticPr fontId="2" type="noConversion"/>
  </si>
  <si>
    <t>/_Studio/Common/adding_snippets_Studio.pdf</t>
    <phoneticPr fontId="2" type="noConversion"/>
  </si>
  <si>
    <t>/_Studio/SP4/Perspective_Upgrade_SP4_Studio.pdf</t>
    <phoneticPr fontId="2" type="noConversion"/>
  </si>
  <si>
    <t>/InputCalendar/setIoFormat_InputCalendar.xml</t>
    <phoneticPr fontId="2" type="noConversion"/>
  </si>
  <si>
    <t>/ScheduleCalendar/timeFormat_ScheduleCalendar.xml</t>
    <phoneticPr fontId="2" type="noConversion"/>
  </si>
  <si>
    <t>advancedExcelDownload_colMerge_colMergeValue_GridView</t>
    <phoneticPr fontId="2" type="noConversion"/>
  </si>
  <si>
    <t>/GridView/Excel/advancedExcelDownload_colMerge_colMergeValue_GridView.xml</t>
    <phoneticPr fontId="2" type="noConversion"/>
  </si>
  <si>
    <t>GridView - advancedExcelDownload &amp; options.colMerge &amp; options.colMergeValue</t>
    <phoneticPr fontId="2" type="noConversion"/>
  </si>
  <si>
    <t>/GridView/Excel/advancedExcelUpload_wframe_features_className_GridView.xml</t>
    <phoneticPr fontId="2" type="noConversion"/>
  </si>
  <si>
    <t>/GridView/Excel/readCSV_wframe_features_className_GridView.xml</t>
    <phoneticPr fontId="2" type="noConversion"/>
  </si>
  <si>
    <t>/GridView/gridView.column/customFormatter_gridView_column.xml</t>
    <phoneticPr fontId="2" type="noConversion"/>
  </si>
  <si>
    <t>importFormatter_dataList_column</t>
    <phoneticPr fontId="2" type="noConversion"/>
  </si>
  <si>
    <t>dataList.column - importFormatter</t>
    <phoneticPr fontId="2" type="noConversion"/>
  </si>
  <si>
    <t>customFormatter_gridView_column</t>
    <phoneticPr fontId="2" type="noConversion"/>
  </si>
  <si>
    <t xml:space="preserve">입력하는 숫자의 마스킹 방향 설정. </t>
    <phoneticPr fontId="2" type="noConversion"/>
  </si>
  <si>
    <t>maskFormat
applyFormat="all"
displayFormat
dataType="text" / "number"</t>
    <phoneticPr fontId="2" type="noConversion"/>
  </si>
  <si>
    <t xml:space="preserve">GridView 컬럼의 dataType 속성을 확인하거나 변경. </t>
    <phoneticPr fontId="2" type="noConversion"/>
  </si>
  <si>
    <t xml:space="preserve">주어진 ID에 해당하는 팝업 윈도우를 오브젝트로 반환하고 해당 팝업에 접근. </t>
    <phoneticPr fontId="2" type="noConversion"/>
  </si>
  <si>
    <t>getPopupWindow()</t>
    <phoneticPr fontId="2" type="noConversion"/>
  </si>
  <si>
    <t>getPopupWindowList()</t>
    <phoneticPr fontId="2" type="noConversion"/>
  </si>
  <si>
    <t xml:space="preserve">총 합계를 표시하거나 숨기기. </t>
    <phoneticPr fontId="2" type="noConversion"/>
  </si>
  <si>
    <t>showGrandTotal</t>
    <phoneticPr fontId="2" type="noConversion"/>
  </si>
  <si>
    <t>showGrandTotal
grandTotalDisplayType</t>
    <phoneticPr fontId="2" type="noConversion"/>
  </si>
  <si>
    <t xml:space="preserve">총 합계 표시 위치 설정 – (1) 우측, (2) 하단, (3) 우측 &amp; 하단. </t>
    <phoneticPr fontId="2" type="noConversion"/>
  </si>
  <si>
    <t xml:space="preserve">총 합계의 라벨 값을 지정 – (1) 행의 합계 &amp; (2) 열의 합계. </t>
    <phoneticPr fontId="2" type="noConversion"/>
  </si>
  <si>
    <t>allTotalName
grandTotalName</t>
    <phoneticPr fontId="2" type="noConversion"/>
  </si>
  <si>
    <t>pivotExcelDownload()</t>
    <phoneticPr fontId="2" type="noConversion"/>
  </si>
  <si>
    <t xml:space="preserve">Pivot을 Excel 파일로 다운로드. </t>
    <phoneticPr fontId="2" type="noConversion"/>
  </si>
  <si>
    <t xml:space="preserve">Excel 파일을 Pivot으로 업로드. </t>
    <phoneticPr fontId="2" type="noConversion"/>
  </si>
  <si>
    <t>pivotExcelUpload()</t>
    <phoneticPr fontId="2" type="noConversion"/>
  </si>
  <si>
    <t>advancedExcelDownload()</t>
    <phoneticPr fontId="2" type="noConversion"/>
  </si>
  <si>
    <t xml:space="preserve">푸터 행을 추가한 후 합계, 최소값, 최대값, 평균 등의 값을 표시. </t>
    <phoneticPr fontId="2" type="noConversion"/>
  </si>
  <si>
    <t>inputType="expression"
dataType="number"
expression</t>
    <phoneticPr fontId="2" type="noConversion"/>
  </si>
  <si>
    <t>Page - onpageload</t>
    <phoneticPr fontId="2" type="noConversion"/>
  </si>
  <si>
    <t>gridView.column - inputType="drilldown"</t>
    <phoneticPr fontId="2" type="noConversion"/>
  </si>
  <si>
    <t>TextBox - tooltipDisplay &amp; tooltipShowAlways</t>
    <phoneticPr fontId="2" type="noConversion"/>
  </si>
  <si>
    <t>https://youtu.be/Sw4DU7GlCK4</t>
    <phoneticPr fontId="2" type="noConversion"/>
  </si>
  <si>
    <t>/GridView/Events/oncelldblclick_GridView.xml</t>
    <phoneticPr fontId="2" type="noConversion"/>
  </si>
  <si>
    <t>/GridView/Events/adding_event_example_onsort_GridView.xml</t>
    <phoneticPr fontId="2" type="noConversion"/>
  </si>
  <si>
    <t>/GridView/Events/oncellclick_2_GridView.xml</t>
    <phoneticPr fontId="2" type="noConversion"/>
  </si>
  <si>
    <t>/GridView/gridView.column/displayFormat_gridView_column.xml</t>
    <phoneticPr fontId="2" type="noConversion"/>
  </si>
  <si>
    <t>/GridView/gridView.column/displayFormatter_gridView_column.xml</t>
    <phoneticPr fontId="2" type="noConversion"/>
  </si>
  <si>
    <t>inputType=“checkbox” (gridView.column)
rowStatusVisible=“true” (gridView)
getCheckedIndex(“colID”); (gridView)
ignoreStatus=“true” (dataList)
deleteRows(Arr); (dataList)
removeRows(Arr); (dataList)</t>
    <phoneticPr fontId="2" type="noConversion"/>
  </si>
  <si>
    <t>displayFormat_gridView_column</t>
    <phoneticPr fontId="2" type="noConversion"/>
  </si>
  <si>
    <t>displayFormatter_gridView_column</t>
    <phoneticPr fontId="2" type="noConversion"/>
  </si>
  <si>
    <t>gridView.column - displayFormat</t>
    <phoneticPr fontId="2" type="noConversion"/>
  </si>
  <si>
    <t>maskFormat=“default” / “reverse”
dataType=“text”
allowChar=“0-9, aA-zZ”
applyFormat=“all”
displayFormat</t>
    <phoneticPr fontId="2" type="noConversion"/>
  </si>
  <si>
    <t>데이터 로딩, 추가, 제거, 삭제, 초기화, 반환.</t>
    <phoneticPr fontId="2" type="noConversion"/>
  </si>
  <si>
    <t>config.xml - escape</t>
    <phoneticPr fontId="2" type="noConversion"/>
  </si>
  <si>
    <t xml:space="preserve">HTML 특수문자를 출력하기 위한 escape 옵션 설정 및 기본 값 변경. </t>
    <phoneticPr fontId="2" type="noConversion"/>
  </si>
  <si>
    <t>$p.executeSubmission()
dataList.insertRow()
dataList.removeRows()
dataList.deleteRows()
dataList.setData()
dataList.getAllJSON()</t>
    <phoneticPr fontId="2" type="noConversion"/>
  </si>
  <si>
    <t>AutoComplete
CheckBox
CheckComboBox
FlipToggle
GridView
MultiSelect
Output
Radio
SelectBox
Span
TabControl
TextBox
TreeView</t>
    <phoneticPr fontId="2" type="noConversion"/>
  </si>
  <si>
    <t xml:space="preserve">헤더를 굵게 표시하여 Excel 파일로 다운로드. 
</t>
    <phoneticPr fontId="2" type="noConversion"/>
  </si>
  <si>
    <t xml:space="preserve">advancedExcelDownload()
options.useStyle="false"
options.headerFontBold="true"
</t>
    <phoneticPr fontId="2" type="noConversion"/>
  </si>
  <si>
    <t>config.xml - console &amp; errorConsole</t>
    <phoneticPr fontId="2" type="noConversion"/>
  </si>
  <si>
    <t xml:space="preserve">정상 로그와 오류 로그를 모두 출력하거나, 오류 로그만 출력. </t>
    <phoneticPr fontId="2" type="noConversion"/>
  </si>
  <si>
    <t>console="true"
errorConsole="true"</t>
    <phoneticPr fontId="2" type="noConversion"/>
  </si>
  <si>
    <t>advancedExcelUpload()
options.sheetName</t>
    <phoneticPr fontId="2" type="noConversion"/>
  </si>
  <si>
    <t xml:space="preserve">inputType="calendar"일 때 달력에서 날짜, 연도, 월 선택 시 발생. </t>
    <phoneticPr fontId="2" type="noConversion"/>
  </si>
  <si>
    <t>GridView - ondateselect &amp; onmonthselect &amp; onyearselect</t>
    <phoneticPr fontId="2" type="noConversion"/>
  </si>
  <si>
    <t>inputType="calendar" (gridView.column)
ondateselect 
onmonthselect 
onyearselect</t>
    <phoneticPr fontId="2" type="noConversion"/>
  </si>
  <si>
    <t xml:space="preserve">클릭할 경우 현재 날짜를 선택해주는 Today 버튼을 숨기거나 표시. </t>
    <phoneticPr fontId="2" type="noConversion"/>
  </si>
  <si>
    <t>showToday</t>
    <phoneticPr fontId="2" type="noConversion"/>
  </si>
  <si>
    <t>onaddschedule
onmoveschedule</t>
    <phoneticPr fontId="2" type="noConversion"/>
  </si>
  <si>
    <t>스케줄을 추가하거나 이동할 때 발생.</t>
    <phoneticPr fontId="2" type="noConversion"/>
  </si>
  <si>
    <t>maskFormat_applyFormat_displayFormat_InputBox</t>
    <phoneticPr fontId="2" type="noConversion"/>
  </si>
  <si>
    <t>/InputBox/maskFormat_applyFormat_displayFormat_InputBox.xml</t>
    <phoneticPr fontId="2" type="noConversion"/>
  </si>
  <si>
    <t>InputBox - maskFormat &amp; applyFormat &amp; displayFormat</t>
    <phoneticPr fontId="2" type="noConversion"/>
  </si>
  <si>
    <t>setDataType_getDataType_GridView</t>
    <phoneticPr fontId="2" type="noConversion"/>
  </si>
  <si>
    <t>/GridView/_General/setDataType_getDataType_GridView.xml</t>
    <phoneticPr fontId="2" type="noConversion"/>
  </si>
  <si>
    <t>showGrandTotal_Pivot</t>
    <phoneticPr fontId="2" type="noConversion"/>
  </si>
  <si>
    <t>/Pivot/showGrandTotal_Pivot.xml</t>
    <phoneticPr fontId="2" type="noConversion"/>
  </si>
  <si>
    <t>Pivot - showGrandTotal</t>
    <phoneticPr fontId="2" type="noConversion"/>
  </si>
  <si>
    <t>showGrandTotal_grandTotalDisplayType_Pivot</t>
    <phoneticPr fontId="2" type="noConversion"/>
  </si>
  <si>
    <t>/Pivot/showGrandTotal_grandTotalDisplayType_Pivot.xml</t>
    <phoneticPr fontId="2" type="noConversion"/>
  </si>
  <si>
    <t>/Pivot/allTotalName_grandTotalName_Pivot.xml</t>
    <phoneticPr fontId="2" type="noConversion"/>
  </si>
  <si>
    <t>Pivot - allTotalName &amp; grandTotalName</t>
    <phoneticPr fontId="2" type="noConversion"/>
  </si>
  <si>
    <t>pivotExcelDownload_Pivot</t>
    <phoneticPr fontId="2" type="noConversion"/>
  </si>
  <si>
    <t>Pivot - pivotExcelDownload()</t>
    <phoneticPr fontId="2" type="noConversion"/>
  </si>
  <si>
    <t>pivotExcelUpload_Pivot</t>
    <phoneticPr fontId="2" type="noConversion"/>
  </si>
  <si>
    <t>Pivot - pivotExcelUpload()</t>
    <phoneticPr fontId="2" type="noConversion"/>
  </si>
  <si>
    <t>advancedExcelDownload_GridView</t>
    <phoneticPr fontId="2" type="noConversion"/>
  </si>
  <si>
    <t>GridView - advancedExcelDownload()</t>
    <phoneticPr fontId="2" type="noConversion"/>
  </si>
  <si>
    <t>inputType_expression_footer_gridView_column</t>
    <phoneticPr fontId="2" type="noConversion"/>
  </si>
  <si>
    <t>마우스 드래깅을 통한 셀 텍스트 선택 방지.</t>
    <phoneticPr fontId="2" type="noConversion"/>
  </si>
  <si>
    <t>noSelect</t>
    <phoneticPr fontId="2" type="noConversion"/>
  </si>
  <si>
    <t>dataList
titleColumn
idColumn
startColumn
endColumn</t>
    <phoneticPr fontId="2" type="noConversion"/>
  </si>
  <si>
    <t>DataList를 생성 후, 해당 DataList를 ScheduleCalendar와 바인딩하여 스케줄 데이터를 추가.</t>
    <phoneticPr fontId="2" type="noConversion"/>
  </si>
  <si>
    <t>addSchedule()</t>
    <phoneticPr fontId="2" type="noConversion"/>
  </si>
  <si>
    <t>마우스 드래그-앤-드롭을 통해 일정의 시작일 및 종료일을 변경.</t>
    <phoneticPr fontId="2" type="noConversion"/>
  </si>
  <si>
    <t>editable</t>
    <phoneticPr fontId="2" type="noConversion"/>
  </si>
  <si>
    <t xml:space="preserve">특정 날짜를 클릭하거나 여러 날짜를 드래깅하여 스케줄 정보를 입력. </t>
    <phoneticPr fontId="2" type="noConversion"/>
  </si>
  <si>
    <t>selectable</t>
    <phoneticPr fontId="2" type="noConversion"/>
  </si>
  <si>
    <t>여러 GridView를 하나의 Excel 시트로 다운로드.</t>
    <phoneticPr fontId="2" type="noConversion"/>
  </si>
  <si>
    <t>multipleExcelDownload()
options.multipleSheet</t>
    <phoneticPr fontId="2" type="noConversion"/>
  </si>
  <si>
    <t>spa 
spaReplaceHistory</t>
    <phoneticPr fontId="2" type="noConversion"/>
  </si>
  <si>
    <t>IFrame 윈도우 내부의 앞으로 가기 및 뒤로 가기 동작 금지.</t>
    <phoneticPr fontId="2" type="noConversion"/>
  </si>
  <si>
    <t>frameMode="iframe" 
spaReplaceHistory=“true”</t>
    <phoneticPr fontId="2" type="noConversion"/>
  </si>
  <si>
    <t>inputType_checkbox_checkHeaderOnviewchange_gridView_column</t>
    <phoneticPr fontId="2" type="noConversion"/>
  </si>
  <si>
    <t xml:space="preserve">헤더의 체크박스를 선택할 경우, 선택되거나 선택 해제되는 행의 개수만큼 onveiwchange 이벤트를 발생. </t>
    <phoneticPr fontId="2" type="noConversion"/>
  </si>
  <si>
    <t>/GridView/inputType/inputType_checkbox_checkHeaderOnviewchange_gridView_column.xml</t>
    <phoneticPr fontId="2" type="noConversion"/>
  </si>
  <si>
    <t xml:space="preserve">각 Submission 별로 requestHeader를 설정. </t>
    <phoneticPr fontId="2" type="noConversion"/>
  </si>
  <si>
    <t>https://youtu.be/CcE_1CQpaq4</t>
    <phoneticPr fontId="2" type="noConversion"/>
  </si>
  <si>
    <t>https://youtu.be/7_kb6Y7Oji4</t>
    <phoneticPr fontId="2" type="noConversion"/>
  </si>
  <si>
    <t>inputType="drilldown" 
depthColumn 
showDepth 
depthType</t>
    <phoneticPr fontId="2" type="noConversion"/>
  </si>
  <si>
    <t>tooltipDisplay 
tooltipShowAlways</t>
    <phoneticPr fontId="2" type="noConversion"/>
  </si>
  <si>
    <t>inputType="checkbox" (header column)
checkHeaderOnviewchange (body column)
onviewchange (GridView)</t>
    <phoneticPr fontId="2" type="noConversion"/>
  </si>
  <si>
    <t>$p.getSubmission()
subObj.setRequestHeader()</t>
    <phoneticPr fontId="2" type="noConversion"/>
  </si>
  <si>
    <t>masking_InputBox</t>
    <phoneticPr fontId="2" type="noConversion"/>
  </si>
  <si>
    <t>/InputBox/masking_InputBox.xml</t>
    <phoneticPr fontId="2" type="noConversion"/>
  </si>
  <si>
    <t>load_add_remove_delete_initilize_view_GridView</t>
    <phoneticPr fontId="2" type="noConversion"/>
  </si>
  <si>
    <t>GridView - Load, Add, Remove, Delete, Initilize &amp; View</t>
    <phoneticPr fontId="2" type="noConversion"/>
  </si>
  <si>
    <t>escape_config_xml</t>
    <phoneticPr fontId="2" type="noConversion"/>
  </si>
  <si>
    <t>advancedExcelDownload_useStyle_headerFontBold_GridView</t>
    <phoneticPr fontId="2" type="noConversion"/>
  </si>
  <si>
    <t>/GridView/Excel/advancedExcelDownload_useStyle_headerFontBold_GridView.xml</t>
    <phoneticPr fontId="2" type="noConversion"/>
  </si>
  <si>
    <t>GridView - advancedExcelDownload() &amp; options.useStyle &amp; options.headerFontBold</t>
    <phoneticPr fontId="2" type="noConversion"/>
  </si>
  <si>
    <t>console_errorConsole_config_xml</t>
    <phoneticPr fontId="2" type="noConversion"/>
  </si>
  <si>
    <t>advancedExcelUpload_sheetName_GridView</t>
    <phoneticPr fontId="2" type="noConversion"/>
  </si>
  <si>
    <t>ondateselect_onmonthselect_onyearselect_GridView</t>
    <phoneticPr fontId="2" type="noConversion"/>
  </si>
  <si>
    <t>/GridView/Events/ondateselect_onmonthselect_onyearselect_GridView.xml</t>
    <phoneticPr fontId="2" type="noConversion"/>
  </si>
  <si>
    <t>showToday_InputCalendar</t>
    <phoneticPr fontId="2" type="noConversion"/>
  </si>
  <si>
    <t>/InputCalendar/showToday_InputCalendar.xml</t>
    <phoneticPr fontId="2" type="noConversion"/>
  </si>
  <si>
    <t>/ScheduleCalendar/onaddschedule_onmoveschedule_ScheduleCalendar.xml</t>
    <phoneticPr fontId="2" type="noConversion"/>
  </si>
  <si>
    <t>ScheduleCalendar - onaddschedule &amp; onmoveschedule</t>
    <phoneticPr fontId="2" type="noConversion"/>
  </si>
  <si>
    <t>noSelect_GridView</t>
    <phoneticPr fontId="2" type="noConversion"/>
  </si>
  <si>
    <t>GridView - noSelect</t>
    <phoneticPr fontId="2" type="noConversion"/>
  </si>
  <si>
    <t>dataList_titleColumn_idColumn_startColumn_endColumn_ScheduleCalendar</t>
    <phoneticPr fontId="2" type="noConversion"/>
  </si>
  <si>
    <t>/ScheduleCalendar/dataList_titleColumn_idColumn_startColumn_endColumn_ScheduleCalendar.xml</t>
    <phoneticPr fontId="2" type="noConversion"/>
  </si>
  <si>
    <t>ScheduleCalendar - dataList &amp; titleColumn &amp; idColumn &amp; startColumn &amp; endColumn</t>
    <phoneticPr fontId="2" type="noConversion"/>
  </si>
  <si>
    <t>addSchedule_ScheduleCalendar</t>
    <phoneticPr fontId="2" type="noConversion"/>
  </si>
  <si>
    <t>/ScheduleCalendar/addSchedule_ScheduleCalendar.xml</t>
    <phoneticPr fontId="2" type="noConversion"/>
  </si>
  <si>
    <t>ScheduleCalendar - addSchedule()</t>
    <phoneticPr fontId="2" type="noConversion"/>
  </si>
  <si>
    <t>editable_ScheduleCalendar</t>
    <phoneticPr fontId="2" type="noConversion"/>
  </si>
  <si>
    <t>/ScheduleCalendar/editable_ScheduleCalendar.xml</t>
    <phoneticPr fontId="2" type="noConversion"/>
  </si>
  <si>
    <t>selectable_ScheduleCalendar</t>
    <phoneticPr fontId="2" type="noConversion"/>
  </si>
  <si>
    <t>/ScheduleCalendar/selectable_ScheduleCalendar.xml</t>
    <phoneticPr fontId="2" type="noConversion"/>
  </si>
  <si>
    <t>IFrame 내부의 앞으로 가기 및 뒤로 가기 동작 금지.</t>
    <phoneticPr fontId="2" type="noConversion"/>
  </si>
  <si>
    <t>frameMode_spaReplaceHistory_WindowContainer</t>
    <phoneticPr fontId="2" type="noConversion"/>
  </si>
  <si>
    <t>WindowContainer - frameMode &amp; spaReplaceHistory</t>
    <phoneticPr fontId="2" type="noConversion"/>
  </si>
  <si>
    <t>https://youtu.be/l8O6aKN-NwQ</t>
    <phoneticPr fontId="2" type="noConversion"/>
  </si>
  <si>
    <t>https://youtu.be/j7CPUsTpO-c</t>
    <phoneticPr fontId="2" type="noConversion"/>
  </si>
  <si>
    <t>/Spinner/useAlert_Spinner.xml</t>
    <phoneticPr fontId="2" type="noConversion"/>
  </si>
  <si>
    <t>https://youtu.be/hfi2sQqtKsU</t>
    <phoneticPr fontId="2" type="noConversion"/>
  </si>
  <si>
    <t>https://youtu.be/k6mRK45a-2I</t>
    <phoneticPr fontId="2" type="noConversion"/>
  </si>
  <si>
    <t>/GridView/Filtering/useFilter_gridView_column.xml</t>
    <phoneticPr fontId="2" type="noConversion"/>
  </si>
  <si>
    <t>/AutoComplete/displayMode_delimiter_AutoComplete.xml</t>
    <phoneticPr fontId="2" type="noConversion"/>
  </si>
  <si>
    <t>/CheckComboBox/displayMode_delimiter_CheckComboBox.xml</t>
    <phoneticPr fontId="2" type="noConversion"/>
  </si>
  <si>
    <t>/SelectBox/displayMode_delimiter_SelectBox.xml</t>
    <phoneticPr fontId="2" type="noConversion"/>
  </si>
  <si>
    <t>/Pivot/pivotExcelDownload_Pivot.xml</t>
    <phoneticPr fontId="2" type="noConversion"/>
  </si>
  <si>
    <t>https://youtu.be/q8tQ06AF3G8</t>
    <phoneticPr fontId="2" type="noConversion"/>
  </si>
  <si>
    <t>/TableLayout/adaptive_adaptiveThreshold_TableLayout.xml</t>
    <phoneticPr fontId="2" type="noConversion"/>
  </si>
  <si>
    <t>https://youtu.be/ssuLp4x0cjA</t>
    <phoneticPr fontId="2" type="noConversion"/>
  </si>
  <si>
    <t>depthColumnHeight_depthColumnWidth_SelectBox</t>
    <phoneticPr fontId="2" type="noConversion"/>
  </si>
  <si>
    <t>계층 구조의 선택 항목을 표시할 경우, 선택 목록의 높이 및 너비를 지정.</t>
    <phoneticPr fontId="2" type="noConversion"/>
  </si>
  <si>
    <t>depthColumn
depthColumnHeight 
depthColumnWidth</t>
    <phoneticPr fontId="2" type="noConversion"/>
  </si>
  <si>
    <t>/SelectBox/depthColumnHeight_depthColumnWidth_SelectBox.xml</t>
    <phoneticPr fontId="2" type="noConversion"/>
  </si>
  <si>
    <t>https://youtu.be/AAwd4cM5MmY</t>
    <phoneticPr fontId="2" type="noConversion"/>
  </si>
  <si>
    <t>SearchBox</t>
    <phoneticPr fontId="2" type="noConversion"/>
  </si>
  <si>
    <t>SelectBox - depthColumnHeight &amp; depthColumnWidth</t>
    <phoneticPr fontId="2" type="noConversion"/>
  </si>
  <si>
    <t xml:space="preserve">현재 열려 있는 모든 패널들의 속성을 반환. </t>
    <phoneticPr fontId="2" type="noConversion"/>
  </si>
  <si>
    <t>getOpenPanelInfo()</t>
    <phoneticPr fontId="2" type="noConversion"/>
  </si>
  <si>
    <t>getOpenPanelListInfo()</t>
    <phoneticPr fontId="2" type="noConversion"/>
  </si>
  <si>
    <t>/Accordion/getOpenPanelListInfo_Accordion.xml</t>
    <phoneticPr fontId="2" type="noConversion"/>
  </si>
  <si>
    <t>https://youtu.be/yWgZuaPL_JQ</t>
    <phoneticPr fontId="2" type="noConversion"/>
  </si>
  <si>
    <t>https://youtu.be/1O4RTyEfGwg</t>
    <phoneticPr fontId="2" type="noConversion"/>
  </si>
  <si>
    <t>getOpenPanelInfo_Accordion</t>
    <phoneticPr fontId="2" type="noConversion"/>
  </si>
  <si>
    <t>/Accordion/getOpenPanelInfo_Accordion.xml</t>
    <phoneticPr fontId="2" type="noConversion"/>
  </si>
  <si>
    <t>현재 열린 패널 중 첫 번째 혹은 지정한 인덱스에 해당하는 패널의 속성을 반환.</t>
    <phoneticPr fontId="2" type="noConversion"/>
  </si>
  <si>
    <t xml:space="preserve">ref 속성(바인딩하는 DataMap의 key 혹은 DataList의 column)을 직접 설정.  </t>
    <phoneticPr fontId="2" type="noConversion"/>
  </si>
  <si>
    <t>setRef()
ref</t>
    <phoneticPr fontId="2" type="noConversion"/>
  </si>
  <si>
    <t>setRef_SearchBox</t>
    <phoneticPr fontId="2" type="noConversion"/>
  </si>
  <si>
    <t>https://youtu.be/J_Nx89_G3FM</t>
    <phoneticPr fontId="2" type="noConversion"/>
  </si>
  <si>
    <t>https://youtu.be/Ocb7gaTwXy8</t>
    <phoneticPr fontId="2" type="noConversion"/>
  </si>
  <si>
    <t>https://youtu.be/OfsxRRlZ8cI</t>
    <phoneticPr fontId="2" type="noConversion"/>
  </si>
  <si>
    <t>dayMoveFixed</t>
    <phoneticPr fontId="2" type="noConversion"/>
  </si>
  <si>
    <t>특정 일 선택 후 월이나 연도를 이동해도 현재 선택한 일을 유지.</t>
    <phoneticPr fontId="2" type="noConversion"/>
  </si>
  <si>
    <t>https://youtu.be/1cXBGcYVSzA</t>
    <phoneticPr fontId="2" type="noConversion"/>
  </si>
  <si>
    <t>dayMoveFixed_InputCalendar</t>
    <phoneticPr fontId="2" type="noConversion"/>
  </si>
  <si>
    <t>/InputCalendar/dayMoveFixed_InputCalendar.xml</t>
    <phoneticPr fontId="2" type="noConversion"/>
  </si>
  <si>
    <t>https://youtu.be/4rPJJ1M_rhc</t>
    <phoneticPr fontId="2" type="noConversion"/>
  </si>
  <si>
    <t>https://youtu.be/YxHHnoGnweA</t>
    <phoneticPr fontId="2" type="noConversion"/>
  </si>
  <si>
    <t>https://youtu.be/pGqUHCFEVoo</t>
    <phoneticPr fontId="2" type="noConversion"/>
  </si>
  <si>
    <t>multipleExcelDownload_multipleSheet_WebSquare_util</t>
    <phoneticPr fontId="2" type="noConversion"/>
  </si>
  <si>
    <t>title</t>
    <phoneticPr fontId="2" type="noConversion"/>
  </si>
  <si>
    <t>setCellClass()</t>
    <phoneticPr fontId="2" type="noConversion"/>
  </si>
  <si>
    <t>그리드뷰의 컨텍스트 메뉴가 표시될 때 발생.</t>
    <phoneticPr fontId="2" type="noConversion"/>
  </si>
  <si>
    <t>oncontextopen
contextMenu
useHeaderContextMenu</t>
    <phoneticPr fontId="2" type="noConversion"/>
  </si>
  <si>
    <t>https://youtu.be/Ggkkn42zZMU</t>
    <phoneticPr fontId="2" type="noConversion"/>
  </si>
  <si>
    <t>useHeaderContextMenu_contextMenu_GridView</t>
    <phoneticPr fontId="2" type="noConversion"/>
  </si>
  <si>
    <t xml:space="preserve">헤더를 우클릭할 때 컨텍스트 메뉴를 표시. </t>
    <phoneticPr fontId="2" type="noConversion"/>
  </si>
  <si>
    <t>https://youtu.be/2sRK1QVpSZo</t>
    <phoneticPr fontId="2" type="noConversion"/>
  </si>
  <si>
    <t>/GridView/_General/useHeaderContextMenu_contextMenu_GridView.xml</t>
    <phoneticPr fontId="2" type="noConversion"/>
  </si>
  <si>
    <t>/GridView/Events/oncontextopen_GridView.xml</t>
    <phoneticPr fontId="2" type="noConversion"/>
  </si>
  <si>
    <t>contextMenu
useHeaderContextMenu</t>
    <phoneticPr fontId="2" type="noConversion"/>
  </si>
  <si>
    <t>title_Spinner</t>
    <phoneticPr fontId="2" type="noConversion"/>
  </si>
  <si>
    <t>HTML &lt;title&gt; 태그 속성 값을 정의.</t>
    <phoneticPr fontId="2" type="noConversion"/>
  </si>
  <si>
    <t>https://youtu.be/Oa7-zFv_BxM</t>
    <phoneticPr fontId="2" type="noConversion"/>
  </si>
  <si>
    <t>onkeyset_DataMap</t>
    <phoneticPr fontId="2" type="noConversion"/>
  </si>
  <si>
    <t>set() 함수를 사용하여 특정 key에 값을 설정할 때 발생.</t>
    <phoneticPr fontId="2" type="noConversion"/>
  </si>
  <si>
    <t>https://youtu.be/muK8LuJO2rk</t>
    <phoneticPr fontId="2" type="noConversion"/>
  </si>
  <si>
    <t>SelectBox - valueNotInList &amp; emptyItem</t>
    <phoneticPr fontId="2" type="noConversion"/>
  </si>
  <si>
    <t>setValue() 함수로 설정하는 값이 선택 항목 목록에 없는 경우, 처리 방법을 설정.</t>
    <phoneticPr fontId="2" type="noConversion"/>
  </si>
  <si>
    <t>/Spinner/title_Spinner.xml</t>
    <phoneticPr fontId="2" type="noConversion"/>
  </si>
  <si>
    <t>/SelectBox/valueNotInList_emptyItem_SelectBox.xml</t>
    <phoneticPr fontId="2" type="noConversion"/>
  </si>
  <si>
    <t>onkeyset
set()</t>
    <phoneticPr fontId="2" type="noConversion"/>
  </si>
  <si>
    <t>valueNotInList
emptyItem
setValue()
getSelectedIndex()</t>
    <phoneticPr fontId="2" type="noConversion"/>
  </si>
  <si>
    <t>advancedExcelDownload_xxxFontBold</t>
    <phoneticPr fontId="2" type="noConversion"/>
  </si>
  <si>
    <t>advancedExcelDownload()
options.useSubTotal
options.headerFontBold
options.bodyFontBold
options.subTotalFontBold
options.footerFontBold</t>
    <phoneticPr fontId="2" type="noConversion"/>
  </si>
  <si>
    <t xml:space="preserve">header, body, subTotal, footer 텍스트에 font-weight: bold 스타일을 적용. </t>
    <phoneticPr fontId="2" type="noConversion"/>
  </si>
  <si>
    <t xml:space="preserve">특정 GridView 셀에 지정한 CSS 스타일을 적용. </t>
    <phoneticPr fontId="2" type="noConversion"/>
  </si>
  <si>
    <t>setCellClass() 함수로 적용한 CSS 스타일을 다운로드한 Excel 파일에서도 유지.</t>
    <phoneticPr fontId="2" type="noConversion"/>
  </si>
  <si>
    <t>advancedExcelDownload_useStyle_GridView</t>
    <phoneticPr fontId="2" type="noConversion"/>
  </si>
  <si>
    <t>advancedExcelDownload()
options.useStyle
setCellClass()</t>
    <phoneticPr fontId="2" type="noConversion"/>
  </si>
  <si>
    <t>/GridView/Excel/advancedExcelDownload_xxxFontBold.xml</t>
    <phoneticPr fontId="2" type="noConversion"/>
  </si>
  <si>
    <t>/GridView/Excel/advancedExcelDownload_useStyle_GridView.xml</t>
    <phoneticPr fontId="2" type="noConversion"/>
  </si>
  <si>
    <t>GridView - advancedExcelDownload() &amp; options.xxxFontBold</t>
    <phoneticPr fontId="2" type="noConversion"/>
  </si>
  <si>
    <t>GridView - setCellClass()</t>
    <phoneticPr fontId="2" type="noConversion"/>
  </si>
  <si>
    <t>GridView - advancedExcelDownload() &amp; options.useStyle</t>
    <phoneticPr fontId="2" type="noConversion"/>
  </si>
  <si>
    <t>https://youtu.be/wAa6iNN1O28</t>
    <phoneticPr fontId="2" type="noConversion"/>
  </si>
  <si>
    <t>https://youtu.be/adJpaP0DK_4</t>
    <phoneticPr fontId="2" type="noConversion"/>
  </si>
  <si>
    <t>https://youtu.be/fC1l-5e1vhc</t>
    <phoneticPr fontId="2" type="noConversion"/>
  </si>
  <si>
    <t>https://youtu.be/rpn_YyAgUeg</t>
    <phoneticPr fontId="2" type="noConversion"/>
  </si>
  <si>
    <t>https://youtu.be/rY_cNEi3exY</t>
    <phoneticPr fontId="2" type="noConversion"/>
  </si>
  <si>
    <t>changeActiveWindow</t>
    <phoneticPr fontId="2" type="noConversion"/>
  </si>
  <si>
    <t>onrowclick</t>
    <phoneticPr fontId="2" type="noConversion"/>
  </si>
  <si>
    <t>changeActiveWindow_WindowContainer</t>
    <phoneticPr fontId="2" type="noConversion"/>
  </si>
  <si>
    <t>https://youtu.be/Qcdc1Xg2Gx8</t>
    <phoneticPr fontId="2" type="noConversion"/>
  </si>
  <si>
    <t>WindowContainer - changeActiveWindow</t>
    <phoneticPr fontId="2" type="noConversion"/>
  </si>
  <si>
    <t xml:space="preserve">네임레이어의 스크롤 버튼을 클릭하여, 윈도우를 선택하고 활성화. 
</t>
    <phoneticPr fontId="2" type="noConversion"/>
  </si>
  <si>
    <t>/WindowContainer/changeActiveWindow_WindowContainer.xml</t>
    <phoneticPr fontId="2" type="noConversion"/>
  </si>
  <si>
    <t>https://youtu.be/u7Ec_e0rooE</t>
    <phoneticPr fontId="2" type="noConversion"/>
  </si>
  <si>
    <t>onrowclick_MultiSelect</t>
    <phoneticPr fontId="2" type="noConversion"/>
  </si>
  <si>
    <t>선택 목록의 항목을 선택할 때 발생.</t>
    <phoneticPr fontId="2" type="noConversion"/>
  </si>
  <si>
    <t>/MultiSelect/onrowclick_MultiSelect.xml</t>
    <phoneticPr fontId="2" type="noConversion"/>
  </si>
  <si>
    <t>MultiSelect - onrowclick</t>
    <phoneticPr fontId="2" type="noConversion"/>
  </si>
  <si>
    <t>편집 모드에서도 displayMode 속성 설정값에 따라 value 및/혹은 label 값을 표시.</t>
    <phoneticPr fontId="2" type="noConversion"/>
  </si>
  <si>
    <t>AutoComplete - displayModeSync</t>
    <phoneticPr fontId="2" type="noConversion"/>
  </si>
  <si>
    <t>displayMode
delimiter
searchTarget
displayModeSync</t>
    <phoneticPr fontId="2" type="noConversion"/>
  </si>
  <si>
    <t>/AutoComplete/displayModeSync_AutoComplete.xml</t>
    <phoneticPr fontId="2" type="noConversion"/>
  </si>
  <si>
    <t>showChooseOption()
changeChooseOption()
chooseOption
chooseOptionLabel
chooseOptionValue</t>
    <phoneticPr fontId="2" type="noConversion"/>
  </si>
  <si>
    <t xml:space="preserve">chooseOptionLabel 속성으로 정의한 값을 선택 목록에 표시하기, 숨기기, 변경하기. </t>
    <phoneticPr fontId="2" type="noConversion"/>
  </si>
  <si>
    <t>AutoComplete - showChooseOption() &amp; changeChooseOption()</t>
    <phoneticPr fontId="2" type="noConversion"/>
  </si>
  <si>
    <t>/AutoComplete/showChooseOption_changeChooseOption_AutoComplete.xml</t>
    <phoneticPr fontId="2" type="noConversion"/>
  </si>
  <si>
    <t>https://youtu.be/Hz_tUrOeOsY</t>
    <phoneticPr fontId="2" type="noConversion"/>
  </si>
  <si>
    <t>showChooseOption_changeChooseOption_AutoComplete</t>
    <phoneticPr fontId="2" type="noConversion"/>
  </si>
  <si>
    <t>https://youtu.be/T8EQL5WLlT8</t>
    <phoneticPr fontId="2" type="noConversion"/>
  </si>
  <si>
    <t>displayModeSync_AutoComplete</t>
    <phoneticPr fontId="2" type="noConversion"/>
  </si>
  <si>
    <t>Trigger</t>
    <phoneticPr fontId="2" type="noConversion"/>
  </si>
  <si>
    <t>GridView에 데이터가 없을 경우, 헤더에 표시되는 정렬 버튼을 숨김.</t>
    <phoneticPr fontId="2" type="noConversion"/>
  </si>
  <si>
    <t>GridView - hideFilterIconOnNoData</t>
    <phoneticPr fontId="2" type="noConversion"/>
  </si>
  <si>
    <t>GridView에 데이터가 없을 경우, 헤더에 표시되는 필터링 버튼을 숨김.</t>
    <phoneticPr fontId="2" type="noConversion"/>
  </si>
  <si>
    <t xml:space="preserve">Ctrl 키와 Shift 키를 함께 사용할 때, 제일 마지막에 선택된 행을 기준으로 useShiftKey="true" 속성 설정을 적용.
</t>
    <phoneticPr fontId="2" type="noConversion"/>
  </si>
  <si>
    <t xml:space="preserve">툴팁 텍스트를 표시할 위치를 지정. </t>
    <phoneticPr fontId="2" type="noConversion"/>
  </si>
  <si>
    <t>Trigger - tooltipShowPositionX &amp; tooltipShowPositionY</t>
    <phoneticPr fontId="2" type="noConversion"/>
  </si>
  <si>
    <t>https://youtu.be/Ww-uwKEmwBg</t>
    <phoneticPr fontId="2" type="noConversion"/>
  </si>
  <si>
    <t>https://youtu.be/W8AuO1d5E_o</t>
    <phoneticPr fontId="2" type="noConversion"/>
  </si>
  <si>
    <t>sortable
showSortableImage
hideSortIconOnNoData</t>
    <phoneticPr fontId="2" type="noConversion"/>
  </si>
  <si>
    <t>useFilter (GridView Header)
showSortableUseFilter
hideFilterIconOnNoData</t>
    <phoneticPr fontId="2" type="noConversion"/>
  </si>
  <si>
    <t>useCtrlKey
useShiftKey
ctrShiftKey</t>
    <phoneticPr fontId="2" type="noConversion"/>
  </si>
  <si>
    <t>tooltip
tooltipShowPositionX
tooltipShowPositionY</t>
    <phoneticPr fontId="2" type="noConversion"/>
  </si>
  <si>
    <t>https://youtu.be/HiwlzUYeX7Y</t>
    <phoneticPr fontId="2" type="noConversion"/>
  </si>
  <si>
    <t>https://youtu.be/ebbi0EHywYE</t>
    <phoneticPr fontId="2" type="noConversion"/>
  </si>
  <si>
    <t>https://youtu.be/h9GJfv6sopE</t>
    <phoneticPr fontId="2" type="noConversion"/>
  </si>
  <si>
    <t>https://youtu.be/IGgpOcse1gY</t>
    <phoneticPr fontId="2" type="noConversion"/>
  </si>
  <si>
    <t>hideSortIconOnNoData_GridView</t>
    <phoneticPr fontId="2" type="noConversion"/>
  </si>
  <si>
    <t>/GridView/Sorting/hideSortIconOnNoData_GridView.xml</t>
    <phoneticPr fontId="2" type="noConversion"/>
  </si>
  <si>
    <t>/GridView/Filtering/hideFilterIconOnNoData_GridView.xml</t>
    <phoneticPr fontId="2" type="noConversion"/>
  </si>
  <si>
    <t>tooltipShowPositionX_tooltipShowPositionY_Trigger</t>
    <phoneticPr fontId="2" type="noConversion"/>
  </si>
  <si>
    <t>https://youtu.be/-2yFh9y4rcQ</t>
    <phoneticPr fontId="2" type="noConversion"/>
  </si>
  <si>
    <t>Generator</t>
    <phoneticPr fontId="2" type="noConversion"/>
  </si>
  <si>
    <t>Upload</t>
    <phoneticPr fontId="2" type="noConversion"/>
  </si>
  <si>
    <t>insertChild()</t>
    <phoneticPr fontId="2" type="noConversion"/>
  </si>
  <si>
    <t>insertChild()
UDC</t>
    <phoneticPr fontId="2" type="noConversion"/>
  </si>
  <si>
    <t>Generator를 통해 사용자 정의 컴포넌트(UDC)를 생성.</t>
    <phoneticPr fontId="2" type="noConversion"/>
  </si>
  <si>
    <t>UDC - create (SP5)</t>
    <phoneticPr fontId="2" type="noConversion"/>
  </si>
  <si>
    <t>https://youtu.be/-94hPYMv8bc</t>
    <phoneticPr fontId="2" type="noConversion"/>
  </si>
  <si>
    <t>/_UDC/create_UDC_SP5/</t>
    <phoneticPr fontId="2" type="noConversion"/>
  </si>
  <si>
    <t>사용자 정의 컴포넌트 (UDC) 생성. (SP5)</t>
    <phoneticPr fontId="2" type="noConversion"/>
  </si>
  <si>
    <t>https://youtu.be/PBOW9xKzEpM</t>
    <phoneticPr fontId="2" type="noConversion"/>
  </si>
  <si>
    <t>https://youtu.be/SpqJO02AA0M</t>
    <phoneticPr fontId="2" type="noConversion"/>
  </si>
  <si>
    <t>동적으로 사용자 정의 컴포넌트(UDC)를 생성.</t>
    <phoneticPr fontId="2" type="noConversion"/>
  </si>
  <si>
    <t>create_UDC_SP5</t>
    <phoneticPr fontId="2" type="noConversion"/>
  </si>
  <si>
    <t>https://youtu.be/Le8l7iXXt0I</t>
    <phoneticPr fontId="2" type="noConversion"/>
  </si>
  <si>
    <t>dynamicCreate()
UDC</t>
    <phoneticPr fontId="2" type="noConversion"/>
  </si>
  <si>
    <t>UDC - proprty (SP5)</t>
    <phoneticPr fontId="2" type="noConversion"/>
  </si>
  <si>
    <t>property_UDC_SP5</t>
    <phoneticPr fontId="2" type="noConversion"/>
  </si>
  <si>
    <t>https://youtu.be/w5hxnHSKVlk</t>
    <phoneticPr fontId="2" type="noConversion"/>
  </si>
  <si>
    <t>/_UDC/property_UDC_SP5/</t>
    <phoneticPr fontId="2" type="noConversion"/>
  </si>
  <si>
    <t>UDC의 이벤트를 구현하고 실제 사용하기. (SP5)</t>
    <phoneticPr fontId="2" type="noConversion"/>
  </si>
  <si>
    <t>UDC의 속성을 구현하고 실제 사용하기. (SP5)</t>
    <phoneticPr fontId="2" type="noConversion"/>
  </si>
  <si>
    <t>UDC의 함수를 구현하고 실제 사용하기. (SP5)</t>
    <phoneticPr fontId="2" type="noConversion"/>
  </si>
  <si>
    <t>https://youtu.be/NCLFfdTf-2c</t>
    <phoneticPr fontId="2" type="noConversion"/>
  </si>
  <si>
    <t>UDC - method (SP5)</t>
    <phoneticPr fontId="2" type="noConversion"/>
  </si>
  <si>
    <t>method_UDC_SP5</t>
    <phoneticPr fontId="2" type="noConversion"/>
  </si>
  <si>
    <t>/_UDC/method_UDC_SP5/</t>
    <phoneticPr fontId="2" type="noConversion"/>
  </si>
  <si>
    <t>https://youtu.be/8dowsojQFXU</t>
    <phoneticPr fontId="2" type="noConversion"/>
  </si>
  <si>
    <t>event_UDC_SP5</t>
    <phoneticPr fontId="2" type="noConversion"/>
  </si>
  <si>
    <t>/_UDC/event_UDC_SP5/</t>
    <phoneticPr fontId="2" type="noConversion"/>
  </si>
  <si>
    <t>UDC - event (SP5)</t>
    <phoneticPr fontId="2" type="noConversion"/>
  </si>
  <si>
    <t>_UDC</t>
    <phoneticPr fontId="2" type="noConversion"/>
  </si>
  <si>
    <t>GridView/subTotal</t>
    <phoneticPr fontId="2" type="noConversion"/>
  </si>
  <si>
    <t>GridView/footer</t>
    <phoneticPr fontId="2" type="noConversion"/>
  </si>
  <si>
    <t>화면에 표시할 행 수를 설정하는 visibleRowNum 속성 값을 동적으로 설정.</t>
    <phoneticPr fontId="2" type="noConversion"/>
  </si>
  <si>
    <t xml:space="preserve">파일 입력 부분을 클릭해서 파일 탐색기를 열기. </t>
    <phoneticPr fontId="2" type="noConversion"/>
  </si>
  <si>
    <t xml:space="preserve">파일 탐색기 열기. </t>
    <phoneticPr fontId="2" type="noConversion"/>
  </si>
  <si>
    <t>clickOpenFileDialog</t>
    <phoneticPr fontId="2" type="noConversion"/>
  </si>
  <si>
    <t>openFileDialog()</t>
    <phoneticPr fontId="2" type="noConversion"/>
  </si>
  <si>
    <t>setVisibleRowNum_GridView</t>
    <phoneticPr fontId="2" type="noConversion"/>
  </si>
  <si>
    <t>/GridView/_General/setVisibleRowNum_GridView.xml</t>
    <phoneticPr fontId="2" type="noConversion"/>
  </si>
  <si>
    <t>clickOpenFileDialog_Upload</t>
    <phoneticPr fontId="2" type="noConversion"/>
  </si>
  <si>
    <t>/Upload/clickOpenFileDialog_Upload.xml</t>
    <phoneticPr fontId="2" type="noConversion"/>
  </si>
  <si>
    <t>/Upload/openFileDialog_Upload.xml</t>
    <phoneticPr fontId="2" type="noConversion"/>
  </si>
  <si>
    <t>https://youtu.be/gobAwLOYX1I</t>
    <phoneticPr fontId="2" type="noConversion"/>
  </si>
  <si>
    <t>https://youtu.be/D3PiExLa9X4</t>
    <phoneticPr fontId="2" type="noConversion"/>
  </si>
  <si>
    <t>https://youtu.be/Hqf9A7mc2JQ</t>
    <phoneticPr fontId="2" type="noConversion"/>
  </si>
  <si>
    <t>GridView - setVisibleRowNum()</t>
    <phoneticPr fontId="2" type="noConversion"/>
  </si>
  <si>
    <t>Upload - clickOpenFileDialog</t>
    <phoneticPr fontId="2" type="noConversion"/>
  </si>
  <si>
    <t>Upload - openFileDialog()</t>
    <phoneticPr fontId="2" type="noConversion"/>
  </si>
  <si>
    <t>/GridView/subTotal/setSubtotalVisible_GridView.xml</t>
    <phoneticPr fontId="2" type="noConversion"/>
  </si>
  <si>
    <t>/GridView/subTotal/subtotalStyleFormatter_GridView.xml</t>
    <phoneticPr fontId="2" type="noConversion"/>
  </si>
  <si>
    <t>/GridView/footer/inputType_expression_AVG_gridView_column.xml</t>
    <phoneticPr fontId="2" type="noConversion"/>
  </si>
  <si>
    <t>/GridView/subTotal/subtotalStyleFormatter_subtotalColumnId_GridView.xml</t>
    <phoneticPr fontId="2" type="noConversion"/>
  </si>
  <si>
    <t>https://youtu.be/mLJnDEBfavc</t>
    <phoneticPr fontId="2" type="noConversion"/>
  </si>
  <si>
    <t>https://youtu.be/8rBgo85KGMY</t>
    <phoneticPr fontId="2" type="noConversion"/>
  </si>
  <si>
    <t xml:space="preserve">Excel 파일의 특정 시트만 GridView로 업로드. </t>
    <phoneticPr fontId="2" type="noConversion"/>
  </si>
  <si>
    <t>setVisibleRowNum()
visibleRowNum</t>
    <phoneticPr fontId="2" type="noConversion"/>
  </si>
  <si>
    <t>https://youtu.be/uf6voVjDnRo</t>
    <phoneticPr fontId="2" type="noConversion"/>
  </si>
  <si>
    <t>setCellDisabled()</t>
    <phoneticPr fontId="2" type="noConversion"/>
  </si>
  <si>
    <t>setCellBackgroundColor()</t>
    <phoneticPr fontId="2" type="noConversion"/>
  </si>
  <si>
    <t>https://youtu.be/OFpNaqnQBqg</t>
    <phoneticPr fontId="2" type="noConversion"/>
  </si>
  <si>
    <t>https://youtu.be/SksWosghgOc</t>
    <phoneticPr fontId="2" type="noConversion"/>
  </si>
  <si>
    <t>GridView</t>
  </si>
  <si>
    <t>GridView/_General</t>
  </si>
  <si>
    <t>independentPanel_Accordion</t>
    <phoneticPr fontId="2" type="noConversion"/>
  </si>
  <si>
    <t>independentPanel</t>
    <phoneticPr fontId="2" type="noConversion"/>
  </si>
  <si>
    <t>한 패널을 연 후에 다른 패널을 열 경우, 처음 연 패널(들)을 열린 채로 유지.</t>
    <phoneticPr fontId="2" type="noConversion"/>
  </si>
  <si>
    <t>/Accordion/independentPanel_Accordion.xml</t>
    <phoneticPr fontId="2" type="noConversion"/>
  </si>
  <si>
    <t>https://youtu.be/KHSd1h2JA6s</t>
    <phoneticPr fontId="2" type="noConversion"/>
  </si>
  <si>
    <t>필터에 의해 숨겨진 행을 포함한 특정 행의 배경색을 설정.</t>
    <phoneticPr fontId="2" type="noConversion"/>
  </si>
  <si>
    <t>setRowBackgroundColor()</t>
    <phoneticPr fontId="2" type="noConversion"/>
  </si>
  <si>
    <t>https://youtu.be/h4a3nwF5VpE</t>
    <phoneticPr fontId="2" type="noConversion"/>
  </si>
  <si>
    <t>GridView - setCellDisabled()</t>
    <phoneticPr fontId="2" type="noConversion"/>
  </si>
  <si>
    <t>GridView - setCellBackgroundColor()</t>
    <phoneticPr fontId="2" type="noConversion"/>
  </si>
  <si>
    <t>GridView - setRowBackgroundColor()</t>
    <phoneticPr fontId="2" type="noConversion"/>
  </si>
  <si>
    <t>setCellDisabled_GridView</t>
    <phoneticPr fontId="2" type="noConversion"/>
  </si>
  <si>
    <t>setRowBackgroundColor_GridView</t>
    <phoneticPr fontId="2" type="noConversion"/>
  </si>
  <si>
    <t>https://youtu.be/_CkuXLhoAnE</t>
    <phoneticPr fontId="2" type="noConversion"/>
  </si>
  <si>
    <t>/GridView/_General/setCellDisabled_GridView.xml</t>
    <phoneticPr fontId="2" type="noConversion"/>
  </si>
  <si>
    <t>필터에 의해 숨겨진 셀을 포함한 특정 셀을 비활성화.</t>
    <phoneticPr fontId="2" type="noConversion"/>
  </si>
  <si>
    <t>https://youtu.be/qH62eyFsngM</t>
    <phoneticPr fontId="2" type="noConversion"/>
  </si>
  <si>
    <t>필터에 의해 숨겨진 셀을 포함한 특정 셀의 배경색을 설정.</t>
    <phoneticPr fontId="2" type="noConversion"/>
  </si>
  <si>
    <t>숫자 및 알파벳을 마스킹하는 방법 및 마스킹 방향 설정 방법 설명.</t>
    <phoneticPr fontId="2" type="noConversion"/>
  </si>
  <si>
    <t>https://youtu.be/BB5eDivmrw4</t>
    <phoneticPr fontId="2" type="noConversion"/>
  </si>
  <si>
    <t>InputBox - Masking</t>
    <phoneticPr fontId="2" type="noConversion"/>
  </si>
  <si>
    <t>https://youtu.be/UF44Y8TMKOs</t>
    <phoneticPr fontId="2" type="noConversion"/>
  </si>
  <si>
    <t xml:space="preserve">행 선택용 inputType="checkbox" 컬럼을 추가한 후, 체크박스로 선택한 행을 삭제(delete/remove). </t>
    <phoneticPr fontId="2" type="noConversion"/>
  </si>
  <si>
    <t>https://youtu.be/2JVHeNzkFZ8</t>
    <phoneticPr fontId="2" type="noConversion"/>
  </si>
  <si>
    <t>https://youtu.be/tqulgI92fOU</t>
    <phoneticPr fontId="2" type="noConversion"/>
  </si>
  <si>
    <t>https://youtu.be/kyAnzuh-0fc</t>
    <phoneticPr fontId="2" type="noConversion"/>
  </si>
  <si>
    <t>https://youtu.be/to3ecuDoh0o</t>
    <phoneticPr fontId="2" type="noConversion"/>
  </si>
  <si>
    <t>getFooterData()</t>
    <phoneticPr fontId="2" type="noConversion"/>
  </si>
  <si>
    <t>insertChild_Generator_UDC</t>
    <phoneticPr fontId="2" type="noConversion"/>
  </si>
  <si>
    <t xml:space="preserve">Footer 행을 GridView에 추가. </t>
    <phoneticPr fontId="2" type="noConversion"/>
  </si>
  <si>
    <t>subTotal_GridView</t>
    <phoneticPr fontId="2" type="noConversion"/>
  </si>
  <si>
    <t xml:space="preserve">SuboTotal 행(들)을 GridView에 추가. </t>
    <phoneticPr fontId="2" type="noConversion"/>
  </si>
  <si>
    <t>targetColumnID (subTotal)
inputType="expression" (gridView.column)
expression (gridView.column)</t>
    <phoneticPr fontId="2" type="noConversion"/>
  </si>
  <si>
    <t>footer_GridView</t>
    <phoneticPr fontId="2" type="noConversion"/>
  </si>
  <si>
    <t>getFooterData_GridView</t>
    <phoneticPr fontId="2" type="noConversion"/>
  </si>
  <si>
    <t xml:space="preserve">지정한 Footer 컬럼의 값을 반환. </t>
    <phoneticPr fontId="2" type="noConversion"/>
  </si>
  <si>
    <t>https://youtu.be/Cs-DeBICs6s</t>
    <phoneticPr fontId="2" type="noConversion"/>
  </si>
  <si>
    <t>/GridView/footer/footer_GridView.xml</t>
    <phoneticPr fontId="2" type="noConversion"/>
  </si>
  <si>
    <t>https://youtu.be/u1TYaMl_enY</t>
    <phoneticPr fontId="2" type="noConversion"/>
  </si>
  <si>
    <t>/GridView/footer/getFooterData_GridView.xml</t>
    <phoneticPr fontId="2" type="noConversion"/>
  </si>
  <si>
    <t>inputType="expression" (gridView.column)
expression (gridView.column)</t>
    <phoneticPr fontId="2" type="noConversion"/>
  </si>
  <si>
    <t>GridView - footer</t>
    <phoneticPr fontId="2" type="noConversion"/>
  </si>
  <si>
    <t>GridView - getFooterData()</t>
    <phoneticPr fontId="2" type="noConversion"/>
  </si>
  <si>
    <t>https://youtu.be/U-IW9JUdi5M</t>
    <phoneticPr fontId="2" type="noConversion"/>
  </si>
  <si>
    <r>
      <t xml:space="preserve">subtotal </t>
    </r>
    <r>
      <rPr>
        <sz val="11"/>
        <color rgb="FF000000"/>
        <rFont val="돋움"/>
        <family val="3"/>
        <charset val="129"/>
      </rPr>
      <t>행들을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표시하거나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숨기기</t>
    </r>
    <r>
      <rPr>
        <sz val="11"/>
        <color rgb="FF000000"/>
        <rFont val="Arial"/>
        <family val="2"/>
      </rPr>
      <t xml:space="preserve">. </t>
    </r>
    <phoneticPr fontId="2" type="noConversion"/>
  </si>
  <si>
    <t>https://youtu.be/_Y7BYZg4fUg</t>
    <phoneticPr fontId="2" type="noConversion"/>
  </si>
  <si>
    <t>https://youtu.be/WsJdYLy8lcU</t>
    <phoneticPr fontId="2" type="noConversion"/>
  </si>
  <si>
    <t>Generator - insertChild()</t>
    <phoneticPr fontId="2" type="noConversion"/>
  </si>
  <si>
    <t xml:space="preserve">WebSquare5 컴포넌트(들)을 동적으로 생성. </t>
    <phoneticPr fontId="2" type="noConversion"/>
  </si>
  <si>
    <t>insertChild_Generator</t>
    <phoneticPr fontId="2" type="noConversion"/>
  </si>
  <si>
    <t>/Generator/insertChild_Generator.xml</t>
    <phoneticPr fontId="2" type="noConversion"/>
  </si>
  <si>
    <t>https://youtu.be/8xNf3eVmV84</t>
    <phoneticPr fontId="2" type="noConversion"/>
  </si>
  <si>
    <t xml:space="preserve">인덱스나 ID로 윈도우를 지정하여 해당 윈도우에 포커스 주기. </t>
    <phoneticPr fontId="2" type="noConversion"/>
  </si>
  <si>
    <t>setFocus()
getSelectedWindowId()
getSelectedIndex()</t>
    <phoneticPr fontId="2" type="noConversion"/>
  </si>
  <si>
    <t>/WindowContainer/setFocus_WindowContainer.xml</t>
    <phoneticPr fontId="2" type="noConversion"/>
  </si>
  <si>
    <t>https://youtu.be/Q7pDyJzoClY</t>
    <phoneticPr fontId="2" type="noConversion"/>
  </si>
  <si>
    <t>setFocus_WindowContainer</t>
    <phoneticPr fontId="2" type="noConversion"/>
  </si>
  <si>
    <t>https://youtu.be/hsqXcU-qWNY</t>
    <phoneticPr fontId="2" type="noConversion"/>
  </si>
  <si>
    <t>https://youtu.be/HWMIfBt6MOw</t>
    <phoneticPr fontId="2" type="noConversion"/>
  </si>
  <si>
    <t>setDataType()
getDataType()
dataType (gridView.column)</t>
    <phoneticPr fontId="2" type="noConversion"/>
  </si>
  <si>
    <t>https://youtu.be/T6Jz2O14CKo</t>
    <phoneticPr fontId="2" type="noConversion"/>
  </si>
  <si>
    <t>https://youtu.be/5jcVHiTcUuQ</t>
    <phoneticPr fontId="2" type="noConversion"/>
  </si>
  <si>
    <t>https://youtu.be/YqLhFD72kZE</t>
    <phoneticPr fontId="2" type="noConversion"/>
  </si>
  <si>
    <t>https://youtu.be/0rb9R-itwAQ</t>
    <phoneticPr fontId="2" type="noConversion"/>
  </si>
  <si>
    <t>https://youtu.be/I3IWomt4n7o</t>
    <phoneticPr fontId="2" type="noConversion"/>
  </si>
  <si>
    <t>https://youtu.be/6Zeh7zcZrHU</t>
    <phoneticPr fontId="2" type="noConversion"/>
  </si>
  <si>
    <t>https://youtu.be/rpAfKJRLKqA</t>
    <phoneticPr fontId="2" type="noConversion"/>
  </si>
  <si>
    <t>https://youtu.be/GXJI2Es0vLA</t>
    <phoneticPr fontId="2" type="noConversion"/>
  </si>
  <si>
    <t>https://youtu.be/Fm05Vd261Eg</t>
    <phoneticPr fontId="2" type="noConversion"/>
  </si>
  <si>
    <t>WebSquare.date</t>
    <phoneticPr fontId="2" type="noConversion"/>
  </si>
  <si>
    <t>setCellClass_GridView</t>
    <phoneticPr fontId="2" type="noConversion"/>
  </si>
  <si>
    <t>valueNotInList_emptyItem_SelectBox</t>
    <phoneticPr fontId="2" type="noConversion"/>
  </si>
  <si>
    <t>toLunar_toSolar_WebSquare_date</t>
    <phoneticPr fontId="2" type="noConversion"/>
  </si>
  <si>
    <t>WebSquare.date - toLunar() &amp; toSolar()</t>
    <phoneticPr fontId="2" type="noConversion"/>
  </si>
  <si>
    <t>/_WebSquare.date/toLunar_toSolar_WebSquare_date.xml</t>
    <phoneticPr fontId="2" type="noConversion"/>
  </si>
  <si>
    <t xml:space="preserve">음력 날짜 ↔ 양력 날짜 변환. </t>
    <phoneticPr fontId="2" type="noConversion"/>
  </si>
  <si>
    <t>https://youtu.be/vt8qnfyYq4k</t>
    <phoneticPr fontId="2" type="noConversion"/>
  </si>
  <si>
    <t>getAllPopupList()</t>
    <phoneticPr fontId="2" type="noConversion"/>
  </si>
  <si>
    <t>getAllPopupWindowList()</t>
    <phoneticPr fontId="2" type="noConversion"/>
  </si>
  <si>
    <t xml:space="preserve">현재 열려 있는 모든 (wframe, iframe, browser) 팝업 윈도우 객체를 반환. </t>
    <phoneticPr fontId="2" type="noConversion"/>
  </si>
  <si>
    <t xml:space="preserve">현재 열려 있는 모든 (wframe, iframe, browser) 팝업 윈도우 목록을 반환하고 각 팝업에 접근. </t>
    <phoneticPr fontId="2" type="noConversion"/>
  </si>
  <si>
    <t>https://youtu.be/DPxCM7q6kNQ</t>
  </si>
  <si>
    <t>https://youtu.be/qYy9EjFJVbA</t>
  </si>
  <si>
    <t>https://youtu.be/1xigWeMmHNI</t>
  </si>
  <si>
    <t>advancedExcelUpload_wframe_features_className_GridView</t>
  </si>
  <si>
    <t>GridView - advancedExcelUpload() &amp; options.wframe &amp; options.features &amp; options.className</t>
  </si>
  <si>
    <t>advancedExcelUpload()
options.wframe
options.features
options.className</t>
  </si>
  <si>
    <t>https://youtu.be/VNIi6KxFbV8</t>
  </si>
  <si>
    <t>oncellclick_2_GridView</t>
  </si>
  <si>
    <t>GridView - readCSV() &amp; options.wframe &amp; options.features &amp; options.className</t>
  </si>
  <si>
    <t>readCSV()
options.wframe
options.features
options.className</t>
  </si>
  <si>
    <t>https://youtu.be/9xsDR6xp0NU</t>
  </si>
  <si>
    <t>readCSV_wframe_features_className_GridView</t>
  </si>
  <si>
    <t>CSV 업로드 창을 WFram으로 생성하고 업로드 창의 속성을 지정. (이름, 크기 및 위치 등.)</t>
  </si>
  <si>
    <t>DataMap - onkeyset</t>
  </si>
  <si>
    <t>Spinner - title</t>
  </si>
  <si>
    <t>InputCalendar - dayMoveFixed</t>
  </si>
  <si>
    <t>ScheduleCalendar - editable</t>
  </si>
  <si>
    <t>ScheduleCalendar - selectable</t>
  </si>
  <si>
    <t>getOpenPanelListInfo_Accordion</t>
  </si>
  <si>
    <t>Accordion - getOpenPanelListInfo()</t>
  </si>
  <si>
    <t>Accordion - getOpenPanelInfo()</t>
  </si>
  <si>
    <t>SearchBox - setRef()</t>
  </si>
  <si>
    <t>CheckComboBox</t>
  </si>
  <si>
    <t>depthColumnShowPath_depthColumnPathDelimiter_SelectBox</t>
  </si>
  <si>
    <t>SelectBox</t>
  </si>
  <si>
    <t>GridView/Sorting</t>
  </si>
  <si>
    <t>setSortable_GridView</t>
  </si>
  <si>
    <t>showCheckedTop_checkboxClickSync_CheckComboBox</t>
  </si>
  <si>
    <t>showCheckedTop
checkboxClickSync</t>
  </si>
  <si>
    <t>depthColumnShowPath
depthColumnPathDelimiter</t>
  </si>
  <si>
    <t>cellStatusVisible_cellStatusIconPosition_GridView</t>
  </si>
  <si>
    <t>cellStatusVisible
cellStatusIconPosition</t>
  </si>
  <si>
    <t>groupby_showOnlyLastDepth_GridView</t>
  </si>
  <si>
    <t>GridView/Grouping</t>
  </si>
  <si>
    <t>계층 구조의 선택 항목을 표시할 경우, 선택된 항목의 부모 목록을 모두 표시.</t>
  </si>
  <si>
    <t>setSortable()
sortable</t>
  </si>
  <si>
    <t xml:space="preserve">정렬 기능(sortlabe=“true”)을 동적으로 설정. </t>
  </si>
  <si>
    <t>GridView - setSortable()</t>
  </si>
  <si>
    <t>그룹핑을 수행할 경우, 마지막 단계만 표시.</t>
  </si>
  <si>
    <t>/CheckComboBox/showCheckedTop_checkboxClickSync_CheckComboBox.xml</t>
  </si>
  <si>
    <t>/SelectBox/depthColumnShowPath_depthColumnPathDelimiter_SelectBox.xml</t>
  </si>
  <si>
    <t>/GridView/Sorting/setSortable_GridView.xml</t>
  </si>
  <si>
    <t>/GridView/_General/cellStatusVisible_cellStatusIconPosition_GridView.xml</t>
  </si>
  <si>
    <t>/GridView/Grouping/groupby_showOnlyLastDepth_GridView.xml</t>
  </si>
  <si>
    <t>groupby()
options.showOnlyLastDepth</t>
  </si>
  <si>
    <t>https://youtu.be/M4dRiLebaU8</t>
  </si>
  <si>
    <t>https://youtu.be/e9pyaRENWO0</t>
  </si>
  <si>
    <t>선택한 항목들을 목록 상단에 표시.</t>
  </si>
  <si>
    <t>https://youtu.be/Noawlm0IjXQ</t>
  </si>
  <si>
    <t>https://youtu.be/f0wjJ7mRjsM</t>
  </si>
  <si>
    <t>https://youtu.be/t6ENhJNOeas</t>
  </si>
  <si>
    <t>_config_xml</t>
  </si>
  <si>
    <t>/_config_xml/strictMode_config_xml.pdf</t>
  </si>
  <si>
    <t>WindowContainer - Window Maximization</t>
  </si>
  <si>
    <t>WindowContainer - Window Minimization</t>
  </si>
  <si>
    <t>advancedExcelDownload()
options.colMerge
options.colMergeValue</t>
  </si>
  <si>
    <t>toLunar()
toSolar()</t>
  </si>
  <si>
    <t>timeFormat_ScheduleCalendar</t>
  </si>
  <si>
    <t>setIoFormat_InputCalendar</t>
  </si>
  <si>
    <t>inputType_calendar_setColumnIoFormat_gridView_column</t>
  </si>
  <si>
    <t>ScheduleCalendar - timeFormat</t>
  </si>
  <si>
    <t>https://youtu.be/zLYqYH7B1Ic</t>
  </si>
  <si>
    <t>InputCalendar - setIoFormat()</t>
  </si>
  <si>
    <t>GridView - setColumnIoFormat() &amp; inputType="calendar"</t>
  </si>
  <si>
    <t>https://youtu.be/p-hZGP4YOak</t>
  </si>
  <si>
    <t>https://youtu.be/T-qhSZ7K3Tk</t>
  </si>
  <si>
    <t>dataType="date"
inputType="calendar"
setColumnIoFormat()</t>
  </si>
  <si>
    <t>postScript_Page</t>
  </si>
  <si>
    <t>setDelimiter_AutoComplete</t>
  </si>
  <si>
    <t>setDisplayMode_AutoComplete</t>
  </si>
  <si>
    <t>setDelimiter_SelectBox</t>
  </si>
  <si>
    <t>setDisplayMode_SelectBox</t>
  </si>
  <si>
    <t>setDelimiter_CheckComboBox</t>
  </si>
  <si>
    <t>setDisplayMode_CheckComboBox</t>
  </si>
  <si>
    <t>setDelimiter_GridView</t>
  </si>
  <si>
    <t>setDisplayMode_GridView</t>
  </si>
  <si>
    <t>displayMode 속성값을 동적으로 변경.</t>
  </si>
  <si>
    <t>_Debugging</t>
  </si>
  <si>
    <t>Event_Debugging</t>
  </si>
  <si>
    <t>현재 화면의 이벤트 로그 확인.</t>
  </si>
  <si>
    <t>AutoComplete</t>
  </si>
  <si>
    <t>mergeExcludeValue</t>
  </si>
  <si>
    <t>setDisplayMode()
displayMode</t>
  </si>
  <si>
    <t>setDelimiter()
delimiter</t>
  </si>
  <si>
    <t>AutoComplete - setDisplayMode()</t>
  </si>
  <si>
    <t>AutoComplete - setDelimiter()</t>
  </si>
  <si>
    <t>SelectBox - setDisplayMode()</t>
  </si>
  <si>
    <t>SelectBox - setDelimiter()</t>
  </si>
  <si>
    <t>CheckComboBox - setDisplayMode()</t>
  </si>
  <si>
    <t>CheckComboBox - setDelimiter()</t>
  </si>
  <si>
    <t>GridView - setDisplayMode()</t>
  </si>
  <si>
    <t>GridView - setDelimiter()</t>
  </si>
  <si>
    <t>delimiter 속성값을 동적으로 변경.</t>
  </si>
  <si>
    <t>Page</t>
  </si>
  <si>
    <t>Page - onbeforepageunload</t>
  </si>
  <si>
    <t>onbeforepageunload_body_Page</t>
  </si>
  <si>
    <t>Debugging - Event debugging</t>
  </si>
  <si>
    <t>/_Debugging/Event_Debugging.xml</t>
  </si>
  <si>
    <t>https://youtu.be/bRAqROKjOew</t>
  </si>
  <si>
    <t>GridView 컬럼의 displayMode 속성값을 동적으로 변경.</t>
  </si>
  <si>
    <t>선택 항목 목록에 value와 label을 함께 표시할 때 사용하는 구분자(delimiter 속성)를 동적으로 변경.</t>
  </si>
  <si>
    <t>hammerEnabled_hammerPressTime_GridView</t>
  </si>
  <si>
    <t>GridView/inputType</t>
  </si>
  <si>
    <t>GridView/Mobile</t>
  </si>
  <si>
    <t>drilldownToggle_hammerEnabled_GridView</t>
  </si>
  <si>
    <t xml:space="preserve">모바일에서의 Press 이벤트를 PC의 더블- 클릭 이벤트와 같이 처리. </t>
  </si>
  <si>
    <t>hammerEnabled
hammerPressTime</t>
  </si>
  <si>
    <t>/GridView/Mobile/hammerEnabled_hammerPressTime_GridView.xml</t>
  </si>
  <si>
    <t>https://youtu.be/rLljniG8Bik</t>
  </si>
  <si>
    <t>checkEditOnPaste</t>
  </si>
  <si>
    <t xml:space="preserve">모바일 기기에서 inputType="drilldow" 컬럼의 목록을 셀 터치를 통해 열고 닫기. </t>
  </si>
  <si>
    <t>inputType="drilldown" (gridView.column)
drilldownToggle="enter"</t>
  </si>
  <si>
    <t>/GridView/inputType/drilldownToggle_GridView.xml</t>
  </si>
  <si>
    <t>/GridView/Mobile/drilldownToggle_hammerEnabled_GridView.xml</t>
  </si>
  <si>
    <t>inputType="drilldown" (gridView.column)
drilldownToggle="enter"
hammerEnabled="true"</t>
  </si>
  <si>
    <t>checkEditOnPaste_GridView</t>
  </si>
  <si>
    <t>/GridView/_General/checkEditOnPaste_GridView.xml</t>
  </si>
  <si>
    <t>/_Page_SP4/onpageload_Page.xml</t>
  </si>
  <si>
    <t>여러 개의 GridView 셀에 데이터 붙여 넣기.</t>
  </si>
  <si>
    <t>InputCalendar</t>
  </si>
  <si>
    <t>ctrlShiftKey_GridView</t>
  </si>
  <si>
    <t>https://youtu.be/_w0u0yvnkug</t>
  </si>
  <si>
    <t>https://youtu.be/K8ACGkL6xio</t>
  </si>
  <si>
    <t>WFrame</t>
  </si>
  <si>
    <t>$p/PopUp</t>
  </si>
  <si>
    <t>$p</t>
  </si>
  <si>
    <t>생성한 (iframe/wframe) 팝업이 이동할 수 없도록 팝업의 위치를 고정.</t>
  </si>
  <si>
    <t>openPopup()
options.fixPosition</t>
  </si>
  <si>
    <t>onbeforewframeunload</t>
  </si>
  <si>
    <t>https://youtu.be/QIBmgFv5pho</t>
  </si>
  <si>
    <t>onbeforepageunload</t>
  </si>
  <si>
    <t>https://youtu.be/igtLcV9vBbY</t>
  </si>
  <si>
    <t>WFrame이 중첩된 경우 onpageload, initScript, postScript 실행 순서.</t>
  </si>
  <si>
    <t>TreeView - spanAll()</t>
  </si>
  <si>
    <t>TreeView - spanNode()</t>
  </si>
  <si>
    <t>트리 전체를 접고 펼치기.</t>
  </si>
  <si>
    <t>TreeView</t>
  </si>
  <si>
    <t>https://youtu.be/v65iVnWntpk</t>
  </si>
  <si>
    <t>https://youtu.be/0EKW1ten_ps</t>
  </si>
  <si>
    <t>/AutoComplete/setDelimiter_AutoComplete.xml</t>
  </si>
  <si>
    <t>/AutoComplete/setDisplayMode_AutoComplete.xml</t>
  </si>
  <si>
    <t>https://youtu.be/S0G_wQvhRNI</t>
  </si>
  <si>
    <t>https://youtu.be/BT4_i12AfvQ</t>
  </si>
  <si>
    <t>spanAll_TreeView</t>
  </si>
  <si>
    <t>spanNode_TreeView</t>
  </si>
  <si>
    <t>spanlAll()</t>
  </si>
  <si>
    <t>spanNode()</t>
  </si>
  <si>
    <t>트리의 특정 노드를 접고 펼치기.</t>
  </si>
  <si>
    <t>GridView 컬럼의 delimiter 속성값을 동적으로 변경.</t>
  </si>
  <si>
    <t>/CheckComboBox/setDisplayMode_CheckComboBox.xml</t>
  </si>
  <si>
    <t>/CheckComboBox/setDelimiter_CheckComboBox.xml</t>
  </si>
  <si>
    <t>/SelectBox/setDisplayMode_SelectBox.xml</t>
  </si>
  <si>
    <t>/SelectBox/setDelimiter_SelectBox.xml</t>
  </si>
  <si>
    <t>https://youtu.be/5pOQlObZNfU</t>
  </si>
  <si>
    <t>https://youtu.be/SlqpP7L47ig</t>
  </si>
  <si>
    <t>setDisplayMode()
displayMode (gridView.column)
inputType="autoComplete"  (gridView.column)
inputType="checkcombobox"  (gridView.column)
inputType="select"  (gridView.column)</t>
  </si>
  <si>
    <t>setDelimiter()
delimiter  (gridView.column)
inputType="autoComplete"  (gridView.column)
inputType="checkcombobox"  (gridView.column)
inputType="select"  (gridView.column)</t>
  </si>
  <si>
    <t>/GridView/inputType/setDisplayMode_GridView.xml</t>
  </si>
  <si>
    <t>/GridView/inputType/setDelimiter_GridView.xml</t>
  </si>
  <si>
    <t>https://youtu.be/zYHD84kaN4Y</t>
  </si>
  <si>
    <t>https://youtu.be/jcE6477rwcc</t>
  </si>
  <si>
    <t>https://youtu.be/0ZQBY4xtgB8</t>
  </si>
  <si>
    <t>https://youtu.be/OX2SjjkP-2s</t>
  </si>
  <si>
    <t>Spinner - autoFocus &amp; nextTabID &amp; dataType="date" &amp; dateIncrementType</t>
  </si>
  <si>
    <t>AutoComplete - autoFocus &amp; nextTabID</t>
  </si>
  <si>
    <t>Page - initScript</t>
  </si>
  <si>
    <t>InputCalendar - disableDate()</t>
  </si>
  <si>
    <t>SelectBox - depthColumn</t>
  </si>
  <si>
    <t>WebSquare.logger - enableContextMenu() &amp; disableContextMenu()</t>
  </si>
  <si>
    <t>Accordion - enterKeyPanelToggle</t>
  </si>
  <si>
    <t>TextBox - tagname</t>
  </si>
  <si>
    <t>DataCollection</t>
  </si>
  <si>
    <t>/TreeView/spanAll_TreeView.xml</t>
  </si>
  <si>
    <t>/TreeView/spanNode_TreeView.xml</t>
  </si>
  <si>
    <t>ref</t>
  </si>
  <si>
    <t>https://youtu.be/i6isWpeG4Bg</t>
  </si>
  <si>
    <t>https://youtu.be/zs1aRFTlUHc</t>
  </si>
  <si>
    <t>contextMenuAltClick_GridView</t>
  </si>
  <si>
    <t>introduction_TableLayout</t>
  </si>
  <si>
    <t>Accordion</t>
  </si>
  <si>
    <t>Group</t>
  </si>
  <si>
    <t>InputBox</t>
  </si>
  <si>
    <t>MapChart</t>
  </si>
  <si>
    <t>MultiSelect</t>
  </si>
  <si>
    <t>Pivot</t>
  </si>
  <si>
    <t>Radio</t>
  </si>
  <si>
    <t>ScheduleCalendar</t>
  </si>
  <si>
    <t>TabControl</t>
  </si>
  <si>
    <t>TextBox</t>
  </si>
  <si>
    <t>WidgetContainer</t>
  </si>
  <si>
    <t>WindowContainer</t>
  </si>
  <si>
    <t>WebSquare.date</t>
  </si>
  <si>
    <t>DataList - ondataload</t>
  </si>
  <si>
    <t>ondataload_DataList</t>
  </si>
  <si>
    <t>Caption</t>
  </si>
  <si>
    <t>DataList - onbeforecelldatachange</t>
  </si>
  <si>
    <t>onbeforecelldatachange_DataList</t>
  </si>
  <si>
    <t>DataList - getRowCount()</t>
  </si>
  <si>
    <t>https://youtu.be/DyKCvK4hAxc</t>
  </si>
  <si>
    <t>getRowCount_DataList</t>
  </si>
  <si>
    <t>DataList - getCellData()</t>
  </si>
  <si>
    <t>https://youtu.be/VL71nUW6nck</t>
  </si>
  <si>
    <t>getCellData_DataList</t>
  </si>
  <si>
    <t>column_mapping_GridView</t>
  </si>
  <si>
    <t>GridView - Column mapping</t>
  </si>
  <si>
    <t>https://youtu.be/47hscGTF_gI</t>
  </si>
  <si>
    <t>https://youtu.be/WBQp1hDkwaw</t>
  </si>
  <si>
    <t>/GridView/_General/column_mapping_GridView.xml</t>
  </si>
  <si>
    <t>$p.data.create();
dataList.setData();
WebSquare.util.multipleDataListDownload();</t>
  </si>
  <si>
    <t>Radio - onviewchange</t>
  </si>
  <si>
    <t>ScheduleCalendar - viewIcon</t>
  </si>
  <si>
    <t>InputBox - setMandatory() &amp; getMandatory()</t>
  </si>
  <si>
    <t>GridView - Event adding example &amp; onsort</t>
  </si>
  <si>
    <t>Studio</t>
  </si>
  <si>
    <t>WindowContainer - processMsgFrame &amp; config.xml - processMsgFrameURL</t>
  </si>
  <si>
    <t>processMsgFrame="true"
processMsgFrameURL (config.xml)</t>
  </si>
  <si>
    <t>https://youtu.be/PBFSg8Kpqzk</t>
  </si>
  <si>
    <t>processMsgFrameURL_config_processMsgFrame_WindowContainer</t>
  </si>
  <si>
    <t>https://youtu.be/lmR6qWDyeqQ</t>
  </si>
  <si>
    <t>adding_event_example_onsort_GridView</t>
  </si>
  <si>
    <t>oncelldblclick_GridView</t>
  </si>
  <si>
    <t>https://youtu.be/6tF7LMesjgM</t>
  </si>
  <si>
    <t>processMsgFrameURL_config_processMsgFrame_TabControl</t>
  </si>
  <si>
    <t>processMsgFrame_WindowContainer</t>
  </si>
  <si>
    <t>processMsgFrame_TabControl</t>
  </si>
  <si>
    <t>processMsgFrameURL_config_processMsgFrame_WFrame</t>
  </si>
  <si>
    <t>https://youtu.be/XH8obZkSyEo</t>
  </si>
  <si>
    <t>processMsgFrame
frameMode="wframe" / "wframePreload"</t>
  </si>
  <si>
    <t>https://youtu.be/BcEO_wVyTc8</t>
  </si>
  <si>
    <t>processMsgFrame
frameMode="wframe"</t>
  </si>
  <si>
    <t>https://youtu.be/9_SgibAMgw4</t>
  </si>
  <si>
    <t>processMsgFrame_Wframe</t>
  </si>
  <si>
    <t>https://youtu.be/TRBw-YldeMY</t>
  </si>
  <si>
    <t>WFrame - processMsgFrame &amp; config.xml - processMsgFrameURL</t>
  </si>
  <si>
    <t>https://youtu.be/CZBajC9oYm8</t>
  </si>
  <si>
    <t>dataDragSelect_dataDragSelectAutoScroll_2_GridView</t>
  </si>
  <si>
    <t>useShiftKey="true"
dataDragSelect="true"
dataDragSelectAutoScroll="true"
dataDragSelectAutoScrollLevel
dataDragSelectAutoScrollPeriod</t>
  </si>
  <si>
    <t>https://youtu.be/ebiRwO4IaDo</t>
  </si>
  <si>
    <t>$p.openPopup()
options.type: "wframePopup"
options.type: "iframePopup"
options.type: "browserPopup"</t>
  </si>
  <si>
    <t>https://youtu.be/Sf3n416Lk4k</t>
  </si>
  <si>
    <t>Accordion - independentPanel</t>
  </si>
  <si>
    <t>https://youtu.be/x9bKnWeS3OA</t>
  </si>
  <si>
    <t>GridView에 onsort 이벤트를 추가하는 예제.</t>
  </si>
  <si>
    <t>processMsgFrame_WidgetContainer</t>
  </si>
  <si>
    <t>서브미션 상태메시지를 WFrame 위젯 내부에만 표시.</t>
  </si>
  <si>
    <t>preventMaximizeByTitle_WidgetContainer</t>
  </si>
  <si>
    <t>setMandatory_getMandatory_InputBox</t>
  </si>
  <si>
    <t>mandatory
setMandatory()
getMandatory()</t>
  </si>
  <si>
    <t>/InputBox/setMandatory_getMandatory_InputBox.xml</t>
  </si>
  <si>
    <t>onviewchange_Radio</t>
  </si>
  <si>
    <t>onviewchange</t>
  </si>
  <si>
    <t>/Radio/onviewchange_Radio.xml</t>
  </si>
  <si>
    <t>setRowNumVisible_GridView</t>
  </si>
  <si>
    <t>setRowStatusVisible_GridView</t>
  </si>
  <si>
    <t>GridView - setRowStatusVisible()</t>
  </si>
  <si>
    <t>GridView - setRowNumVisible()</t>
  </si>
  <si>
    <t>행의 번호를 보여주는 번호 컬럼을 표시하기 위한 rowNumVisible 속성을 동적으로 설정.</t>
  </si>
  <si>
    <t>rowStatusVisible
setRowStatusVisible()</t>
  </si>
  <si>
    <t>GridView/InputType</t>
  </si>
  <si>
    <t>gridView.column - inputType="spinner" &amp; min &amp; max</t>
  </si>
  <si>
    <t>inputType_spinner_min_max_gridView_column</t>
  </si>
  <si>
    <t>inputType="spinner" 컬럼의 최소값 및 최대값 설정.</t>
  </si>
  <si>
    <t>inputType="spinner"
min
max</t>
  </si>
  <si>
    <t>useMarker_contextFormatter_MapChart</t>
  </si>
  <si>
    <t>MapChart - useMarker &amp; contextFormatter</t>
  </si>
  <si>
    <t xml:space="preserve">지역명 위에 마커를 표시하고, 마커를 클릭할 때 표시할 내용을 지정. </t>
  </si>
  <si>
    <t>/GridView/inputType/inputType_spinner_min_max_gridView_column.xml</t>
  </si>
  <si>
    <t>/GridView/_General/setRowNumVisible_GridView.xml</t>
  </si>
  <si>
    <t>/GridView/_General/setRowStatusVisible_GridView.xml</t>
  </si>
  <si>
    <t>useMarker
contextFormatter</t>
  </si>
  <si>
    <t>/MapChart/useMarker_contextFormatter_MapChart.xml</t>
  </si>
  <si>
    <t>mandatory 속성값 확인 및 설정.</t>
  </si>
  <si>
    <t>행의 상태를 보여주는 상태 컬럼을 표시하기 위한 rowStatusVisible 속성을 동적으로 설정.</t>
  </si>
  <si>
    <t>rowNumVisible
setRowNumVisible()</t>
  </si>
  <si>
    <t>WidgetContainer - addWidgets()</t>
  </si>
  <si>
    <t>https://youtu.be/Fs6piaQX3ZE</t>
  </si>
  <si>
    <t>https://youtu.be/f92HetCX_kA</t>
  </si>
  <si>
    <t>https://youtu.be/8pmqZSebcz8</t>
  </si>
  <si>
    <t>https://youtu.be/0TGGOtcwl-Q</t>
  </si>
  <si>
    <t>styling_Group</t>
  </si>
  <si>
    <t>tagname_TextBox</t>
  </si>
  <si>
    <t>oncontextopen_GridView</t>
  </si>
  <si>
    <t>create_LinkedDataList</t>
  </si>
  <si>
    <t>setCellBackgroundColor_GridView</t>
  </si>
  <si>
    <t>allTotalName_grandTotalName_Pivot</t>
  </si>
  <si>
    <t>drilldownToggle_GridView</t>
  </si>
  <si>
    <t>https://youtu.be/rzhAmSBddS4</t>
  </si>
  <si>
    <t>https://youtu.be/brUpez4WXvc</t>
  </si>
  <si>
    <t>https://youtu.be/FU52N0D18mo</t>
  </si>
  <si>
    <t>Radio - Span Direction &amp; Span Count &amp; cols &amp; rows</t>
  </si>
  <si>
    <t>moveKeyEditMode_moveKeyEditModeAll_GridView</t>
  </si>
  <si>
    <t>gridView.column - inputType="spinner" &amp; viewType</t>
  </si>
  <si>
    <t>viewIcon_ScheduleCalendar</t>
  </si>
  <si>
    <t>viewIcon</t>
  </si>
  <si>
    <t>lang_ScheduleCalendar</t>
  </si>
  <si>
    <t>ScheduleCalendar - lang</t>
  </si>
  <si>
    <t>lang</t>
  </si>
  <si>
    <t>titleFormatter_ScheduleCalendar</t>
  </si>
  <si>
    <t>ScheduleCalendar - titleFormatter</t>
  </si>
  <si>
    <t>titleFormatter</t>
  </si>
  <si>
    <t>ScheduleCalendar의 언어 설정. (ISO 언어 코드 지원.)</t>
  </si>
  <si>
    <t xml:space="preserve">스케줄의 title 정보를 지정할 수 있는 사용자 정의 함수를 설정. </t>
  </si>
  <si>
    <t xml:space="preserve">스케줄 표시 방법을 변경할 수 있는 헤더 아이콘 종류 지정.  </t>
  </si>
  <si>
    <t>/ScheduleCalendar/lang_ScheduleCalendar.xml</t>
  </si>
  <si>
    <t>/ScheduleCalendar/titleFormatter_ScheduleCalendar.xml</t>
  </si>
  <si>
    <t>/ScheduleCalendar/viewIcon_ScheduleCalendar.xml</t>
  </si>
  <si>
    <t>https://youtu.be/87Y_k1E1HIg</t>
  </si>
  <si>
    <t>https://youtu.be/kPsmX28mhUE</t>
  </si>
  <si>
    <t>https://youtu.be/x2xa3Ptte6Y</t>
  </si>
  <si>
    <t>gridView.column - inputType="custom" &amp; typeGetter</t>
  </si>
  <si>
    <t>/GridView/inputType/inputType_custom_typeGetter_gridView_column.xml</t>
  </si>
  <si>
    <t>https://youtu.be/NSicuP53ywk</t>
  </si>
  <si>
    <t>inputType_custom_typeGetter_gridView_column</t>
  </si>
  <si>
    <t>WindowContainer - setArrangeWindows()</t>
  </si>
  <si>
    <t>https://youtu.be/J0qlR_D3pWI</t>
  </si>
  <si>
    <t>setArrangeWindows_WindowContainer</t>
  </si>
  <si>
    <t>DataList - getAllJSON()</t>
  </si>
  <si>
    <t>getAllJSON_DataList</t>
  </si>
  <si>
    <t>getAllJSON()
"rowStatusData" : "false"</t>
  </si>
  <si>
    <t>GridView - moveKeyEditMode &amp; moveKeyEditModeAll</t>
  </si>
  <si>
    <t>focusFlow_GridView</t>
  </si>
  <si>
    <t>AutoComplete - onviewchange</t>
  </si>
  <si>
    <t>https://youtu.be/RRYtExw8mC4</t>
  </si>
  <si>
    <t>https://youtu.be/-URZvBoXkI4</t>
  </si>
  <si>
    <t>focusMode_selectedCellColor_selectedRowColor_GridView</t>
  </si>
  <si>
    <t>https://youtu.be/hvxhjZoPsts</t>
  </si>
  <si>
    <t>getFiterList_clearFilter_setColumnFilter_DataList</t>
  </si>
  <si>
    <t>DataList - getFiterList() &amp; clearFilter() &amp; setColumnFilter()</t>
  </si>
  <si>
    <t>https://youtu.be/CTF5kjlN10k</t>
  </si>
  <si>
    <t>setRowVisible_clearRowVisible_GridView</t>
  </si>
  <si>
    <t>GridView - setRowVisible() &amp; clearRowVisible()</t>
  </si>
  <si>
    <t>https://youtu.be/d-eyEgACxd0</t>
  </si>
  <si>
    <t>visibleRowNum_GridView</t>
  </si>
  <si>
    <t>adaptive_adaptiveThreshold_TableLayout</t>
  </si>
  <si>
    <t>autoFit_GridView</t>
  </si>
  <si>
    <t>GridView/footer</t>
  </si>
  <si>
    <t>inputType_expression_sumif_sumifs_gridView_column</t>
  </si>
  <si>
    <t>inputType="expression"
expression="sumif()"
expression="sumifs()"</t>
  </si>
  <si>
    <t>Perspective_Upgrade_SP4_Studio</t>
  </si>
  <si>
    <t>Perspective_Upgrade_SP6_Studio</t>
  </si>
  <si>
    <t>Studio SP6 - Perspective View Upgrade</t>
  </si>
  <si>
    <t>업그레이드된 SP6 스튜디오의 Perspective 설명.</t>
  </si>
  <si>
    <t>setColumnFilter_DataList</t>
  </si>
  <si>
    <t>DataList - setColumnFilter()</t>
  </si>
  <si>
    <t>setColumnFilter()</t>
  </si>
  <si>
    <t>https://youtu.be/XNrc84mNr0Q</t>
  </si>
  <si>
    <t xml:space="preserve">GridView 상에 표시할 행의 수를 지정. </t>
  </si>
  <si>
    <t>GridView/Merge</t>
  </si>
  <si>
    <t>mergeExcludeValue_GridView</t>
  </si>
  <si>
    <t xml:space="preserve">푸터 행에 조건부 합계(sumif &amp; sumif)를 표시. </t>
  </si>
  <si>
    <t>지정한 GridView 컬럼에 동적으로 필터를 적용.</t>
  </si>
  <si>
    <t>rowNumVisible_rowNumHeaderValue_rowNumWidth_rowNumBackgroundColor_GridView</t>
  </si>
  <si>
    <t>https://youtu.be/J9zuH4HJq4Q</t>
  </si>
  <si>
    <t>https://youtu.be/xiPsLhJgKrU</t>
  </si>
  <si>
    <t>gridView.column - inputType="expression" &amp; sumif &amp; sumifs</t>
  </si>
  <si>
    <t>/GridView/footer/inputType_expression_sumif_sumifs_gridView_column.xml</t>
  </si>
  <si>
    <t>https://youtu.be/mgx5RrhrgsU</t>
  </si>
  <si>
    <t>keyMoveEditMode_moveKeyEditMode_moveKeyEditModeAll_GridView</t>
  </si>
  <si>
    <t>editModeEvent_editModeEventIcon_GridView</t>
  </si>
  <si>
    <t>https://youtu.be/P-vOAmfu4mw</t>
  </si>
  <si>
    <t>gridView.column - inputType &amp; viewType</t>
  </si>
  <si>
    <t>viewType_inputType_gridView_column</t>
  </si>
  <si>
    <t>https://youtu.be/_wk3gTOxPt4</t>
  </si>
  <si>
    <t xml:space="preserve">병합에서 제외할 값을 지정. </t>
  </si>
  <si>
    <t>https://youtu.be/E_fmzz4D0Zo</t>
  </si>
  <si>
    <t>https://youtu.be/1K7Imek4BuA</t>
  </si>
  <si>
    <t>https://youtu.be/boSQiWkQzAM</t>
  </si>
  <si>
    <t>/_Studio/SP6/Perspective_Upgrade_SP6_Studio.pdf</t>
  </si>
  <si>
    <t>NA</t>
  </si>
  <si>
    <t>sortable_sortEvent_showSortableImage_sortedIconPosition_sortOrderReverse_GridView</t>
  </si>
  <si>
    <t>GridView/Filtering</t>
  </si>
  <si>
    <t>hideFilterIconOnNoData_GridView</t>
  </si>
  <si>
    <t>useTabTitleSelected</t>
  </si>
  <si>
    <t>setWindowTabOrder()</t>
  </si>
  <si>
    <t>useTabTitleSelected_TabControl</t>
  </si>
  <si>
    <t>setWindowTabOrder_WindowContainer</t>
  </si>
  <si>
    <t>ondragstart_ondragend_WindowContainer</t>
  </si>
  <si>
    <t>WindowContainer - setWindowTabOrder()</t>
  </si>
  <si>
    <t>ondragstart
ondragend</t>
  </si>
  <si>
    <t>_Studio</t>
  </si>
  <si>
    <t>getSubmissionList()</t>
  </si>
  <si>
    <t>/TabControl/useTabTitleSelected_TabControl.xml</t>
  </si>
  <si>
    <t>/WindowContainer/ondragstart_ondragend_WindowContainer.xml</t>
  </si>
  <si>
    <t xml:space="preserve">네임 레이어 상의 윈도우 순서를 변경. </t>
  </si>
  <si>
    <t xml:space="preserve">윈도우 드래깅이 시작될 때와 드래깅이 끝날 때 발생. </t>
  </si>
  <si>
    <t>화면의 (모든) submission 객체를 반환.</t>
  </si>
  <si>
    <t>탭을 선택할 경우 탭 선택 상태를 나타내는 문구를 툴팁으로 표시.</t>
  </si>
  <si>
    <t>$p/Submission</t>
  </si>
  <si>
    <t>https://youtu.be/iUZKEXx_XHE</t>
  </si>
  <si>
    <t>화면의 (모든) submission 객체를 확인.</t>
  </si>
  <si>
    <t>View_Submission_Debugging</t>
  </si>
  <si>
    <t>Debugging - View submission</t>
  </si>
  <si>
    <t>https://youtu.be/I-eHy0fIXIA</t>
  </si>
  <si>
    <t>https://youtu.be/yPEr8hbp158</t>
  </si>
  <si>
    <t>https://youtu.be/VtKnRjGQ-hI</t>
  </si>
  <si>
    <t>https://youtu.be/wZQxvUCXKz0</t>
  </si>
  <si>
    <t>setColumnStyle_GridView</t>
  </si>
  <si>
    <t>setCellStyle_GridView</t>
  </si>
  <si>
    <t>GridView - setColumnStyle()</t>
  </si>
  <si>
    <t>GridView - setCellStyle()</t>
  </si>
  <si>
    <t>setColumnStyle()</t>
  </si>
  <si>
    <t>setCellStyle()</t>
  </si>
  <si>
    <t xml:space="preserve">특정 컬럼의 스타일을 설정. </t>
  </si>
  <si>
    <t xml:space="preserve">특정 셀의 스타일을 설정. </t>
  </si>
  <si>
    <t>reinitialize()</t>
  </si>
  <si>
    <t>자신이 실행된 화면을 새로 고침. (Refresh하거나 Reload 수행.)</t>
  </si>
  <si>
    <t>sortable="true"
showSortableImage="true"
showSortableUseFilter
useFilter="true" (gridView.column)</t>
  </si>
  <si>
    <t>N/A</t>
  </si>
  <si>
    <t>https://youtu.be/6HH_y9jxOQA</t>
  </si>
  <si>
    <t>https://youtu.be/iz9ZqR_0hqs</t>
  </si>
  <si>
    <t>https://youtu.be/EPRchTEh4A0</t>
  </si>
  <si>
    <t>tooltipDisplay_tooltipShowAlways_tooltipItemLabel_tooltipFormatter_Radio</t>
  </si>
  <si>
    <t>https://youtu.be/PzislJWBh4I</t>
  </si>
  <si>
    <t>https://youtu.be/nQ-JJe8ku9U</t>
  </si>
  <si>
    <t xml:space="preserve">Radio의 각 선택 항목에 label 값 혹은 사용자 지정값을 툴팁으로 표시. </t>
  </si>
  <si>
    <t xml:space="preserve">사용자가 InputCalendar에 입력한 날짜를 검증. </t>
  </si>
  <si>
    <t>https://youtu.be/A--6TD6vDCM</t>
  </si>
  <si>
    <t>WebSquare.util - multipleDataListDownload() &amp; options.showProcess &amp; options.processMsg</t>
  </si>
  <si>
    <t>https://youtu.be/bTU7Ug8-lwc</t>
  </si>
  <si>
    <t>InputCalendar - validate() &amp; displaymessage &amp; invalidMessageFunc</t>
  </si>
  <si>
    <t>https://youtu.be/EnBiNklDR9U</t>
  </si>
  <si>
    <t>https://youtu.be/2WxgLVxA4Qs</t>
  </si>
  <si>
    <t>Group - setDisabled()</t>
  </si>
  <si>
    <t>내부 컴포넌트 비활성화</t>
  </si>
  <si>
    <t>setDisabled()</t>
  </si>
  <si>
    <t>GridView - columnMove</t>
  </si>
  <si>
    <t>Group - keepDisabled &amp; setDisabled()</t>
  </si>
  <si>
    <t>keepDisabled
setDisabled()</t>
  </si>
  <si>
    <t>내부 컴포넌트의 비활성화 상태 유지</t>
  </si>
  <si>
    <t>keepDisabled_setDisabled_Group</t>
  </si>
  <si>
    <t>setDisabled_Group</t>
  </si>
  <si>
    <t>/Group/keepDisabled_setDisabled_Group.xml</t>
  </si>
  <si>
    <t>/Group/setDisabled_Group.xml</t>
  </si>
  <si>
    <t>https://youtu.be/p0th8QQ66B4</t>
  </si>
  <si>
    <t>https://youtu.be/QCcRWMtbYlA</t>
  </si>
  <si>
    <t>AutoComplete - validate() &amp; mandatory</t>
  </si>
  <si>
    <t>https://youtu.be/aMj0Pxyc9Tc</t>
  </si>
  <si>
    <t>https://youtu.be/qiCJ4XSJ8tc</t>
  </si>
  <si>
    <t>https://youtu.be/3Awh08yofj4</t>
  </si>
  <si>
    <t>https://youtu.be/xYWDzyqORV8</t>
  </si>
  <si>
    <t>https://youtu.be/3oD-HTt34Hw</t>
  </si>
  <si>
    <t>https://youtu.be/cC8x3EOvoEM</t>
  </si>
  <si>
    <t>Sample</t>
  </si>
  <si>
    <t>Dubbing</t>
  </si>
  <si>
    <t>위치 (예제 파일 이름)</t>
  </si>
  <si>
    <t>Done 3</t>
  </si>
  <si>
    <t>InputBox - setMaxByteLength()</t>
  </si>
  <si>
    <t>최대화 버튼을 클릭하거나 윈도우 타일을 더블-클릭하여 최대화</t>
  </si>
  <si>
    <t>Editor</t>
  </si>
  <si>
    <t>window_maximization_WindowContainer</t>
  </si>
  <si>
    <t>keepDisabledTab_TabControl</t>
  </si>
  <si>
    <t>validate_mandatory_AutoComplete</t>
  </si>
  <si>
    <t>tooltipDisplay_tooltipShowAlways_tooltipFormatter_CheckBox</t>
  </si>
  <si>
    <t>columnMove_GridView</t>
  </si>
  <si>
    <t>validate_displaymessage_invalidMessage_invalidMessageFunc_SelectBox</t>
  </si>
  <si>
    <t>onviewchange_AutoComplete</t>
  </si>
  <si>
    <t>dataMapPath_changeMapPath_MapChart</t>
  </si>
  <si>
    <t>/MapChart/dataMapPath_changeMapPath_MapChart.pdf</t>
  </si>
  <si>
    <t>CKEditor에 입력할 수 있는 최대 글자 수 지정.</t>
  </si>
  <si>
    <t>/AutoComplete/onviewchange_AutoComplete.xml</t>
  </si>
  <si>
    <t>maxCharCount</t>
  </si>
  <si>
    <t>https://youtu.be/PTQJSjjumi4</t>
  </si>
  <si>
    <t>https://youtu.be/QBhIlGbTAFE</t>
  </si>
  <si>
    <t>stopMinimizeOnNameLayer</t>
  </si>
  <si>
    <t>stopMinimizeOnNameLayer_WindowContainer</t>
  </si>
  <si>
    <t>https://youtu.be/2TI-A0_cbog</t>
  </si>
  <si>
    <t>Short</t>
  </si>
  <si>
    <t>Secret - validate() &amp; displaymessage &amp; invalidmessage &amp; invalidMessageFunc</t>
  </si>
  <si>
    <t>defaultDate_getDefaultDate_setDefaultDate_InputCalendar</t>
  </si>
  <si>
    <t>https://youtu.be/JLiEwelGx04</t>
  </si>
  <si>
    <t>WindowContainer - createWindow()</t>
  </si>
  <si>
    <t>createWindow_WindowContainer</t>
  </si>
  <si>
    <t>https://youtu.be/eVVuQtrCb0I</t>
  </si>
  <si>
    <t>InputCalendar - defaultDate &amp; getDefaultDate() &amp; setDefaultDate()</t>
  </si>
  <si>
    <t>https://youtu.be/xSTHrWtyIDk</t>
  </si>
  <si>
    <t>inputType_select_gridView_column</t>
  </si>
  <si>
    <t>gridView.column - inputType="select"</t>
  </si>
  <si>
    <t>GridView - advancedExcelUpload() &amp; options.type</t>
  </si>
  <si>
    <t>cancelButtonHide_InputCalendar</t>
  </si>
  <si>
    <t>cancelButtonShow_InputCalendar</t>
  </si>
  <si>
    <t>InputCalendar - cancelButtonShow &amp; calendarValueType</t>
  </si>
  <si>
    <t>InputCalendar - cancelButtonHide &amp; calendarValueType</t>
  </si>
  <si>
    <t>calendarValueType="yearMonthDate"인 경우 취소 버튼 표시하기.</t>
  </si>
  <si>
    <t xml:space="preserve">calendarValueType 속성이 "yearMonthDate"를 제외한 나머지인 경우, 취소 버튼 숨기기. </t>
  </si>
  <si>
    <t>getCurrentGridStyle_setGridStyle_GridView</t>
  </si>
  <si>
    <t>GridView - getCurrentGridStyle() &amp; setGridStyle()</t>
  </si>
  <si>
    <t>getCurrentGridStyle()
setGridStyle()</t>
  </si>
  <si>
    <t>cancelButtonHide="true"
calendarValueType</t>
  </si>
  <si>
    <t>cancelButtonShow="true"
calendarValueType="yearMonthDate"</t>
  </si>
  <si>
    <t>/InputCalendar/cancelButtonHide_InputCalendar.xml</t>
  </si>
  <si>
    <t>/InputCalendar/cancelButtonShow_InputCalendar.xml</t>
  </si>
  <si>
    <t xml:space="preserve">현재 GridView의 상태를 확인하고, 지정한 상태로 GridView를 그리기. </t>
  </si>
  <si>
    <t>https://youtu.be/B8Nbvp_CF_E</t>
  </si>
  <si>
    <t>https://youtu.be/rUBZ2EwvUpM</t>
  </si>
  <si>
    <t>https://youtu.be/MrfVKex3yE4</t>
  </si>
  <si>
    <t>validate_displaymessage_invalidMessage_invalidMessageFunc_Secret</t>
  </si>
  <si>
    <t>FusionChart</t>
  </si>
  <si>
    <t>DataList - getFilteredColData() &amp; getColData()</t>
  </si>
  <si>
    <t>useCtrlOnMultisort_GridView</t>
  </si>
  <si>
    <t>https://youtu.be/ghQHUfvTGEc</t>
  </si>
  <si>
    <t>https://youtu.be/CfSolomJuKI</t>
  </si>
  <si>
    <t>GridView - setColumnBackgroundColor() &amp; getColumnBackgroundColor()</t>
  </si>
  <si>
    <t>GridView - setColumnColor() &amp; getColumnColor()</t>
  </si>
  <si>
    <t>GridView - setCellColor() &amp; getCellColor()</t>
  </si>
  <si>
    <t>GridView 특정 컬럼의 배경색 설정 및 확인.</t>
  </si>
  <si>
    <t>DataList - setData() &amp; setJSON() &amp; setXML()</t>
  </si>
  <si>
    <t>https://youtu.be/TkJHyMY6jSc</t>
  </si>
  <si>
    <t>WidgetContainer 내부의 위젯을 이동하고 리사이징.</t>
  </si>
  <si>
    <t>InputBox - validate() &amp; displaymessage &amp; invalidmessage &amp; invalidMessageFunc</t>
  </si>
  <si>
    <t>https://youtu.be/JCY4DR0ciHk</t>
  </si>
  <si>
    <t xml:space="preserve">사용자가 InputBox에 입력한 데이터를 검증. </t>
  </si>
  <si>
    <t>https://youtu.be/gqBg2j5qXPY</t>
  </si>
  <si>
    <t xml:space="preserve">사용자가 Radio에서 선택한 데이터를 검증. </t>
  </si>
  <si>
    <t>setMaxByteLength_InputBox</t>
  </si>
  <si>
    <t>change Type_FusionChart</t>
  </si>
  <si>
    <t>setColumnBackgroundColor_getColumnBackgroundColor_GridView</t>
  </si>
  <si>
    <t>setColumnColor_getColumnColor_GridView</t>
  </si>
  <si>
    <t>setCellColor_getCellColor_GridView</t>
  </si>
  <si>
    <t xml:space="preserve">WidgetContainer - Move and resize widgets </t>
  </si>
  <si>
    <t>Radio - validate() &amp; displaymessage &amp; invalidmessage&amp; invalidMessageFunc</t>
  </si>
  <si>
    <t>markerDefiner_markerClass_markerClassDefiner_MapChart</t>
  </si>
  <si>
    <t>MapChart - markerDefiner &amp; markerClass &amp;  markerClassDefiner</t>
  </si>
  <si>
    <t>지역명 위에 마커를 표시할지 결정하고 해당 마커에 적용할 스타일을 설정.</t>
  </si>
  <si>
    <t>inputType_calendar_pickerType_fixPickerStatus_gridView_column</t>
  </si>
  <si>
    <t>markerDefiner
markerClass
markerClassDefiner</t>
  </si>
  <si>
    <t>inputType="calendar"
pickerType
fixPickerStatus</t>
  </si>
  <si>
    <t xml:space="preserve">inputType=“calendar” 컬럼의 연도와 월 선택 방식 설정. </t>
  </si>
  <si>
    <t>차트 타입을 변경.</t>
  </si>
  <si>
    <t>GridView 특정 컬럼의 글자 색 설정 및 확인.</t>
  </si>
  <si>
    <t xml:space="preserve">GridView 특정 셀의 글자 색 설정 및 확인. </t>
  </si>
  <si>
    <t xml:space="preserve">GridView 특정 행의 글자 색 설정 및 확인. </t>
  </si>
  <si>
    <t>https://youtu.be/tWLwvlwZW5Q</t>
  </si>
  <si>
    <t>FusionChart - changeType()</t>
  </si>
  <si>
    <t>https://youtu.be/nyXDiCfCgc8</t>
  </si>
  <si>
    <t>resetButtonShow</t>
  </si>
  <si>
    <t>resetButtonShow_InputCalendar</t>
  </si>
  <si>
    <t>placeholder_setPlaceholder_Editor</t>
  </si>
  <si>
    <t>InputCalendar - resetButtonShow</t>
  </si>
  <si>
    <t>Editor - placeholder &amp; setPlaceholder()</t>
  </si>
  <si>
    <t xml:space="preserve">날짜 선택을 초기화하는 버튼을 표시. </t>
  </si>
  <si>
    <t>placeholder 텍스트를 설정.</t>
  </si>
  <si>
    <t>/FusionChart/changeType_FusionChart.xml</t>
  </si>
  <si>
    <t>/MapChart/markerDefiner_markerClass_markerClassDefiner_MapChart.xml</t>
  </si>
  <si>
    <t>https://youtu.be/wKSARWUQoI4</t>
  </si>
  <si>
    <t>/GridView/inputType/inputType_calendar_pickerType_fixPickerStatus_gridView_column.xml</t>
  </si>
  <si>
    <t>changeType()</t>
  </si>
  <si>
    <t>setColumnBackgroundColor() getColumnBackgroundColor()</t>
  </si>
  <si>
    <t>setColumnColor() 
getColumnColor()</t>
  </si>
  <si>
    <t>setCellColor() 
getCellColor()</t>
  </si>
  <si>
    <t>placeholder 
setPlaceholder()</t>
  </si>
  <si>
    <t>https://youtu.be/v9XqrXxDW60</t>
  </si>
  <si>
    <t>https://youtu.be/diWw0lLhNCs</t>
  </si>
  <si>
    <t>https://youtu.be/P7KKscs83Jo</t>
  </si>
  <si>
    <t>https://youtu.be/Wty0OZuJkK4</t>
  </si>
  <si>
    <t>/Editor/placeholder_setPlaceholder_Editor.xml</t>
  </si>
  <si>
    <t xml:space="preserve">최대 바이트 길이(maxByteLength)를 설정하거나 초기화. </t>
  </si>
  <si>
    <t>setMaxByteLength()
maxByteLength</t>
  </si>
  <si>
    <t>/InputBox/setMaxByteLength_InputBox.xml</t>
  </si>
  <si>
    <t>/InputCalendar/resetButtonShow_InputCalendar.xml</t>
  </si>
  <si>
    <t>https://youtu.be/Cn2MzrsuRXk</t>
  </si>
  <si>
    <t>https://youtu.be/I7r84Vfxu2U</t>
  </si>
  <si>
    <t>https://youtu.be/f3-ihvQ7SPo</t>
  </si>
  <si>
    <t>rowNumVisible_rowStatusVisible_GridView</t>
  </si>
  <si>
    <t>getFilteredColData_getColData_DataList</t>
  </si>
  <si>
    <t>setData_setJSON_setXML_DataList</t>
  </si>
  <si>
    <t>addWidgets_WidgetContainer</t>
  </si>
  <si>
    <t>move_resize_widgets_WidgetContainer</t>
  </si>
  <si>
    <t>validate_displaymessage_invalidMessage_invalidMessageFunc_InputBox</t>
  </si>
  <si>
    <t>validate_displaymessage_invalidMessage_invalidMessageFunc_Radio</t>
  </si>
  <si>
    <t>setRowColor_getRowColor_GridView</t>
  </si>
  <si>
    <t>setRowColor()
getRowColor()</t>
  </si>
  <si>
    <t>highlightSelectedWeek_Calendar</t>
  </si>
  <si>
    <t>nextDayThreshold_ScheduleCalendar</t>
  </si>
  <si>
    <t>exportWidgets_removeWidgetsAll_WidgetContainer</t>
  </si>
  <si>
    <t>https://youtu.be/BOpVAFxToUI</t>
  </si>
  <si>
    <t xml:space="preserve">행 번호 및 행 상태(추가, 수정, 삭제)를 아이콘으로 표시.  </t>
  </si>
  <si>
    <t>https://youtu.be/8fboLD_cBqk</t>
  </si>
  <si>
    <t>선택한 날짜가 속한 주를 다른 색으로 표시.</t>
  </si>
  <si>
    <t>ScheduleCalendar - nextDayThreshold</t>
  </si>
  <si>
    <t>https://youtu.be/eccEEjoAVnc</t>
  </si>
  <si>
    <t>스케줄의 마지막 날짜를 표시하는 기준을 설정.</t>
  </si>
  <si>
    <t>WidgetContainer - exportWidgets() &amp; removeWidgetsAll()</t>
  </si>
  <si>
    <t xml:space="preserve">현재 생성된 모든 위젯을 반환하거나 삭제.  
</t>
  </si>
  <si>
    <t>gridView.column - inputType="checkbox" &amp; inputType="select"</t>
  </si>
  <si>
    <t>insertRow_removeRows_DataList</t>
  </si>
  <si>
    <t>https://youtu.be/kiyeMLD5PNs</t>
  </si>
  <si>
    <t>DataList - insertRow() &amp; removeRows()</t>
  </si>
  <si>
    <t>https://youtu.be/_TfJtScLtoQ</t>
  </si>
  <si>
    <t>Editor - getInnerText()</t>
  </si>
  <si>
    <t>Editor - getText()</t>
  </si>
  <si>
    <t>Editor - getHTML()</t>
  </si>
  <si>
    <t>getCheckedIndex()
getCheckedData()
getCheckedJSON()
getCheckedXML()
inputType="checkbox" (gridView.column)
inputType="radio" (gridView.column)</t>
  </si>
  <si>
    <t>https://youtu.be/3HiSk4YkkT4</t>
  </si>
  <si>
    <t>GridView - getCheckedXXX()</t>
  </si>
  <si>
    <t xml:space="preserve">선택된 행들의 인덱스, 혹은 정보를 XML, 스트링, JSON 형식으로 반환. 
</t>
  </si>
  <si>
    <t>AutoComplete - BindItemSet &amp; allOption &amp; chooseOption &amp; chooseOptionLabel</t>
  </si>
  <si>
    <t>BindItemSet_CheckBox</t>
  </si>
  <si>
    <t>BindItemSet_allOption_chooseOption_chooseOptionLabel_AutoComplete</t>
  </si>
  <si>
    <t>BindItemSet
allOption
chooseOption
chooseOptionLabel</t>
  </si>
  <si>
    <t>https://youtu.be/ErLyI5k1OGs</t>
  </si>
  <si>
    <t>DataList와 바인딩하여 선택 항목을 설정.</t>
  </si>
  <si>
    <t>onselected 
onitemclick</t>
  </si>
  <si>
    <t>CheckBox - BindItemSet</t>
  </si>
  <si>
    <t>https://youtu.be/NFAR0O2QvRI</t>
  </si>
  <si>
    <t>https://youtu.be/-ES98SoWXIg</t>
  </si>
  <si>
    <t>CheckComboBox - BindItemSet &amp; allOption &amp; chooseOption &amp; chooseOptionLabel</t>
  </si>
  <si>
    <t>CheckComboBox - displayMode &amp; delimiter</t>
  </si>
  <si>
    <t>BindItemSet_SelectBox</t>
  </si>
  <si>
    <t>https://youtu.be/6ft57Ht88Ok</t>
  </si>
  <si>
    <t xml:space="preserve">label, value, delimiter를 이용하여 선택 항목을 표시하는 방법을 설정. 
</t>
  </si>
  <si>
    <t>SelectBox - displayMode &amp; delimiter</t>
  </si>
  <si>
    <t>https://youtu.be/o8HblbrCE7Q</t>
  </si>
  <si>
    <t>AutoComplete - displayMode &amp; delimiter</t>
  </si>
  <si>
    <t>https://youtu.be/lM0VvDGoYHI</t>
  </si>
  <si>
    <t>MultiSelect - BindItemSet</t>
  </si>
  <si>
    <t>https://youtu.be/mpAilOETc0U</t>
  </si>
  <si>
    <t>InputBox - setValue() &amp; getValue()</t>
  </si>
  <si>
    <t>https://youtu.be/uwM_6AqWc9Q</t>
  </si>
  <si>
    <t>SelectBox - BindItemSet</t>
  </si>
  <si>
    <t>https://youtu.be/GlYQxaAXA2k</t>
  </si>
  <si>
    <t>DataList - setJSON()</t>
  </si>
  <si>
    <t>https://youtu.be/5iI3EWzctyg</t>
  </si>
  <si>
    <t>Radio - BindItemSet &amp; SpanDirection &amp; SpanCount &amp; cols &amp; rows</t>
  </si>
  <si>
    <t>BindItemSet
cols
rows</t>
  </si>
  <si>
    <t>https://youtu.be/VzIe7dhYnCs</t>
  </si>
  <si>
    <t>$p.executeSubmission()</t>
  </si>
  <si>
    <t>https://youtu.be/_-_BlE40I2Q</t>
  </si>
  <si>
    <t>displayMode_delimiter_AutoComplete</t>
  </si>
  <si>
    <t>BindItemSet_allOption_chooseOption_chooseOptionLabel_CheckComboBox</t>
  </si>
  <si>
    <t>displayMode_delimiter_CheckComboBox</t>
  </si>
  <si>
    <t>displayMode_delimiter_SelectBox</t>
  </si>
  <si>
    <t>setValue_getValue_InputBox</t>
  </si>
  <si>
    <t>getCheckedXXX_Gridview</t>
  </si>
  <si>
    <t>BindItemSet_MultiSelect</t>
  </si>
  <si>
    <t>inputType_checkbox_select_gridView_column</t>
  </si>
  <si>
    <t>showSortableUseFilter_GridView</t>
  </si>
  <si>
    <t>introduction_DataList</t>
  </si>
  <si>
    <t>DataList - Introduction</t>
  </si>
  <si>
    <t>https://youtu.be/WF4TOcHZCxI</t>
  </si>
  <si>
    <t>addTab()
$p.getParameter()</t>
  </si>
  <si>
    <t>https://youtu.be/Z2Mrdxt2uws</t>
  </si>
  <si>
    <t>https://youtu.be/XYuqgVugfEo</t>
  </si>
  <si>
    <t>setSrc()
$p.getParameter()</t>
  </si>
  <si>
    <t>https://youtu.be/FFOc-jYbgEw</t>
  </si>
  <si>
    <t>FloatingLayer</t>
  </si>
  <si>
    <t>useCloseButton_FloatingLayer</t>
  </si>
  <si>
    <t>FloatingLayer - useCloseButton</t>
  </si>
  <si>
    <t xml:space="preserve">닫기 버튼 사용 여부를 설정. </t>
  </si>
  <si>
    <t>/FloatingLayer/useCloseButton_FloatingLayer.xml</t>
  </si>
  <si>
    <t>useCloseButton</t>
  </si>
  <si>
    <t>getText_Editor</t>
  </si>
  <si>
    <t>getInnerText_Editor</t>
  </si>
  <si>
    <t>getHTML_Editor</t>
  </si>
  <si>
    <t xml:space="preserve">HTML 태그를 제외한 텍스트만 반환. </t>
  </si>
  <si>
    <t xml:space="preserve">HTML 태그와 텍스트를 모두 반환. </t>
  </si>
  <si>
    <t>getText()</t>
  </si>
  <si>
    <t>getInnerText()</t>
  </si>
  <si>
    <t>getHTML()</t>
  </si>
  <si>
    <t>isValidDate()</t>
  </si>
  <si>
    <t>WebSquare.date - isValidDate()</t>
  </si>
  <si>
    <t>setReadOnly()</t>
  </si>
  <si>
    <t>GridView - setReadOnly()</t>
  </si>
  <si>
    <t xml:space="preserve">readOnly 속성을 GridView 전체, 혹은 특정 컬럼, 행, 셀에 대해 동적으로 설정. </t>
  </si>
  <si>
    <t>https://youtu.be/oWfHc9LwxGQ</t>
  </si>
  <si>
    <t xml:space="preserve">입력된 텍스트를 개행 문자를 포함하여 반환. </t>
  </si>
  <si>
    <t>/Editor/getInnerText_Editor.xml</t>
  </si>
  <si>
    <t>https://youtu.be/xwjp0Oc0Cns</t>
  </si>
  <si>
    <t>getAllFilteredJSON_DataList</t>
  </si>
  <si>
    <t>setReadOnly_GridView</t>
  </si>
  <si>
    <t>isValidDate_WebSquare_date</t>
  </si>
  <si>
    <t>DataList - getAllFilteredJSON()</t>
  </si>
  <si>
    <t>날짜의 유효성을 검증하고, 유효하지 않을 경우 그 결과를 얼럿으로 표시.</t>
  </si>
  <si>
    <t>/_WebSquare.date/isValidDate_WebSquare_date.xml</t>
  </si>
  <si>
    <t>https://youtu.be/E1P78YjB7c8</t>
  </si>
  <si>
    <t>GridView/Dragging</t>
  </si>
  <si>
    <t>/GridView/_General/setReadOnly_GridView.xml</t>
  </si>
  <si>
    <t>https://youtu.be/CaUt7NoNdqM</t>
  </si>
  <si>
    <t>getAllFilteredJSON()</t>
  </si>
  <si>
    <t>dataDragDropSelf_GridView</t>
  </si>
  <si>
    <t>includeMinimizeWindow_WindowContainer</t>
  </si>
  <si>
    <t>useNoResultMessageURL_noResultMessageURL_GridView</t>
  </si>
  <si>
    <t>/Editor/getText_Editor.xml</t>
  </si>
  <si>
    <t>/Editor/getHTML_Editor.xml</t>
  </si>
  <si>
    <t>https://youtu.be/s6tb7fxCdsI</t>
  </si>
  <si>
    <t>https://youtu.be/67v1qXsv2Rw</t>
  </si>
  <si>
    <t>dataDragDropSelf</t>
  </si>
  <si>
    <t>최소화된 윈도우들도 정렬해서 표시.</t>
  </si>
  <si>
    <t>includeMinimizedWindow</t>
  </si>
  <si>
    <t>/WindowContainer/includeMinimizeWindow_WindowContainer.xml</t>
  </si>
  <si>
    <t>/GridView/Dragging/dataDragDropSelf_GridView.xml</t>
  </si>
  <si>
    <t xml:space="preserve">동일한 GridView 내에서만 드래그-앤-드롭 동작을 허용. </t>
  </si>
  <si>
    <t>https://youtu.be/RpqcN6rku28</t>
  </si>
  <si>
    <t>https://youtu.be/0sXLZTHPR9E</t>
  </si>
  <si>
    <t>rowNumRowMouseOverColor_GridView</t>
  </si>
  <si>
    <t xml:space="preserve">행 번호 표시 컬럼의 셀에 마우스-오버 색상 적용. </t>
  </si>
  <si>
    <t>rowMouseOver
rowMouseOverColor
rowNumRowMouseOverColor</t>
  </si>
  <si>
    <t>useShiftKey
useShiftKeyCheck</t>
  </si>
  <si>
    <t>inputType="checkbox" 컬럼에서 Shift 키를 사용하여 여러 개의 셀들을 한번에 선택.</t>
  </si>
  <si>
    <t>inputType_checkbox_useShiftKey_useShiftKeyCheck_GridView</t>
  </si>
  <si>
    <t>https://youtu.be/i5NXh_Ymgx8</t>
  </si>
  <si>
    <t>https://youtu.be/pSTt1MH9vAY</t>
  </si>
  <si>
    <t>useNoResultMessageURL
noResultMessageURL</t>
  </si>
  <si>
    <t xml:space="preserve">GridView에 데이터가 없을 경우, 특정 화면 파일을 표시. </t>
  </si>
  <si>
    <t>https://youtu.be/Wp3dO7_7RkE</t>
  </si>
  <si>
    <t>Studio - Dragging and dropping components</t>
  </si>
  <si>
    <t>https://youtu.be/OZehI_ObKQE</t>
  </si>
  <si>
    <t xml:space="preserve">드래그-앤-드롭으로 컴포넌트를 이동하거나 리사이징. </t>
  </si>
  <si>
    <t>Studio - Gridlines &amp; Ruler &amp; Guides</t>
  </si>
  <si>
    <t>https://youtu.be/Jdev6Y5Xmg8</t>
  </si>
  <si>
    <t>Studio - WebSquare Search</t>
  </si>
  <si>
    <t>https://youtu.be/8tWUw6h6lnY</t>
  </si>
  <si>
    <t>눈금선, 눈금자, 안내선</t>
  </si>
  <si>
    <t>Studio - Palette View</t>
  </si>
  <si>
    <t xml:space="preserve">스튜디오의 Palette 뷰 설명. </t>
  </si>
  <si>
    <t>스튜디오의 Property 뷰 설명.</t>
  </si>
  <si>
    <t>스튜디오의 Perspective 설명.</t>
  </si>
  <si>
    <t>Palette_Upgrade_SP4_Studio</t>
  </si>
  <si>
    <t>https://youtu.be/7yz4luu-lfk</t>
  </si>
  <si>
    <t>https://youtu.be/PJYOFiFrXeA</t>
  </si>
  <si>
    <t xml:space="preserve">Studio - Property View </t>
  </si>
  <si>
    <t>Studio - Perspective View</t>
  </si>
  <si>
    <t>Studio - Outline View</t>
  </si>
  <si>
    <t>Outline_Studio</t>
  </si>
  <si>
    <t>https://youtu.be/JTCMjNt4jiM</t>
  </si>
  <si>
    <t>https://youtu.be/FGWFveND0Yo</t>
  </si>
  <si>
    <t>submenuSize_CheckComboBox</t>
  </si>
  <si>
    <t>columnEllipsis_CheckComboBox</t>
  </si>
  <si>
    <t>CheckComboBox - submenuSize</t>
  </si>
  <si>
    <t>GridView/Events</t>
  </si>
  <si>
    <t>onheadermouseover_onheadermouseout_GridView</t>
  </si>
  <si>
    <t>submenuSize</t>
  </si>
  <si>
    <t>columnEllipsis
submenuSize</t>
  </si>
  <si>
    <t>선택 항목 목록의 너비 결정 방법을 설정.</t>
  </si>
  <si>
    <t>선택 항목의 (긴) 텍스트를 말 줄임표와 함께 표시.</t>
  </si>
  <si>
    <t>/CheckComboBox/columnEllipsis_CheckComboBox.xml</t>
  </si>
  <si>
    <t>https://youtu.be/mshwMU5eCQ4</t>
  </si>
  <si>
    <t>https://youtu.be/zF4H-9lkg20</t>
  </si>
  <si>
    <t>/CheckComboBox/submenuSize_CheckComboBox.xml</t>
  </si>
  <si>
    <t>_Studio/SP4</t>
  </si>
  <si>
    <t>_Studio/Common</t>
  </si>
  <si>
    <t>drag_n_drop_Studio</t>
  </si>
  <si>
    <t>gridlines_ruler_guides_Studio</t>
  </si>
  <si>
    <t>Property_Upgrade_SP4_Studio</t>
  </si>
  <si>
    <t>search_Studio</t>
  </si>
  <si>
    <t>setJSON_DataList</t>
  </si>
  <si>
    <t>/GridView/Events/onheadermouseover_onheadermouseout_GridView.xml</t>
  </si>
  <si>
    <t>https://youtu.be/scCOCdn5lLU</t>
  </si>
  <si>
    <t>onheadermouseover 
onheadermouseout</t>
  </si>
  <si>
    <t>setNodeClass_removeNodeClass_TreeView</t>
  </si>
  <si>
    <t>TreeView - setNodeClass()  &amp; removeNodeClass()</t>
  </si>
  <si>
    <t>setDataType_date_GridView</t>
  </si>
  <si>
    <t>GridView - setDataType() &amp; date</t>
  </si>
  <si>
    <t>GridView 컬럼의 dataType을 "date"로 변경하고 displayFormat을 지정.</t>
  </si>
  <si>
    <t>setDataType()
dataType="date"
displayFormat</t>
  </si>
  <si>
    <t>/GridView/_General/setDataType_date_GridView.xml</t>
  </si>
  <si>
    <t>https://youtu.be/fOV1CcG-ohE</t>
  </si>
  <si>
    <t>특정 노드에 지정한 스타일 클래스를 적용하거나 적용한 스타일 클래스를 해제.</t>
  </si>
  <si>
    <t>setNodeClass()
removeNodeClass()</t>
  </si>
  <si>
    <t>/TreeView/setNodeClass_removeNodeClass_TreeView.xml</t>
  </si>
  <si>
    <t>https://youtu.be/gWexCY9D70Y</t>
  </si>
  <si>
    <t>setFocusedCell_GridView</t>
  </si>
  <si>
    <t>GridView - setFocusedCell()</t>
  </si>
  <si>
    <t>setFocusedCell()</t>
  </si>
  <si>
    <t>지정한 셀로 포커스를 이동하거나 포커스를 추가.</t>
  </si>
  <si>
    <t>https://youtu.be/kNXNkiRxhWs</t>
  </si>
  <si>
    <t>static_absolute_drawing_mode_Studio</t>
  </si>
  <si>
    <t>help_perspective_Studio</t>
  </si>
  <si>
    <t>Studio - Getting Started</t>
  </si>
  <si>
    <t>https://youtu.be/1qLCx1rB4l8</t>
  </si>
  <si>
    <t>Studio - Help &amp; Perspective</t>
  </si>
  <si>
    <t>https://youtu.be/IyV5dRXMaQw</t>
  </si>
  <si>
    <t>Studio - Static &amp; Absolute Drawing Modes</t>
  </si>
  <si>
    <t>Studio - Drawing Components</t>
  </si>
  <si>
    <t>https://youtu.be/a-ZuCnKQaH4</t>
  </si>
  <si>
    <t>viewing_on_browsers_Studio</t>
  </si>
  <si>
    <t>drawing_components_Studio</t>
  </si>
  <si>
    <t>https://youtu.be/nWohH0g2gzY</t>
  </si>
  <si>
    <t>일반적인 컴포넌트 그리기 순서 설명.</t>
  </si>
  <si>
    <t>Studio - Viewing on Browsers</t>
  </si>
  <si>
    <t>https://youtu.be/8PUCBzRhGHg</t>
  </si>
  <si>
    <t>GridView - checkAll()</t>
  </si>
  <si>
    <t>install_Studio</t>
  </si>
  <si>
    <t>Studio - Installation</t>
  </si>
  <si>
    <t>https://youtu.be/sHSvMKUvME4</t>
  </si>
  <si>
    <t>WebSquare AI 스튜디오 설치 방법 설명.</t>
  </si>
  <si>
    <t>page_project_Studio</t>
  </si>
  <si>
    <t>Studio - Project &amp; Page Component</t>
  </si>
  <si>
    <t>openFileDialog_Upload</t>
  </si>
  <si>
    <t xml:space="preserve">웹스퀘어 AI 스튜디오 시작 후, 웹스퀘어 프로젝트 및 페이지 생성. </t>
  </si>
  <si>
    <t>https://youtu.be/ROf-Xqbg2TY</t>
  </si>
  <si>
    <t>checkAll_GridView</t>
  </si>
  <si>
    <t>adding_CSS_Design</t>
  </si>
  <si>
    <t>Design - Adding CSS</t>
  </si>
  <si>
    <t>https://youtu.be/OvGCDkFFZZQ</t>
  </si>
  <si>
    <t xml:space="preserve">CSS를 적용하는 3가지 방법. </t>
  </si>
  <si>
    <t>block_styling_Design</t>
  </si>
  <si>
    <t>/_Design/block_styling_Design.xml</t>
  </si>
  <si>
    <t>/_Design/adding_CSS_Design/</t>
  </si>
  <si>
    <t>Design - Block-level Element Styling</t>
  </si>
  <si>
    <t>https://youtu.be/Fri9OfVgPDQ</t>
  </si>
  <si>
    <t>블록 레벨 요소의 스타일링 팁.</t>
  </si>
  <si>
    <t>Design - margin &amp; padding</t>
  </si>
  <si>
    <t>https://youtu.be/m5nhn7-4_Vg</t>
  </si>
  <si>
    <t>float_overflow_Design</t>
  </si>
  <si>
    <t>Design - float &amp; overflow</t>
  </si>
  <si>
    <t>https://youtu.be/z39Up6VLbnY</t>
  </si>
  <si>
    <t>float 및 overflow 설명.</t>
  </si>
  <si>
    <t>/_Design/float_overflow_Design.xml</t>
  </si>
  <si>
    <t>/_Design/margin_padding_Design.xml</t>
  </si>
  <si>
    <t>fixedColumn_columnMove_fixedColumnNoMove_GridView</t>
  </si>
  <si>
    <t>틀 고정(fixedColumn)된 컬럼의 이동을 허용하거나 방지.</t>
  </si>
  <si>
    <t>fixedColumn
columnMove
fixedColumnNoMove</t>
  </si>
  <si>
    <t>https://youtu.be/CHgj4fpmYEQ</t>
  </si>
  <si>
    <t>visibleRowNum_setVisibleRowNum_CheckComboBox</t>
  </si>
  <si>
    <t>CheckComboBox - visibleRowNum &amp; setVisibleRowNum()</t>
  </si>
  <si>
    <t>선택 항목에 표시할 행수를 정적/동적으로 설정.</t>
  </si>
  <si>
    <t>/CheckComboBox/visibleRowNum_setVisibleRowNum_CheckComboBox.xml</t>
  </si>
  <si>
    <t>visibleRowNum
setVisibleRowNum()</t>
  </si>
  <si>
    <t>https://youtu.be/g2DnSjLK56k</t>
  </si>
  <si>
    <t>inputType=“checkbox” 컬럼의 체크 박스들을 모두 선택하거나 해제.</t>
  </si>
  <si>
    <t>/GridView/inputType/checkAll_GridView.xml</t>
  </si>
  <si>
    <t>inputType="checkbox"
checkAll()</t>
  </si>
  <si>
    <t>https://youtu.be/b1UcSFvlJMY</t>
  </si>
  <si>
    <t>TabControl - addTab() &amp; pageFrame</t>
  </si>
  <si>
    <t>WindowContainer - createWindow() &amp; pageFrame</t>
  </si>
  <si>
    <t>Page Component - Method</t>
  </si>
  <si>
    <t>method_Page_Component</t>
  </si>
  <si>
    <t>https://youtu.be/q5B8xYNWFJA</t>
  </si>
  <si>
    <t>Page Component에 메소드를 추가하고 PageFrame을 통해 접근.</t>
  </si>
  <si>
    <t>GridView - mergeCells &amp; mergeByColRec()</t>
  </si>
  <si>
    <t>addTab()
"frameMode" : "pageFrame"</t>
  </si>
  <si>
    <t>pageFrame_addTab_TabControl</t>
  </si>
  <si>
    <t>PageFrame 탭에 포함된 Page Component의 메소드에 직접 접근.</t>
  </si>
  <si>
    <t>https://youtu.be/2409hnwuHMU</t>
  </si>
  <si>
    <t>ScheduleCalendar - useFooterToolbar &amp; customButtonText &amp; customButtonClickFunction</t>
  </si>
  <si>
    <t>ScheduleCalendar - setHeaderBtn()</t>
  </si>
  <si>
    <t>DataMap - keepDataType</t>
  </si>
  <si>
    <t>DataList - keepDataType</t>
  </si>
  <si>
    <t>pageFrame_createWindow_WindowContainer</t>
  </si>
  <si>
    <t>createWindow()
"frameMode" : "pageFrame"</t>
  </si>
  <si>
    <t>PageFrame 윈도우에 포함된 Page Component의 메소드에 직접 접근.</t>
  </si>
  <si>
    <t>pageFramePopup에 포함된 Page Component의 메소드에 직접 접근.</t>
  </si>
  <si>
    <t>openPopup()
pageFramePopup</t>
  </si>
  <si>
    <t>https://youtu.be/RpgpUeBIo40</t>
  </si>
  <si>
    <t>https://youtu.be/4vfk-718Noc</t>
  </si>
  <si>
    <t>SelectBox - visibleRowNum &amp; setVisibleRowNum()</t>
  </si>
  <si>
    <t>visibleRowNum_setVisibleRowNum_SelectBox</t>
  </si>
  <si>
    <t>selectable_noUsePrompt_ScheduleCalendar</t>
  </si>
  <si>
    <t>ScheduleCalendar - selectable &amp; noUsePrompt</t>
  </si>
  <si>
    <t>/SelectBox/visibleRowNum_setVisibleRowNum_SelectBox.xml</t>
  </si>
  <si>
    <t>https://youtu.be/g4y3ooh8nxA</t>
  </si>
  <si>
    <t>GridView - advancedExcelDownload() &amp; options.headerRowHeight</t>
  </si>
  <si>
    <t>GridView/Excel</t>
  </si>
  <si>
    <t>advancedExcelDownload_headerRowHeight_GridView</t>
  </si>
  <si>
    <t>/GridView/Excel/advancedExcelDownload_headerRowHeight_GridView.xml</t>
  </si>
  <si>
    <t>advancedExcelDownload()
options.headerRowHeight</t>
  </si>
  <si>
    <t>https://youtu.be/yZ9l510_fec</t>
  </si>
  <si>
    <t>_Studio/ AI</t>
  </si>
  <si>
    <t>_Studio/AI</t>
  </si>
  <si>
    <t>textAlign_MultiSelect</t>
  </si>
  <si>
    <t>선택 항목 목록의 텍스트 정렬.</t>
  </si>
  <si>
    <t>/MultiSelect/textAlign_MultiSelect.xml</t>
  </si>
  <si>
    <t>https://inswave01.atlassian.net/wiki/download/attachments/1245441/textAlign_MultiSelect.xml?version=1&amp;modificationDate=1718584037574&amp;cacheVersion=1&amp;api=v2</t>
  </si>
  <si>
    <t>https://youtu.be/X-G338ffiQw</t>
  </si>
  <si>
    <t>textAlign</t>
  </si>
  <si>
    <t>https://inswave01.atlassian.net/wiki/download/attachments/1245459/dynamicCreate_$p_UDC.zip?version=1&amp;modificationDate=1663548551000&amp;cacheVersion=1&amp;api=v2</t>
  </si>
  <si>
    <t>https://inswave01.atlassian.net/wiki/download/attachments/1245459/reinitialize_$p.zip?version=1&amp;modificationDate=1689723346000&amp;cacheVersion=1&amp;api=v2</t>
  </si>
  <si>
    <t>https://inswave01.atlassian.net/wiki/download/attachments/1245459/dynamicCreate_$p.xml?version=1&amp;modificationDate=1648704148000&amp;cacheVersion=1&amp;api=v2</t>
  </si>
  <si>
    <t>https://inswave01.atlassian.net/wiki/download/attachments/1245459/getEventTarget_$p_WebSquare_util.xml?version=1&amp;modificationDate=1647586062000&amp;cacheVersion=1&amp;api=v2</t>
  </si>
  <si>
    <t>https://inswave01.atlassian.net/wiki/download/attachments/1245385/getAllPopupList_$p.mp4?version=2&amp;modificationDate=1672898919000&amp;cacheVersion=1&amp;api=v2</t>
  </si>
  <si>
    <t>https://inswave01.atlassian.net/wiki/download/attachments/1245385/getAllPopupWindowList_$p.zip?version=1&amp;modificationDate=1672902514000&amp;cacheVersion=1&amp;api=v2</t>
  </si>
  <si>
    <t>https://inswave01.atlassian.net/wiki/download/attachments/1245385/getParameter_$p_openPopup_$p.zip?version=1&amp;modificationDate=1648709818000&amp;cacheVersion=1&amp;api=v2</t>
  </si>
  <si>
    <t>https://inswave01.atlassian.net/wiki/download/attachments/1245385/getPopupWindow_$p.zip?version=1&amp;modificationDate=1655446662000&amp;cacheVersion=1&amp;api=v2</t>
  </si>
  <si>
    <t>https://inswave01.atlassian.net/wiki/download/attachments/1245385/2021%20-%2007%20$p%20(isPopUp).zip?version=1&amp;modificationDate=1625539263000&amp;cacheVersion=1&amp;api=v2</t>
  </si>
  <si>
    <t>https://inswave01.atlassian.net/wiki/download/attachments/1245385/2021%20-%2007%20$p%20(isWFramePopUp).zip?version=1&amp;modificationDate=1625554467000&amp;cacheVersion=1&amp;api=v2</t>
  </si>
  <si>
    <t>https://inswave01.atlassian.net/wiki/download/attachments/1245385/openPopup_$p.zip?version=1&amp;modificationDate=1654844550000&amp;cacheVersion=1&amp;api=v2</t>
  </si>
  <si>
    <t>https://inswave01.atlassian.net/wiki/download/attachments/1245385/openPopup_frameModal_$p.zip?version=1&amp;modificationDate=1637132197000&amp;cacheVersion=1&amp;api=v2</t>
  </si>
  <si>
    <t>https://inswave01.atlassian.net/wiki/download/attachments/1245385/openPopup__modal_$p.zip?version=1&amp;modificationDate=1637129135000&amp;cacheVersion=1&amp;api=v2</t>
  </si>
  <si>
    <t>https://inswave01.atlassian.net/wiki/download/attachments/1245385/openPopup_closeAction_$p.xml?version=1&amp;modificationDate=1648445352000&amp;cacheVersion=1&amp;api=v2</t>
  </si>
  <si>
    <t>https://inswave01.atlassian.net/wiki/download/attachments/1245385/openPopup_fixPosition_$p.xml?version=1&amp;modificationDate=1676351241000&amp;cacheVersion=1&amp;api=v2</t>
  </si>
  <si>
    <t>https://inswave01.atlassian.net/wiki/download/attachments/1245385/pageFramePopup_openPopup_$p.zip?version=1&amp;modificationDate=1717122157000&amp;cacheVersion=1&amp;api=v2</t>
  </si>
  <si>
    <t>https://inswave01.atlassian.net/wiki/download/attachments/1245385/getPopupWindowList_$p.zip?version=1&amp;modificationDate=1655447704000&amp;cacheVersion=1&amp;api=v2</t>
  </si>
  <si>
    <t>https://inswave01.atlassian.net/wiki/download/attachments/1245453/executeSubmission_$p.zip?version=1&amp;modificationDate=1652163991000&amp;cacheVersion=1&amp;api=v2</t>
  </si>
  <si>
    <t>https://inswave01.atlassian.net/wiki/download/attachments/1245453/executeSubmission_$p_DataList.zip?version=1&amp;modificationDate=1652683901000&amp;cacheVersion=1&amp;api=v2</t>
  </si>
  <si>
    <t>https://inswave01.atlassian.net/wiki/download/attachments/1245453/executeSubmission_$p_DataList_GridView.zip?version=1&amp;modificationDate=1652235109000&amp;cacheVersion=1&amp;api=v2</t>
  </si>
  <si>
    <t>https://inswave01.atlassian.net/wiki/download/attachments/1245453/executeSubmission_$p_DataList_Radio_SelectBox.zip?version=1&amp;modificationDate=1652748395000&amp;cacheVersion=1&amp;api=v2</t>
  </si>
  <si>
    <t>https://inswave01.atlassian.net/wiki/download/attachments/1245453/executeSubmission_$p_DataMap.zip?version=1&amp;modificationDate=1652751038000&amp;cacheVersion=1&amp;api=v2</t>
  </si>
  <si>
    <t>https://inswave01.atlassian.net/wiki/download/attachments/1245453/getSubmissionList_$p.zip?version=1&amp;modificationDate=1688434974000&amp;cacheVersion=1&amp;api=v2</t>
  </si>
  <si>
    <t>https://inswave01.atlassian.net/wiki/download/attachments/1245457/enterKeyPanelToggle_Accordion.xml?version=1&amp;modificationDate=1653436280000&amp;cacheVersion=1&amp;api=v2</t>
  </si>
  <si>
    <t>https://inswave01.atlassian.net/wiki/download/attachments/1245457/getOpenPanelInfo_Accordion.xml?version=1&amp;modificationDate=1656899366000&amp;cacheVersion=1&amp;api=v2</t>
  </si>
  <si>
    <t>https://inswave01.atlassian.net/wiki/download/attachments/1245457/getOpenPanelListInfo_Accordion.xml?version=1&amp;modificationDate=1656899432000&amp;cacheVersion=1&amp;api=v2</t>
  </si>
  <si>
    <t>https://inswave01.atlassian.net/wiki/download/attachments/1245457/independentPanel_Accordion.xml?version=1&amp;modificationDate=1666162963000&amp;cacheVersion=1&amp;api=v2</t>
  </si>
  <si>
    <t>https://inswave01.atlassian.net/wiki/download/attachments/1245457/2021%20-%2008%20Accordion%20(unCollapseAll).xml?version=1&amp;modificationDate=1629703193000&amp;cacheVersion=1&amp;api=v2</t>
  </si>
  <si>
    <t>https://inswave01.atlassian.net/wiki/download/attachments/1245417/autoFocus_nextTabID_AutoComplete.xml?version=1&amp;modificationDate=1653457370000&amp;cacheVersion=1&amp;api=v2</t>
  </si>
  <si>
    <t>https://inswave01.atlassian.net/wiki/download/attachments/1245417/2021%20-%2007%20AutoComplete%20(caseSensitive%20search%20useKeywordHighlight).xml?version=1&amp;modificationDate=1625117974000&amp;cacheVersion=1&amp;api=v2</t>
  </si>
  <si>
    <t>https://inswave01.atlassian.net/wiki/download/attachments/1245417/displayMode_delimiter_AutoComplete.xml?version=1&amp;modificationDate=1652063325000&amp;cacheVersion=1&amp;api=v2</t>
  </si>
  <si>
    <t>https://inswave01.atlassian.net/wiki/download/attachments/1245417/displayModeSync_AutoComplete.xml?version=1&amp;modificationDate=1661129701000&amp;cacheVersion=1&amp;api=v2</t>
  </si>
  <si>
    <t>https://inswave01.atlassian.net/wiki/download/attachments/1245417/enableColumn_enableColumnFalseValue_AutoComplete.xml?version=1&amp;modificationDate=1641862047000&amp;cacheVersion=1&amp;api=v2</t>
  </si>
  <si>
    <t>https://inswave01.atlassian.net/wiki/download/attachments/1245417/nextTabByEnter_nextTabID_AutoComplete.xml?version=1&amp;modificationDate=1638939703000&amp;cacheVersion=1&amp;api=v2</t>
  </si>
  <si>
    <t>https://inswave01.atlassian.net/wiki/download/attachments/1245417/onchange_AutoComplete.xml?version=2&amp;modificationDate=1647585798000&amp;cacheVersion=1&amp;api=v2</t>
  </si>
  <si>
    <t>https://inswave01.atlassian.net/wiki/download/attachments/1245417/oneditenter_AutoComplete.xml?version=1&amp;modificationDate=1638771922000&amp;cacheVersion=1&amp;api=v2</t>
  </si>
  <si>
    <t>https://inswave01.atlassian.net/wiki/download/attachments/1245417/oneditkeyup_AutoComplete.xml?version=1&amp;modificationDate=1638771990000&amp;cacheVersion=1&amp;api=v2</t>
  </si>
  <si>
    <t>https://inswave01.atlassian.net/wiki/download/attachments/1245417/2021%20-%2006%20AutoComplete%20(onselected).xml?version=1&amp;modificationDate=1624842312000&amp;cacheVersion=1&amp;api=v2</t>
  </si>
  <si>
    <t>https://inswave01.atlassian.net/wiki/download/attachments/1245417/onviewchange_AutoComplete.xml?version=1&amp;modificationDate=1693275616000&amp;cacheVersion=1&amp;api=v2</t>
  </si>
  <si>
    <t>https://inswave01.atlassian.net/wiki/download/attachments/1245417/preventKeyList_AutoComplete.xml?version=1&amp;modificationDate=1640221126000&amp;cacheVersion=1&amp;api=v2</t>
  </si>
  <si>
    <t>https://inswave01.atlassian.net/wiki/download/attachments/1245417/setDelimiter_AutoComplete.xml?version=1&amp;modificationDate=1676955319000&amp;cacheVersion=1&amp;api=v2</t>
  </si>
  <si>
    <t>https://inswave01.atlassian.net/wiki/download/attachments/1245417/setDisplayMode_AutoComplete.xml?version=1&amp;modificationDate=1676955360000&amp;cacheVersion=1&amp;api=v2</t>
  </si>
  <si>
    <t>https://inswave01.atlassian.net/wiki/download/attachments/1245417/setEnableColumn_AutoComplete.xml?version=2&amp;modificationDate=1642140815000&amp;cacheVersion=1&amp;api=v2</t>
  </si>
  <si>
    <t>https://inswave01.atlassian.net/wiki/download/attachments/1245417/showChooseOption_changeChooseOption_AutoComplete.xml?version=1&amp;modificationDate=1661133431000&amp;cacheVersion=1&amp;api=v2</t>
  </si>
  <si>
    <t>https://inswave01.atlassian.net/wiki/download/attachments/1245417/validate_mandatory_AutoComplete.xml?version=1&amp;modificationDate=1653461784000&amp;cacheVersion=1&amp;api=v2</t>
  </si>
  <si>
    <t>https://inswave01.atlassian.net/wiki/download/attachments/1245417/visibleColumn_visibleColumnFalseValue_setVisibleColumn_AutoComplete.xml?version=1&amp;modificationDate=1641882666000&amp;cacheVersion=1&amp;api=v2</t>
  </si>
  <si>
    <t>https://inswave01.atlassian.net/wiki/download/attachments/1245435/displayDayType_Calendar.xml?version=1&amp;modificationDate=1638152553000&amp;cacheVersion=1&amp;api=v2</t>
  </si>
  <si>
    <t>https://inswave01.atlassian.net/wiki/download/attachments/1245435/highlightSelectedWeek_Calendar.xml?version=1&amp;modificationDate=1652857164000&amp;cacheVersion=1&amp;api=v2</t>
  </si>
  <si>
    <t>https://inswave01.atlassian.net/wiki/download/attachments/1245435/onmonthselect_onyearselect_Calendar.xml?version=1&amp;modificationDate=1649308024000&amp;cacheVersion=1&amp;api=v2</t>
  </si>
  <si>
    <t>https://inswave01.atlassian.net/wiki/download/attachments/1245435/removeHoliday_Calendar.xml?version=1&amp;modificationDate=1646620015000&amp;cacheVersion=1&amp;api=v2</t>
  </si>
  <si>
    <t>https://inswave01.atlassian.net/wiki/download/attachments/1245435/setHoliday_Calendar.xml?version=1&amp;modificationDate=1646617982000&amp;cacheVersion=1&amp;api=v2</t>
  </si>
  <si>
    <t>https://inswave01.atlassian.net/wiki/download/attachments/1245435/setHolidayRef_Calendar.xml?version=1&amp;modificationDate=1646618081000&amp;cacheVersion=1&amp;api=v2</t>
  </si>
  <si>
    <t>https://inswave01.atlassian.net/wiki/download/attachments/1245435/visibleWeekNum_Calendar.xml?version=1&amp;modificationDate=1644802598000&amp;cacheVersion=1&amp;api=v2</t>
  </si>
  <si>
    <t>https://inswave01.atlassian.net/wiki/download/attachments/1245413/BindItemSet_CheckBox.zip?version=1&amp;modificationDate=1652058396000&amp;cacheVersion=1&amp;api=v2</t>
  </si>
  <si>
    <t>https://inswave01.atlassian.net/wiki/download/attachments/1245413/enableColumn_enableColumnFalseValue_CheckBox.xml?version=1&amp;modificationDate=1643325394000&amp;cacheVersion=1&amp;api=v2</t>
  </si>
  <si>
    <t>https://inswave01.atlassian.net/wiki/download/attachments/1245413/setEnableColumn_CheckBox.xml?version=1&amp;modificationDate=1643863539000&amp;cacheVersion=1&amp;api=v2</t>
  </si>
  <si>
    <t>https://inswave01.atlassian.net/wiki/download/attachments/1245413/tooltipDisplay_tooltipShowAlways_tooltipFormatter_CheckBox.xml?version=1&amp;modificationDate=1653463350000&amp;cacheVersion=1&amp;api=v2</t>
  </si>
  <si>
    <t>https://inswave01.atlassian.net/wiki/download/attachments/1245413/visibleColumn_visibleColumnFalseValue_setVisibleColumn_CheckBox.xml?version=1&amp;modificationDate=1642059276000&amp;cacheVersion=1&amp;api=v2</t>
  </si>
  <si>
    <t>https://inswave01.atlassian.net/wiki/download/attachments/1245423/BindItemSet_allOption_chooseOption_chooseOptionLabel_CheckComboBox.zip?version=1&amp;modificationDate=1652059575000&amp;cacheVersion=1&amp;api=v2</t>
  </si>
  <si>
    <t>https://inswave01.atlassian.net/wiki/download/attachments/1245423/columnEllipsis_CheckComboBox.xml?version=1&amp;modificationDate=1709857872000&amp;cacheVersion=1&amp;api=v2</t>
  </si>
  <si>
    <t>https://inswave01.atlassian.net/wiki/download/attachments/1245423/displayMode_delimiter_CheckComboBox.xml?version=1&amp;modificationDate=1652062258000&amp;cacheVersion=1&amp;api=v2</t>
  </si>
  <si>
    <t>https://inswave01.atlassian.net/wiki/download/attachments/1245423/enableColumn_enableColumnFalseValue_CheckComboBox.xml?version=1&amp;modificationDate=1643325502000&amp;cacheVersion=1&amp;api=v2</t>
  </si>
  <si>
    <t>https://inswave01.atlassian.net/wiki/download/attachments/1245423/setDelimiter_CheckComboBox.xml?version=1&amp;modificationDate=1677195956000&amp;cacheVersion=1&amp;api=v2</t>
  </si>
  <si>
    <t>https://inswave01.atlassian.net/wiki/download/attachments/1245423/setDisplayMode_CheckComboBox.xml?version=1&amp;modificationDate=1677195315000&amp;cacheVersion=1&amp;api=v2</t>
  </si>
  <si>
    <t>https://inswave01.atlassian.net/wiki/download/attachments/1245423/setEnableColumn_CheckComboBox.xml?version=1&amp;modificationDate=1644281842000&amp;cacheVersion=1&amp;api=v2</t>
  </si>
  <si>
    <t>https://inswave01.atlassian.net/wiki/download/attachments/1245423/showCheckedTop_checkboxClickSync_CheckComboBox.xml?version=1&amp;modificationDate=1673938446000&amp;cacheVersion=1&amp;api=v2</t>
  </si>
  <si>
    <t>https://inswave01.atlassian.net/wiki/download/attachments/1245423/submenuSize_CheckComboBox.xml?version=1&amp;modificationDate=1709857972000&amp;cacheVersion=1&amp;api=v2</t>
  </si>
  <si>
    <t>https://inswave01.atlassian.net/wiki/download/attachments/1245423/2021%20-%2009%20CheckComboBox%20(useDrag_rangeSeparator).xml?version=1&amp;modificationDate=1631233741000&amp;cacheVersion=1&amp;api=v2</t>
  </si>
  <si>
    <t>https://inswave01.atlassian.net/wiki/download/attachments/1245423/2021%20-%2009%20CheckComboBox%20(useEdit).xml?version=1&amp;modificationDate=1631496923000&amp;cacheVersion=1&amp;api=v2</t>
  </si>
  <si>
    <t>https://inswave01.atlassian.net/wiki/download/attachments/1245423/2021%20-%2009%20CheckComboBox%20(validateOnInput).xml?version=1&amp;modificationDate=1631496975000&amp;cacheVersion=1&amp;api=v2</t>
  </si>
  <si>
    <t>https://inswave01.atlassian.net/wiki/download/attachments/1245423/2021%20-%2009%20CheckComboBox%20(visibleColMax).xml?version=1&amp;modificationDate=1630975579000&amp;cacheVersion=1&amp;api=v2</t>
  </si>
  <si>
    <t>https://inswave01.atlassian.net/wiki/download/attachments/1245423/2021%20-%2009%20CheckComboBox%20(visibleColNum).xml?version=1&amp;modificationDate=1631066197000&amp;cacheVersion=1&amp;api=v2</t>
  </si>
  <si>
    <t>https://inswave01.atlassian.net/wiki/download/attachments/1245423/visibleColumn_visibleColumnFalseValue_setVisibleColumn_CheckComboBox.xml?version=1&amp;modificationDate=1642059456000&amp;cacheVersion=1&amp;api=v2</t>
  </si>
  <si>
    <t>https://inswave01.atlassian.net/wiki/download/attachments/1245423/visibleRowNum_setVisibleRowNum_CheckComboBox.xml?version=1&amp;modificationDate=1716181590000&amp;cacheVersion=1&amp;api=v2</t>
  </si>
  <si>
    <t>https://inswave01.atlassian.net/wiki/download/attachments/1245518/getHTML_Editor.xml?version=1&amp;modificationDate=1704956074000&amp;cacheVersion=1&amp;api=v2</t>
  </si>
  <si>
    <t>https://inswave01.atlassian.net/wiki/download/attachments/1245518/getInnerText_Editor.xml?version=1&amp;modificationDate=1704345257000&amp;cacheVersion=1&amp;api=v2</t>
  </si>
  <si>
    <t>https://inswave01.atlassian.net/wiki/download/attachments/1245518/getText_Editor.xml?version=1&amp;modificationDate=1704956040000&amp;cacheVersion=1&amp;api=v2</t>
  </si>
  <si>
    <t>https://inswave01.atlassian.net/wiki/download/attachments/1245518/maxChartCount_Editor.xml?version=1&amp;modificationDate=1693283457000&amp;cacheVersion=1&amp;api=v2</t>
  </si>
  <si>
    <t>https://inswave01.atlassian.net/wiki/download/attachments/1245518/placeholder_setPlaceholder_Editor.xml?version=1&amp;modificationDate=1696893184000&amp;cacheVersion=1&amp;api=v2</t>
  </si>
  <si>
    <t>https://inswave01.atlassian.net/wiki/download/attachments/1245522/useCloseButton_FloatingLayer.xml?version=1&amp;modificationDate=1704157721000&amp;cacheVersion=1&amp;api=v2</t>
  </si>
  <si>
    <t>https://inswave01.atlassian.net/wiki/download/attachments/1245520/changeType_FusionChart.xml?version=1&amp;modificationDate=1696404380000&amp;cacheVersion=1&amp;api=v2</t>
  </si>
  <si>
    <t>https://inswave01.atlassian.net/wiki/download/attachments/1245497/insertChild()_Generator_UDC.zip?version=1&amp;modificationDate=1663549943000&amp;cacheVersion=1&amp;api=v2</t>
  </si>
  <si>
    <t>https://inswave01.atlassian.net/wiki/download/attachments/1245497/insertChild_Generator.xml?version=1&amp;modificationDate=1670222711000&amp;cacheVersion=1&amp;api=v2</t>
  </si>
  <si>
    <t>https://inswave01.atlassian.net/wiki/download/attachments/1245389/checkboxLabelColumn_radioLabelColumn_gridView_column.zip?version=2&amp;modificationDate=1636511757000&amp;cacheVersion=1&amp;api=v2</t>
  </si>
  <si>
    <t>https://inswave01.atlassian.net/wiki/download/attachments/1245461/contextMenu_autoFit_GridView.zip?version=1&amp;modificationDate=1650248874000&amp;cacheVersion=1&amp;api=v2</t>
  </si>
  <si>
    <t>https://inswave01.atlassian.net/wiki/download/attachments/1245461/contextMenuAltClick_GridView.zip?version=1&amp;modificationDate=1650247486000&amp;cacheVersion=1&amp;api=v2</t>
  </si>
  <si>
    <t>https://inswave01.atlassian.net/wiki/download/attachments/1245461/enterKeyMove_GridView.zip?version=1&amp;modificationDate=1641366124000&amp;cacheVersion=1&amp;api=v2</t>
  </si>
  <si>
    <t>https://inswave01.atlassian.net/wiki/download/attachments/1245461/load_add_remove_delete_initilize_view_GridView.zip?version=1&amp;modificationDate=1655701143000&amp;cacheVersion=1&amp;api=v2</t>
  </si>
  <si>
    <t>https://inswave01.atlassian.net/wiki/download/attachments/1245461/noSelect_GridView.zip?version=1&amp;modificationDate=1655776271000&amp;cacheVersion=1&amp;api=v2</t>
  </si>
  <si>
    <t>https://inswave01.atlassian.net/wiki/download/attachments/1245461/setAutoFit_clearAutoFit_GridView.zip?version=1&amp;modificationDate=1651043741000&amp;cacheVersion=1&amp;api=v2</t>
  </si>
  <si>
    <t>https://inswave01.atlassian.net/wiki/download/attachments/1245461/setColumnVisibleColumn_GridView.zip?version=1&amp;modificationDate=1643010058000&amp;cacheVersion=1&amp;api=v2</t>
  </si>
  <si>
    <t>https://inswave01.atlassian.net/wiki/download/attachments/1245389/2021%20-%2010%20GridView%20(setFocusedMultiCell).zip?version=1&amp;modificationDate=1634086097000&amp;cacheVersion=1&amp;api=v2</t>
  </si>
  <si>
    <t>https://inswave01.atlassian.net/wiki/download/attachments/1245461/useNoResultMessageURL_noResultMessageURL_message.zip?version=1&amp;modificationDate=1706493431000&amp;cacheVersion=1&amp;api=v2</t>
  </si>
  <si>
    <t>https://inswave01.atlassian.net/wiki/download/attachments/1245461/visibleRowNum_visibleRowNumFix_GridView.zip?version=1&amp;modificationDate=1648598986000&amp;cacheVersion=1&amp;api=v2</t>
  </si>
  <si>
    <t>https://inswave01.atlassian.net/wiki/download/attachments/1245461/autoFit_autoFitMinWidth_GridView.xml?version=1&amp;modificationDate=1651121814000&amp;cacheVersion=1&amp;api=v2</t>
  </si>
  <si>
    <t>https://inswave01.atlassian.net/wiki/download/attachments/1245461/autoFit_GridView.xml?version=1&amp;modificationDate=1651120054000&amp;cacheVersion=1&amp;api=v2</t>
  </si>
  <si>
    <t>https://inswave01.atlassian.net/wiki/download/attachments/1245461/autoFitFilterList_gridView_column.xml?version=1&amp;modificationDate=1647503215000&amp;cacheVersion=1&amp;api=v2</t>
  </si>
  <si>
    <t>https://inswave01.atlassian.net/wiki/download/attachments/1245461/blockSelect_gridView_column.xml?version=1&amp;modificationDate=1644477407000&amp;cacheVersion=1&amp;api=v2</t>
  </si>
  <si>
    <t>https://inswave01.atlassian.net/wiki/download/attachments/1245461/cellStatusVisible_cellStatusIconPosition_GridView.xml?version=1&amp;modificationDate=1673997093000&amp;cacheVersion=1&amp;api=v2</t>
  </si>
  <si>
    <t>https://inswave01.atlassian.net/wiki/download/attachments/1245389/2021%20-%2009%20GridView%20(checkAllType).xml?version=1&amp;modificationDate=1632717024000&amp;cacheVersion=1&amp;api=v2</t>
  </si>
  <si>
    <t>https://inswave01.atlassian.net/wiki/download/attachments/1245461/checkEditOnPaste_GridView.xml?version=1&amp;modificationDate=1676007033000&amp;cacheVersion=1&amp;api=v2</t>
  </si>
  <si>
    <t>https://inswave01.atlassian.net/wiki/download/attachments/1245461/columnMove_columnMoveWithFooter_GridView.xml?version=1&amp;modificationDate=1653889634000&amp;cacheVersion=1&amp;api=v2</t>
  </si>
  <si>
    <t>https://inswave01.atlassian.net/wiki/download/attachments/1245461/column_mapping_GridView.xml?version=1&amp;modificationDate=1655353437000&amp;cacheVersion=1&amp;api=v2</t>
  </si>
  <si>
    <t>https://inswave01.atlassian.net/wiki/download/attachments/1245461/columnMove_GridView.xml?version=1&amp;modificationDate=1653462669000&amp;cacheVersion=1&amp;api=v2</t>
  </si>
  <si>
    <t>https://inswave01.atlassian.net/wiki/download/attachments/1245461/contextMenu_GridView.xml?version=1&amp;modificationDate=1650260188000&amp;cacheVersion=1&amp;api=v2</t>
  </si>
  <si>
    <t>https://inswave01.atlassian.net/wiki/download/attachments/1245461/copyOption_GridView.xml?version=1&amp;modificationDate=1644802740000&amp;cacheVersion=1&amp;api=v2</t>
  </si>
  <si>
    <t>https://inswave01.atlassian.net/wiki/download/attachments/1245461/copyType_GridView.xml?version=1&amp;modificationDate=1638253901000&amp;cacheVersion=1&amp;api=v2</t>
  </si>
  <si>
    <t>https://inswave01.atlassian.net/wiki/download/attachments/1245461/ctrlShiftKey_GridView.xml?version=1&amp;modificationDate=1662441265000&amp;cacheVersion=1&amp;api=v2</t>
  </si>
  <si>
    <t>https://inswave01.atlassian.net/wiki/download/attachments/1245389/drawType_GridView.xml?version=1&amp;modificationDate=1636355958000&amp;cacheVersion=1&amp;api=v2</t>
  </si>
  <si>
    <t>https://inswave01.atlassian.net/wiki/download/attachments/1245461/fixedColumn_columnMove_fixedColumnNoMove_GridView.xml?version=1&amp;modificationDate=1715644102000&amp;cacheVersion=1&amp;api=v2</t>
  </si>
  <si>
    <t>https://inswave01.atlassian.net/wiki/download/attachments/1245461/editModeEvent_editModeEventIcon_GridView.xml?version=1&amp;modificationDate=1647580881000&amp;cacheVersion=1&amp;api=v2</t>
  </si>
  <si>
    <t>https://inswave01.atlassian.net/wiki/download/attachments/1245461/focusFlow_GridView.xml?version=1&amp;modificationDate=1653975172000&amp;cacheVersion=1&amp;api=v2</t>
  </si>
  <si>
    <t>https://inswave01.atlassian.net/wiki/download/attachments/1245461/getCheckedXXX_Gridview.xml?version=1&amp;modificationDate=1652923859000&amp;cacheVersion=1&amp;api=v2</t>
  </si>
  <si>
    <t>https://inswave01.atlassian.net/wiki/download/attachments/1245461/keyMoveEditMode_moveKeyEditMode_moveKeyEditModeAll_GridView.xml?version=1&amp;modificationDate=1647580824000&amp;cacheVersion=1&amp;api=v2</t>
  </si>
  <si>
    <t>https://inswave01.atlassian.net/wiki/download/attachments/1245461/moveKeyEditMode_moveKeyEditModeAll_GridView.xml?version=1&amp;modificationDate=1647503174000&amp;cacheVersion=1&amp;api=v2</t>
  </si>
  <si>
    <t>https://inswave01.atlassian.net/wiki/download/attachments/1245461/noResultMessageVisibleAlways_GridView.xml?version=1&amp;modificationDate=1646975363000&amp;cacheVersion=1&amp;api=v2</t>
  </si>
  <si>
    <t>https://inswave01.atlassian.net/wiki/download/attachments/1245461/rowNumVisible_rowStatusVisible_Gridview.xml?version=1&amp;modificationDate=1652923723000&amp;cacheVersion=1&amp;api=v2</t>
  </si>
  <si>
    <t>https://inswave01.atlassian.net/wiki/download/attachments/1245461/rowStatusVisible_rowStatusHeaderValue_rowStatusWidth_GridView.xml?version=1&amp;modificationDate=1652946187000&amp;cacheVersion=1&amp;api=v2</t>
  </si>
  <si>
    <t>https://inswave01.atlassian.net/wiki/download/attachments/1245461/setBlockSelect_GridView.xml?version=1&amp;modificationDate=1644479624000&amp;cacheVersion=1&amp;api=v2</t>
  </si>
  <si>
    <t>https://inswave01.atlassian.net/wiki/download/attachments/1245461/setCellDisabled_GridView.xml?version=1&amp;modificationDate=1666243016000&amp;cacheVersion=1&amp;api=v2</t>
  </si>
  <si>
    <t>https://inswave01.atlassian.net/wiki/download/attachments/1245461/setColumnEnableColumn_GridView.xml?version=1&amp;modificationDate=1643002185000&amp;cacheVersion=1&amp;api=v2</t>
  </si>
  <si>
    <t>https://inswave01.atlassian.net/wiki/download/attachments/1245461/setDataType_date_GridView.xml?version=1&amp;modificationDate=1710462206000&amp;cacheVersion=1&amp;api=v2</t>
  </si>
  <si>
    <t>https://inswave01.atlassian.net/wiki/download/attachments/1245461/setDataType_getDataType_GridView.xml?version=1&amp;modificationDate=1655446118000&amp;cacheVersion=1&amp;api=v2</t>
  </si>
  <si>
    <t>https://inswave01.atlassian.net/wiki/download/attachments/1245461/setFocusedCell_GridView.xml?version=1&amp;modificationDate=1711061985000&amp;cacheVersion=1&amp;api=v2</t>
  </si>
  <si>
    <t>https://inswave01.atlassian.net/wiki/download/attachments/1245461/setReadOnly_GridView.xml?version=1&amp;modificationDate=1704688923000&amp;cacheVersion=1&amp;api=v2</t>
  </si>
  <si>
    <t>https://inswave01.atlassian.net/wiki/download/attachments/1245461/setRowNumVisible_GridView.xml?version=1&amp;modificationDate=1682384107000&amp;cacheVersion=1&amp;api=v2</t>
  </si>
  <si>
    <t>https://inswave01.atlassian.net/wiki/download/attachments/1245461/setRowStatusVisible_GridView.xml?version=2&amp;modificationDate=1688367717000&amp;cacheVersion=1&amp;api=v2</t>
  </si>
  <si>
    <t>https://inswave01.atlassian.net/wiki/download/attachments/1245461/setVisibleRowNum_GridView.xml?version=1&amp;modificationDate=1664498622000&amp;cacheVersion=1&amp;api=v2</t>
  </si>
  <si>
    <t>https://inswave01.atlassian.net/wiki/download/attachments/1245461/tooltipDisplay_tooltipShowAlways_GridView.xml?version=1&amp;modificationDate=1653973593000&amp;cacheVersion=1&amp;api=v2</t>
  </si>
  <si>
    <t>https://inswave01.atlassian.net/wiki/download/attachments/1245461/useHeaderContextMenu_contextMenu_GridView.xml?version=1&amp;modificationDate=1658365873000&amp;cacheVersion=1&amp;api=v2</t>
  </si>
  <si>
    <t>https://inswave01.atlassian.net/wiki/download/attachments/1245461/visibleRowNum_GridView.xml?version=1&amp;modificationDate=1654561913000&amp;cacheVersion=1&amp;api=v2</t>
  </si>
  <si>
    <t>https://inswave01.atlassian.net/wiki/download/attachments/1245461/setRowVisible_clearRowVisible_GridView.zip?version=1&amp;modificationDate=1654561522000&amp;cacheVersion=1&amp;api=v2</t>
  </si>
  <si>
    <t>https://inswave01.atlassian.net/wiki/download/attachments/1245465/setDisplayMode_GridView.xml?version=1&amp;modificationDate=1677220805000&amp;cacheVersion=1&amp;api=v2</t>
  </si>
  <si>
    <t>https://inswave01.atlassian.net/wiki/download/attachments/1245465/inputType_calendar_setColumnIoFormat_gridView_column.zip?version=1&amp;modificationDate=1692757600000&amp;cacheVersion=1&amp;api=v2</t>
  </si>
  <si>
    <t>https://inswave01.atlassian.net/wiki/download/attachments/1245465/inputType_checkbox_gridView_column.zip?version=1&amp;modificationDate=1655683361000&amp;cacheVersion=1&amp;api=v2</t>
  </si>
  <si>
    <t>https://inswave01.atlassian.net/wiki/download/attachments/1245465/inputType_drilldown_gridView_column.zip?version=1&amp;modificationDate=1654835830000&amp;cacheVersion=1&amp;api=v2</t>
  </si>
  <si>
    <t>https://inswave01.atlassian.net/wiki/download/attachments/1245389/setCellInputType_setCellInputTypeCustom_GridView.zip?version=1&amp;modificationDate=1636435259000&amp;cacheVersion=1&amp;api=v2</t>
  </si>
  <si>
    <t>https://inswave01.atlassian.net/wiki/download/attachments/1245465/checkAll_GridView.xml?version=1&amp;modificationDate=1716247827000&amp;cacheVersion=1&amp;api=v2</t>
  </si>
  <si>
    <t>https://inswave01.atlassian.net/wiki/download/attachments/1245465/drilldownToggle_GridView.xml?version=1&amp;modificationDate=1676006333000&amp;cacheVersion=1&amp;api=v2</t>
  </si>
  <si>
    <t>https://inswave01.atlassian.net/wiki/download/attachments/1245465/inputType_autoComplete_directOpen_gridView_column.xml?version=1&amp;modificationDate=1640651834000&amp;cacheVersion=1&amp;api=v2</t>
  </si>
  <si>
    <t>https://inswave01.atlassian.net/wiki/download/attachments/1245465/inputType_autoComplete_gridView_column.xml?version=1&amp;modificationDate=1644557656000&amp;cacheVersion=1&amp;api=v2</t>
  </si>
  <si>
    <t>https://inswave01.atlassian.net/wiki/download/attachments/1245465/inputType_checkbox_checkHeaderOnviewchange_gridView_column.xml?version=1&amp;modificationDate=1655968034000&amp;cacheVersion=1&amp;api=v2</t>
  </si>
  <si>
    <t>https://inswave01.atlassian.net/wiki/download/attachments/1245465/inpuType_checkbox_partialCheckNextClick_gridView_column.xml?version=1&amp;modificationDate=1648450777000&amp;cacheVersion=1&amp;api=v2</t>
  </si>
  <si>
    <t>https://inswave01.atlassian.net/wiki/download/attachments/1245465/inputType_checkbox_select_gridView_column.xml?version=1&amp;modificationDate=1652923487000&amp;cacheVersion=1&amp;api=v2</t>
  </si>
  <si>
    <t>https://inswave01.atlassian.net/wiki/download/attachments/1245465/inputType_checkcombobox_gridView_column.xml?version=1&amp;modificationDate=1644557590000&amp;cacheVersion=1&amp;api=v2</t>
  </si>
  <si>
    <t>https://inswave01.atlassian.net/wiki/download/attachments/1245465/inputType_custom_typeGetter_gridView_column.xml?version=1&amp;modificationDate=1654564335000&amp;cacheVersion=1&amp;api=v2</t>
  </si>
  <si>
    <t>https://inswave01.atlassian.net/wiki/download/attachments/1245465/inputType_select_gridView_column.xml?version=1&amp;modificationDate=1638773294000&amp;cacheVersion=1&amp;api=v2</t>
  </si>
  <si>
    <t>https://inswave01.atlassian.net/wiki/download/attachments/1245465/inputType_spinner_min_max_gridView_column.xml?version=1&amp;modificationDate=1682382041000&amp;cacheVersion=1&amp;api=v2</t>
  </si>
  <si>
    <t>https://inswave01.atlassian.net/wiki/download/attachments/1245465/viewType_inputType_gridView_column.xml?version=1&amp;modificationDate=1653974773000&amp;cacheVersion=1&amp;api=v2</t>
  </si>
  <si>
    <t>https://inswave01.atlassian.net/wiki/download/attachments/1245465/setDelimiter_GridView.xml?version=1&amp;modificationDate=1677220839000&amp;cacheVersion=1&amp;api=v2</t>
  </si>
  <si>
    <t>https://inswave01.atlassian.net/wiki/download/attachments/1245465/inputType_checkbox_useShiftKey_useShiftKeyCheck_GridView.xml?version=1&amp;modificationDate=1705884319000&amp;cacheVersion=1&amp;api=v2</t>
  </si>
  <si>
    <t>inputType_checkbox_gridView_column</t>
  </si>
  <si>
    <t>gridView.column - inputType="checkbox"</t>
  </si>
  <si>
    <t>https://inswave01.atlassian.net/wiki/download/attachments/1245465/inputType_calendar_pickerType_fixPickerStatus_gridView_column.xml?version=1&amp;modificationDate=1696403977000&amp;cacheVersion=1&amp;api=v2</t>
  </si>
  <si>
    <t>https://inswave01.atlassian.net/wiki/download/attachments/1245473/mergeExcludeValue_GridView.xml?version=1&amp;modificationDate=1687764301000&amp;cacheVersion=1&amp;api=v2</t>
  </si>
  <si>
    <t>https://inswave01.atlassian.net/wiki/download/attachments/1245510/drilldownToggle_hammerEnabled_GridView.xml?version=1&amp;modificationDate=1676006567000&amp;cacheVersion=1&amp;api=v2</t>
  </si>
  <si>
    <t>https://inswave01.atlassian.net/wiki/download/attachments/1245510/hammerEnabled_hammerPressTime_GridView.xml?version=1&amp;modificationDate=1675840403000&amp;cacheVersion=1&amp;api=v2</t>
  </si>
  <si>
    <t>https://inswave01.atlassian.net/wiki/download/attachments/1245389/orderByColumn_gridView_column.zip?version=1&amp;modificationDate=1636519787000&amp;cacheVersion=1&amp;api=v2</t>
  </si>
  <si>
    <t>https://inswave01.atlassian.net/wiki/download/attachments/1245469/hideSortIconOnNoData_GridView.xml?version=1&amp;modificationDate=1662440929000&amp;cacheVersion=1&amp;api=v2</t>
  </si>
  <si>
    <t>https://inswave01.atlassian.net/wiki/download/attachments/1245469/setSortable_GridView.xml?version=1&amp;modificationDate=1673941028000&amp;cacheVersion=1&amp;api=v2</t>
  </si>
  <si>
    <t>https://inswave01.atlassian.net/wiki/download/attachments/1245469/sortable_showSortableImage_GridView.xml?version=1&amp;modificationDate=1652940371000&amp;cacheVersion=1&amp;api=v2</t>
  </si>
  <si>
    <t>https://inswave01.atlassian.net/wiki/download/attachments/1245469/sortable_sortEvent_showSortableImage_sortedIconPosition_sortOrderReverse_GridView.xml?version=1&amp;modificationDate=1653974169000&amp;cacheVersion=1&amp;api=v2</t>
  </si>
  <si>
    <t>https://inswave01.atlassian.net/wiki/download/attachments/1245389/sortLabel_gridView_column.xml?version=1&amp;modificationDate=1636439398000&amp;cacheVersion=1&amp;api=v2</t>
  </si>
  <si>
    <t>https://inswave01.atlassian.net/wiki/download/attachments/1245469/useCtrlOnMultisort_GridView.xml?version=1&amp;modificationDate=1652940966000&amp;cacheVersion=1&amp;api=v2</t>
  </si>
  <si>
    <t>https://inswave01.atlassian.net/wiki/download/attachments/1245503/subtotal_GridView.xml?version=1&amp;modificationDate=1669184341000&amp;cacheVersion=1&amp;api=v2</t>
  </si>
  <si>
    <t>https://inswave01.atlassian.net/wiki/download/attachments/1245461/subtotalStyleFormatter_GridView.xml?version=2&amp;modificationDate=1638507642000&amp;cacheVersion=1&amp;api=v2</t>
  </si>
  <si>
    <t>https://inswave01.atlassian.net/wiki/download/attachments/1245461/subtotalStyleFormatter_subtotalColumnId_GridView.xml?version=1&amp;modificationDate=1649738864000&amp;cacheVersion=1&amp;api=v2</t>
  </si>
  <si>
    <t>https://inswave01.atlassian.net/wiki/download/attachments/1245447/keepDisabled_setDisabled_Group.xml?version=1&amp;modificationDate=1691451240000&amp;cacheVersion=1&amp;api=v2</t>
  </si>
  <si>
    <t>https://inswave01.atlassian.net/wiki/download/attachments/1245447/onmouseleave_onmouseenter_Group.xml?version=1&amp;modificationDate=1638772299000&amp;cacheVersion=1&amp;api=v2</t>
  </si>
  <si>
    <t>https://inswave01.atlassian.net/wiki/download/attachments/1245447/setDisabled_Group.xml?version=1&amp;modificationDate=1691451277000&amp;cacheVersion=1&amp;api=v2</t>
  </si>
  <si>
    <t>https://inswave01.atlassian.net/wiki/download/attachments/1245447/styling_Group.xml?version=1&amp;modificationDate=1650439082000&amp;cacheVersion=1&amp;api=v2</t>
  </si>
  <si>
    <t>https://inswave01.atlassian.net/wiki/download/attachments/1245403/spa_spaReplaceHistory_IFrame.zip?version=1&amp;modificationDate=1655855610000&amp;cacheVersion=1&amp;api=v2</t>
  </si>
  <si>
    <t>https://inswave01.atlassian.net/wiki/download/attachments/1245391/dataType_displayFormat_applyFormat_InputBox.xml?version=1&amp;modificationDate=1639984585000&amp;cacheVersion=1&amp;api=v2</t>
  </si>
  <si>
    <t>https://inswave01.atlassian.net/wiki/download/attachments/1245391/euroMask_rupeeMask_tengeMask_InputBox.xml?version=1&amp;modificationDate=1641274281000&amp;cacheVersion=1&amp;api=v2</t>
  </si>
  <si>
    <t>https://inswave01.atlassian.net/wiki/download/attachments/1245391/ltrim_trm_rtrim_InputBox.xml?version=1&amp;modificationDate=1638771297000&amp;cacheVersion=1&amp;api=v2</t>
  </si>
  <si>
    <t>https://inswave01.atlassian.net/wiki/download/attachments/1245391/maskFormat_applyFormat_displayFormat_InputBox.xml?version=1&amp;modificationDate=1655445755000&amp;cacheVersion=1&amp;api=v2</t>
  </si>
  <si>
    <t>https://inswave01.atlassian.net/wiki/download/attachments/1245391/masking_InputBox.xml?version=1&amp;modificationDate=1655700436000&amp;cacheVersion=1&amp;api=v2</t>
  </si>
  <si>
    <t>https://inswave01.atlassian.net/wiki/download/attachments/1245391/2021%20-%2006%20InputBox%20(maxLength).xml?version=1&amp;modificationDate=1624524448000&amp;cacheVersion=1&amp;api=v2</t>
  </si>
  <si>
    <t>https://inswave01.atlassian.net/wiki/download/attachments/1245391/oneditfull_maxByteLength_autoFocus_InputBox.xml?version=1&amp;modificationDate=1638945386000&amp;cacheVersion=1&amp;api=v2</t>
  </si>
  <si>
    <t>https://inswave01.atlassian.net/wiki/download/attachments/1245391/setMandatory_getMandatory_InputBox.xml?version=1&amp;modificationDate=1682300186000&amp;cacheVersion=1&amp;api=v2</t>
  </si>
  <si>
    <t>https://inswave01.atlassian.net/wiki/download/attachments/1245391/setMaxByteLength_InputBox.xml?version=1&amp;modificationDate=1696893363000&amp;cacheVersion=1&amp;api=v2</t>
  </si>
  <si>
    <t>https://inswave01.atlassian.net/wiki/download/attachments/1245391/setValue_getValue_InputBox.xml?version=1&amp;modificationDate=1652668590000&amp;cacheVersion=1&amp;api=v2</t>
  </si>
  <si>
    <t>https://inswave01.atlassian.net/wiki/download/attachments/1245391/validate_displaymessage_invalidMessage_invalidMessageFunc_InputBox.xml?version=1&amp;modificationDate=1653281528000&amp;cacheVersion=1&amp;api=v2</t>
  </si>
  <si>
    <t>https://inswave01.atlassian.net/wiki/download/attachments/1245395/2021%20-%2006%20InputCalendar%20(dateValidSetCustom%20%26%20setValueCancel).zip?version=1&amp;modificationDate=1624856756000&amp;cacheVersion=1&amp;api=v2</t>
  </si>
  <si>
    <t>https://inswave01.atlassian.net/wiki/download/attachments/1245395/cancelButtonHide_InputCalendar.xml?version=1&amp;modificationDate=1694493434000&amp;cacheVersion=1&amp;api=v2</t>
  </si>
  <si>
    <t>https://inswave01.atlassian.net/wiki/download/attachments/1245395/cancelButtonShow_InputCalendar.xml?version=1&amp;modificationDate=1694493473000&amp;cacheVersion=1&amp;api=v2</t>
  </si>
  <si>
    <t>https://inswave01.atlassian.net/wiki/download/attachments/1245395/dayMoveFixed_InputCalendar.xml?version=1&amp;modificationDate=1658106167000&amp;cacheVersion=1&amp;api=v2</t>
  </si>
  <si>
    <t>https://inswave01.atlassian.net/wiki/download/attachments/1245395/defaultDate_getDefaultDate_setDefaultDate_InputCalendar.xml?version=1&amp;modificationDate=1653272062000&amp;cacheVersion=1&amp;api=v2</t>
  </si>
  <si>
    <t>https://inswave01.atlassian.net/wiki/download/attachments/1245395/2021%20-%2006%20InputCalendar%20(disableBeforeDate%20%26%20disableAfterDate).xml?version=1&amp;modificationDate=1623221888000&amp;cacheVersion=1&amp;api=v2</t>
  </si>
  <si>
    <t>https://inswave01.atlassian.net/wiki/download/attachments/1245395/disableDate_inputCalendar.xml?version=2&amp;modificationDate=1653008579000&amp;cacheVersion=1&amp;api=v2</t>
  </si>
  <si>
    <t>https://inswave01.atlassian.net/wiki/download/attachments/1245395/displayDayType_InputCalendar.xml?version=1&amp;modificationDate=1638152485000&amp;cacheVersion=1&amp;api=v2</t>
  </si>
  <si>
    <t>InputCalendar - displayDayType</t>
  </si>
  <si>
    <t>https://inswave01.atlassian.net/wiki/download/attachments/1245395/ioFormat_displayFormat_calendarDisplayFormat_InputCalendar.xml?version=1&amp;modificationDate=1638770323000&amp;cacheVersion=1&amp;api=v2</t>
  </si>
  <si>
    <t>https://inswave01.atlassian.net/wiki/download/attachments/1245395/pickerType_InputCalendar.xml?version=1&amp;modificationDate=1646010404000&amp;cacheVersion=1&amp;api=v2</t>
  </si>
  <si>
    <t>https://inswave01.atlassian.net/wiki/download/attachments/1245395/resetButtonShow_InputCalendar.xml?version=1&amp;modificationDate=1696893504000&amp;cacheVersion=1&amp;api=v2</t>
  </si>
  <si>
    <t>https://inswave01.atlassian.net/wiki/download/attachments/1245395/setIoFormat_InputCalendar.xml?version=1&amp;modificationDate=1655168474000&amp;cacheVersion=1&amp;api=v2</t>
  </si>
  <si>
    <t>https://inswave01.atlassian.net/wiki/download/attachments/1245395/setValue_ioFormat_InputCalendar.xml?version=1&amp;modificationDate=1638852769000&amp;cacheVersion=1&amp;api=v2</t>
  </si>
  <si>
    <t>https://inswave01.atlassian.net/wiki/download/attachments/1245395/showToday_InputCalendar.xml?version=1&amp;modificationDate=1655710043000&amp;cacheVersion=1&amp;api=v2</t>
  </si>
  <si>
    <t>https://inswave01.atlassian.net/wiki/download/attachments/1245395/validate_displaymessage_invalidMessageFunc_InputCalendar.xml?version=1&amp;modificationDate=1653890916000&amp;cacheVersion=1&amp;api=v2</t>
  </si>
  <si>
    <t>https://inswave01.atlassian.net/wiki/download/attachments/1245395/visibleWeekNum_InputCalendar.xml?version=1&amp;modificationDate=1648449677000&amp;cacheVersion=1&amp;api=v2</t>
  </si>
  <si>
    <t>https://inswave01.atlassian.net/wiki/download/attachments/1245439/markerDefiner_markerClass_markerClassDefiner_MapChart.xml?version=1&amp;modificationDate=1696396322000&amp;cacheVersion=1&amp;api=v2</t>
  </si>
  <si>
    <t>https://inswave01.atlassian.net/wiki/download/attachments/1245439/useMarker_contextFormatter_MapChart.xml?version=1&amp;modificationDate=1682384659000&amp;cacheVersion=1&amp;api=v2</t>
  </si>
  <si>
    <t>https://inswave01.atlassian.net/wiki/download/attachments/1245441/BindItemSet_MultiSelect.zip?version=1&amp;modificationDate=1652073326000&amp;cacheVersion=1&amp;api=v2</t>
  </si>
  <si>
    <t>https://inswave01.atlassian.net/wiki/download/attachments/1245441/onrowclick_MultiSelect.xml?version=1&amp;modificationDate=1660611817000&amp;cacheVersion=1&amp;api=v2</t>
  </si>
  <si>
    <t>https://inswave01.atlassian.net/wiki/download/attachments/1245429/getFileCount_MultiUpload.xml?version=1&amp;modificationDate=1637129371000&amp;cacheVersion=1&amp;api=v2</t>
  </si>
  <si>
    <t>https://inswave01.atlassian.net/wiki/download/attachments/1245429/getFileInfos_setParamJSON_MultiUpload.xml?version=1&amp;modificationDate=1647586330000&amp;cacheVersion=1&amp;api=v2</t>
  </si>
  <si>
    <t>https://inswave01.atlassian.net/wiki/download/attachments/1245429/maxcount_MultiUpload.xml?version=1&amp;modificationDate=1646012639000&amp;cacheVersion=1&amp;api=v2</t>
  </si>
  <si>
    <t>https://inswave01.atlassian.net/wiki/download/attachments/1245516/initScript_Page.zip?version=1&amp;modificationDate=1654217608000&amp;cacheVersion=1&amp;api=v2</t>
  </si>
  <si>
    <t>https://inswave01.atlassian.net/wiki/download/attachments/1245516/onbeforepageunload_body_Page.zip?version=1&amp;modificationDate=1688023081000&amp;cacheVersion=1&amp;api=v2</t>
  </si>
  <si>
    <t>https://inswave01.atlassian.net/wiki/download/attachments/1245516/postScript_Page.zip?version=1&amp;modificationDate=1654220304000&amp;cacheVersion=1&amp;api=v2</t>
  </si>
  <si>
    <t>https://inswave01.atlassian.net/wiki/download/attachments/1245516/script_execution_sequence_Page.zip?version=1&amp;modificationDate=1654824195000&amp;cacheVersion=1&amp;api=v2</t>
  </si>
  <si>
    <t>https://inswave01.atlassian.net/wiki/download/attachments/1245516/onpageload_Page.xml?version=1&amp;modificationDate=1654827382000&amp;cacheVersion=1&amp;api=v2</t>
  </si>
  <si>
    <t>https://inswave01.atlassian.net/wiki/download/attachments/1245536/method_Page_Component.zip?version=1&amp;modificationDate=1716529408000&amp;cacheVersion=1&amp;api=v2</t>
  </si>
  <si>
    <t>https://inswave01.atlassian.net/wiki/download/attachments/1245387/pivotExcelUpload_Pivot.zip?version=1&amp;modificationDate=1655450667000&amp;cacheVersion=1&amp;api=v2</t>
  </si>
  <si>
    <t>https://inswave01.atlassian.net/wiki/download/attachments/1245387/allTotalName_grandTotalName_Pivot.xml?version=1&amp;modificationDate=1655448672000&amp;cacheVersion=1&amp;api=v2</t>
  </si>
  <si>
    <t>https://inswave01.atlassian.net/wiki/download/attachments/1245387/2021%20-%2006%20Pivot%20(headerYMerge).xml?version=1&amp;modificationDate=1624857762000&amp;cacheVersion=1&amp;api=v2</t>
  </si>
  <si>
    <t>https://inswave01.atlassian.net/wiki/download/attachments/1245387/2021%20-%2008%20Pivot%20(headerYMerge%20%26%20pivotExcelDownload).xml?version=1&amp;modificationDate=1629787753000&amp;cacheVersion=1&amp;api=v2</t>
  </si>
  <si>
    <t>https://inswave01.atlassian.net/wiki/download/attachments/1245387/2021%20-%2007%20Pivot%20(noColumnMove).xml?version=1&amp;modificationDate=1625119532000&amp;cacheVersion=1&amp;api=v2</t>
  </si>
  <si>
    <t>https://inswave01.atlassian.net/wiki/download/attachments/1245387/2021%20-%2006%20Pivot%20(pivotExcelDownload%20%26%20options.autoSizeColumn).xml?version=1&amp;modificationDate=1623227990000&amp;cacheVersion=1&amp;api=v2</t>
  </si>
  <si>
    <t>https://inswave01.atlassian.net/wiki/download/attachments/1245387/pivotExcelDownload_Pivot.xml?version=1&amp;modificationDate=1655449129000&amp;cacheVersion=1&amp;api=v2</t>
  </si>
  <si>
    <t>https://inswave01.atlassian.net/wiki/download/attachments/1245387/showGrandTotal_grandTotalDisplayType_Pivot.xml?version=1&amp;modificationDate=1655448300000&amp;cacheVersion=1&amp;api=v2</t>
  </si>
  <si>
    <t>https://inswave01.atlassian.net/wiki/download/attachments/1245387/showGrandTotal_Pivot.xml?version=1&amp;modificationDate=1655448010000&amp;cacheVersion=1&amp;api=v2</t>
  </si>
  <si>
    <t>https://inswave01.atlassian.net/wiki/download/attachments/1245415/BindItemSet_SpanDirection_SpanCount_cols_rows_Radio.xml?version=1&amp;modificationDate=1651801187000&amp;cacheVersion=1&amp;api=v2</t>
  </si>
  <si>
    <t>https://inswave01.atlassian.net/wiki/download/attachments/1245415/enableColumn_enableColumnFalseValue_Radio.xml?version=1&amp;modificationDate=1643325647000&amp;cacheVersion=1&amp;api=v2</t>
  </si>
  <si>
    <t>https://inswave01.atlassian.net/wiki/download/attachments/1245415/onviewchange_Radio.xml?version=1&amp;modificationDate=1682311061000&amp;cacheVersion=1&amp;api=v2</t>
  </si>
  <si>
    <t>https://inswave01.atlassian.net/wiki/download/attachments/1245415/setEnableColumn_Radio.xml?version=1&amp;modificationDate=1644282124000&amp;cacheVersion=1&amp;api=v2</t>
  </si>
  <si>
    <t>https://inswave01.atlassian.net/wiki/download/attachments/1245415/tooltipDisplay_tooltipShowAlways_tooltipItemLabel_tooltipFormatter_Radio.xml?version=1&amp;modificationDate=1653463698000&amp;cacheVersion=1&amp;api=v2</t>
  </si>
  <si>
    <t>https://inswave01.atlassian.net/wiki/download/attachments/1245415/validate_displaymessage_invalidMessage_invalidMessageFunc_Radio.xml?version=1&amp;modificationDate=1653271968000&amp;cacheVersion=1&amp;api=v2</t>
  </si>
  <si>
    <t>https://inswave01.atlassian.net/wiki/download/attachments/1245415/visibleColumn_visibleColumnFalseValue_setVisibleColumn_Radio.xml?version=1&amp;modificationDate=1642059794000&amp;cacheVersion=1&amp;api=v2</t>
  </si>
  <si>
    <t>https://inswave01.atlassian.net/wiki/download/attachments/1245397/addSchedule_ScheduleCalendar.xml?version=1&amp;modificationDate=1655853590000&amp;cacheVersion=1&amp;api=v2</t>
  </si>
  <si>
    <t>https://inswave01.atlassian.net/wiki/download/attachments/1245397/dataList_titleColumn_idColumn_startColumn_endColumn_ScheduleCalendar.xml?version=1&amp;modificationDate=1655776655000&amp;cacheVersion=1&amp;api=v2</t>
  </si>
  <si>
    <t>https://inswave01.atlassian.net/wiki/download/attachments/1245397/editable_ScheduleCalendar.xml?version=1&amp;modificationDate=1655853900000&amp;cacheVersion=1&amp;api=v2</t>
  </si>
  <si>
    <t>https://inswave01.atlassian.net/wiki/download/attachments/1245397/lang_ScheduleCalendar.xml?version=1&amp;modificationDate=1684125025000&amp;cacheVersion=1&amp;api=v2</t>
  </si>
  <si>
    <t>https://inswave01.atlassian.net/wiki/download/attachments/1245397/onaddschedule_onmoveschedule_ScheduleCalendar.xml?version=1&amp;modificationDate=1655710343000&amp;cacheVersion=1&amp;api=v2</t>
  </si>
  <si>
    <t>https://inswave01.atlassian.net/wiki/download/attachments/1245397/selectable_ScheduleCalendar.xml?version=1&amp;modificationDate=1655854198000&amp;cacheVersion=1&amp;api=v2</t>
  </si>
  <si>
    <t>https://inswave01.atlassian.net/wiki/download/attachments/1245397/timeFormat_ScheduleCalendar.xml?version=1&amp;modificationDate=1655165490000&amp;cacheVersion=1&amp;api=v2</t>
  </si>
  <si>
    <t>https://inswave01.atlassian.net/wiki/download/attachments/1245397/viewIcon_ScheduleCalendar.xml?version=1&amp;modificationDate=1684125103000&amp;cacheVersion=1&amp;api=v2</t>
  </si>
  <si>
    <t>https://inswave01.atlassian.net/wiki/download/attachments/1245397/titleFormatter_ScheduleCalendar.xml?version=1&amp;modificationDate=1684125068000&amp;cacheVersion=1&amp;api=v2</t>
  </si>
  <si>
    <t>https://inswave01.atlassian.net/wiki/download/attachments/1245493/setRef_SearchBox.xml?version=1&amp;modificationDate=1656899549000&amp;cacheVersion=1&amp;api=v2</t>
  </si>
  <si>
    <t>https://inswave01.atlassian.net/wiki/download/attachments/1245421/validate_displaymessage_invalidMessage_invalidMessageFunc_Secret.xml?version=1&amp;modificationDate=1653458402000&amp;cacheVersion=1&amp;api=v2</t>
  </si>
  <si>
    <t>https://inswave01.atlassian.net/wiki/download/attachments/1245419/BindItemSet_SelectBox.xml?version=1&amp;modificationDate=1651802854000&amp;cacheVersion=1&amp;api=v2</t>
  </si>
  <si>
    <t>https://inswave01.atlassian.net/wiki/download/attachments/1245419/depthColumn_SelectBox.xml?version=1&amp;modificationDate=1652236174000&amp;cacheVersion=1&amp;api=v2</t>
  </si>
  <si>
    <t>https://inswave01.atlassian.net/wiki/download/attachments/1245419/depthColumnHeight_depthColumnWidth_SelectBox.xml?version=1&amp;modificationDate=1656635290000&amp;cacheVersion=1&amp;api=v2</t>
  </si>
  <si>
    <t>https://inswave01.atlassian.net/wiki/download/attachments/1245419/depthColumnShowPath_depthColumnPathDelimiter_SelectBox.xml?version=1&amp;modificationDate=1673939489000&amp;cacheVersion=1&amp;api=v2</t>
  </si>
  <si>
    <t>https://inswave01.atlassian.net/wiki/download/attachments/1245419/displayMode_delimiter_SelectBox.xml?version=1&amp;modificationDate=1652062761000&amp;cacheVersion=1&amp;api=v2</t>
  </si>
  <si>
    <t>https://inswave01.atlassian.net/wiki/download/attachments/1245419/enableColumn_enableColumnFalseValue_SelectBox.xml?version=1&amp;modificationDate=1643325791000&amp;cacheVersion=1&amp;api=v2</t>
  </si>
  <si>
    <t>https://inswave01.atlassian.net/wiki/download/attachments/1245419/itemTooltipFormatter_SelectBox.xml?version=1&amp;modificationDate=1649636617000&amp;cacheVersion=1&amp;api=v2</t>
  </si>
  <si>
    <t>https://inswave01.atlassian.net/wiki/download/attachments/1245419/2021%20-%2010%20SelectBox%20(labelWidthAuto).xml?version=1&amp;modificationDate=1634541348000&amp;cacheVersion=1&amp;api=v2</t>
  </si>
  <si>
    <t>https://inswave01.atlassian.net/wiki/download/attachments/1245419/2021%20-%2006%20SelectedBox%20(onselected).xml?version=1&amp;modificationDate=1624845652000&amp;cacheVersion=1&amp;api=v2</t>
  </si>
  <si>
    <t>https://inswave01.atlassian.net/wiki/download/attachments/1245419/setDelimiter_SelectBox.xml?version=1&amp;modificationDate=1677196909000&amp;cacheVersion=1&amp;api=v2</t>
  </si>
  <si>
    <t>https://inswave01.atlassian.net/wiki/download/attachments/1245419/preventKeyList_SelectBox.xml?version=1&amp;modificationDate=1640221776000&amp;cacheVersion=1&amp;api=v2</t>
  </si>
  <si>
    <t>https://inswave01.atlassian.net/wiki/download/attachments/1245419/setDisplayMode_SelectBox.xml?version=1&amp;modificationDate=1677196440000&amp;cacheVersion=1&amp;api=v2</t>
  </si>
  <si>
    <t>https://inswave01.atlassian.net/wiki/download/attachments/1245419/setEnableColumn_SelectBox.xml?version=1&amp;modificationDate=1644282046000&amp;cacheVersion=1&amp;api=v2</t>
  </si>
  <si>
    <t>https://inswave01.atlassian.net/wiki/download/attachments/1245419/tooltipDisplay_itemToolTipDisplay_SelectBox.xml?version=1&amp;modificationDate=1649636704000&amp;cacheVersion=1&amp;api=v2</t>
  </si>
  <si>
    <t>https://inswave01.atlassian.net/wiki/download/attachments/1245419/validate_displaymessage_invalidMessage_invalidMessageFunc_SelectBox.xml?version=1&amp;modificationDate=1653459688000&amp;cacheVersion=1&amp;api=v2</t>
  </si>
  <si>
    <t>https://inswave01.atlassian.net/wiki/download/attachments/1245419/valueNotInList_emptyItem_SelectBox.xml?version=1&amp;modificationDate=1658387803000&amp;cacheVersion=1&amp;api=v2</t>
  </si>
  <si>
    <t>https://inswave01.atlassian.net/wiki/download/attachments/1245419/visibleColumn_visibleColumnFalseValue_setVisibleColumn_SelectBox.xml?version=1&amp;modificationDate=1642059651000&amp;cacheVersion=1&amp;api=v2</t>
  </si>
  <si>
    <t>https://inswave01.atlassian.net/wiki/download/attachments/1245419/visibleRowNum_setVisibleRowNum_SelectBox.xml?version=1&amp;modificationDate=1717544722000&amp;cacheVersion=1&amp;api=v2</t>
  </si>
  <si>
    <t>https://inswave01.atlassian.net/wiki/download/attachments/1245427/autoFocus_nextTabID_dataType_dateIncrementType_Spinner.xml?version=2&amp;modificationDate=1686525106000&amp;cacheVersion=1&amp;api=v2</t>
  </si>
  <si>
    <t>https://inswave01.atlassian.net/wiki/download/attachments/1245427/dateIncrementType_dataType_date_Spinner.xml?version=1&amp;modificationDate=1646026759000&amp;cacheVersion=1&amp;api=v2</t>
  </si>
  <si>
    <t>https://inswave01.atlassian.net/wiki/download/attachments/1245427/dateIncrementType_dataType_time_Spinner.xml?version=1&amp;modificationDate=1646026845000&amp;cacheVersion=1&amp;api=v2</t>
  </si>
  <si>
    <t>https://inswave01.atlassian.net/wiki/download/attachments/1245427/initValue_Spinner.xml?version=1&amp;modificationDate=1638771017000&amp;cacheVersion=1&amp;api=v2</t>
  </si>
  <si>
    <t>https://inswave01.atlassian.net/wiki/download/attachments/1245427/title_Spinner.xml?version=1&amp;modificationDate=1658381156000&amp;cacheVersion=1&amp;api=v2</t>
  </si>
  <si>
    <t>https://inswave01.atlassian.net/wiki/download/attachments/1245427/useAlert_Spinner.xml?version=1&amp;modificationDate=1644803081000&amp;cacheVersion=1&amp;api=v2</t>
  </si>
  <si>
    <t>https://inswave01.atlassian.net/wiki/download/attachments/1245431/frameModal_TabControl.zip?version=1&amp;modificationDate=1637212241000&amp;cacheVersion=1&amp;api=v2</t>
  </si>
  <si>
    <t>https://inswave01.atlassian.net/wiki/download/attachments/1245431/frameMode_tabControl_content_openPopup_frameModal_$p.zip?version=1&amp;modificationDate=1637562064000&amp;cacheVersion=1&amp;api=v2</t>
  </si>
  <si>
    <t>https://inswave01.atlassian.net/wiki/download/attachments/1245431/getParameter_$p_addTab_TabControl.zip?version=1&amp;modificationDate=1648712362000&amp;cacheVersion=1&amp;api=v2</t>
  </si>
  <si>
    <t>https://inswave01.atlassian.net/wiki/download/attachments/1245431/keepDisabledTab_TabControl.zip?version=1&amp;modificationDate=1640568045000&amp;cacheVersion=1&amp;api=v2</t>
  </si>
  <si>
    <t>https://inswave01.atlassian.net/wiki/download/attachments/1245431/onscrollleftbtnclick_onscrollrightbtnclick_onsubmenubtnclick_TabControl.xml?version=1&amp;modificationDate=1654671146000&amp;cacheVersion=1&amp;api=v2</t>
  </si>
  <si>
    <t>https://inswave01.atlassian.net/wiki/download/attachments/1245431/pageFrame_addTab_TabControl.zip?version=1&amp;modificationDate=1716946440000&amp;cacheVersion=1&amp;api=v2</t>
  </si>
  <si>
    <t>https://inswave01.atlassian.net/wiki/download/attachments/1245431/processMsgFrame_TabControl.zip?version=1&amp;modificationDate=1654565724000&amp;cacheVersion=1&amp;api=v2</t>
  </si>
  <si>
    <t>https://inswave01.atlassian.net/wiki/download/attachments/1245431/processMsgFrameURL_config_processMsgFrame_TabControl.zip?version=1&amp;modificationDate=1654567989000&amp;cacheVersion=1&amp;api=v2</t>
  </si>
  <si>
    <t>https://inswave01.atlassian.net/wiki/download/attachments/1245431/tabPosition_TabControl.zip?version=1&amp;modificationDate=1641367656000&amp;cacheVersion=1&amp;api=v2</t>
  </si>
  <si>
    <t>https://inswave01.atlassian.net/wiki/download/attachments/1245431/2021%20-%2006%20TabControl%20(tabScroll%20%26%20changeActiveTab).zip?version=1&amp;modificationDate=1624511432000&amp;cacheVersion=1&amp;api=v2</t>
  </si>
  <si>
    <t>https://inswave01.atlassian.net/wiki/download/attachments/1245431/useTabTitleSelected_TabControl.xml?version=1&amp;modificationDate=1688425323000&amp;cacheVersion=1&amp;api=v2</t>
  </si>
  <si>
    <t>https://inswave01.atlassian.net/wiki/download/attachments/1245437/adaptive_adaptiveThreshold_TableLayout.xml?version=1&amp;modificationDate=1651643154000&amp;cacheVersion=1&amp;api=v2</t>
  </si>
  <si>
    <t>https://inswave01.atlassian.net/wiki/download/attachments/1245437/introduction_TableLayout.xml?version=1&amp;modificationDate=1651642104000&amp;cacheVersion=1&amp;api=v2</t>
  </si>
  <si>
    <t>https://inswave01.atlassian.net/wiki/download/attachments/1245481/showPlaceHolderOnReadOnly_TextArea.xml?version=1&amp;modificationDate=1652246295000&amp;cacheVersion=1&amp;api=v2</t>
  </si>
  <si>
    <t>https://inswave01.atlassian.net/wiki/download/attachments/1245409/tagname_TextBox.xml?version=1&amp;modificationDate=1651640826000&amp;cacheVersion=1&amp;api=v2</t>
  </si>
  <si>
    <t>https://inswave01.atlassian.net/wiki/download/attachments/1245409/tooltipDisplay_tooltipShowAlways_TextBox.xml?version=1&amp;modificationDate=1654837050000&amp;cacheVersion=1&amp;api=v2</t>
  </si>
  <si>
    <t>https://inswave01.atlassian.net/wiki/download/attachments/1245443/setNodeClass_removeNodeClass_TreeView.xml?version=1&amp;modificationDate=1710467964000&amp;cacheVersion=1&amp;api=v2</t>
  </si>
  <si>
    <t>https://inswave01.atlassian.net/wiki/download/attachments/1245443/showCheckbox_hierarchy_TreeView.xml?version=1&amp;modificationDate=1651042078000&amp;cacheVersion=1&amp;api=v2</t>
  </si>
  <si>
    <t>https://inswave01.atlassian.net/wiki/download/attachments/1245443/showCheckbox_setShowCheckBox_TreeView.xml?version=1&amp;modificationDate=1650265180000&amp;cacheVersion=1&amp;api=v2</t>
  </si>
  <si>
    <t>https://inswave01.atlassian.net/wiki/download/attachments/1245443/spanAll_TreeView.xml?version=1&amp;modificationDate=1678148441000&amp;cacheVersion=1&amp;api=v2</t>
  </si>
  <si>
    <t>https://inswave01.atlassian.net/wiki/download/attachments/1245443/spanNode_TreeView.xml?version=1&amp;modificationDate=1678148472000&amp;cacheVersion=1&amp;api=v2</t>
  </si>
  <si>
    <t>https://inswave01.atlassian.net/wiki/download/attachments/1245495/tooltipShowPositionX_tooltipShowPositionY_Trigger.xml?version=1&amp;modificationDate=1662441382000&amp;cacheVersion=1&amp;api=v2</t>
  </si>
  <si>
    <t>_UDC</t>
  </si>
  <si>
    <t>https://inswave01.atlassian.net/wiki/download/attachments/1245449/UDC.zip?version=3&amp;modificationDate=1642138655000&amp;cacheVersion=1&amp;api=v2</t>
  </si>
  <si>
    <t>https://inswave01.atlassian.net/wiki/download/attachments/1245449/create_UDC_SP5.zip?version=1&amp;modificationDate=1663314566000&amp;cacheVersion=1&amp;api=v2</t>
  </si>
  <si>
    <t>https://inswave01.atlassian.net/wiki/download/attachments/1245449/event_UDC_SP5.zip?version=1&amp;modificationDate=1663658244000&amp;cacheVersion=1&amp;api=v2</t>
  </si>
  <si>
    <t>https://inswave01.atlassian.net/wiki/download/attachments/1245449/property_UDC_SP5.zip?version=1&amp;modificationDate=1663649663000&amp;cacheVersion=1&amp;api=v2</t>
  </si>
  <si>
    <t>https://inswave01.atlassian.net/wiki/download/attachments/1245449/method_UDC_SP5.zip?version=1&amp;modificationDate=1663656754000&amp;cacheVersion=1&amp;api=v2</t>
  </si>
  <si>
    <t>https://inswave01.atlassian.net/wiki/download/attachments/1245433/popup_lazyPopup_config_xml.zip?version=1&amp;modificationDate=1654757723000&amp;cacheVersion=1&amp;api=v2</t>
  </si>
  <si>
    <t>https://inswave01.atlassian.net/wiki/download/attachments/1245433/warningSync_config_xml.zip?version=1&amp;modificationDate=1672105279000&amp;cacheVersion=1&amp;api=v2</t>
  </si>
  <si>
    <t>https://inswave01.atlassian.net/wiki/download/attachments/1245393/getAllFilteredJSON_DataList.xml?version=1&amp;modificationDate=1704690942000&amp;cacheVersion=1&amp;api=v2</t>
  </si>
  <si>
    <t>https://inswave01.atlassian.net/wiki/download/attachments/1245393/getAllJSON_DataList.zip?version=1&amp;modificationDate=1652835953000&amp;cacheVersion=1&amp;api=v2</t>
  </si>
  <si>
    <t>https://inswave01.atlassian.net/wiki/download/attachments/1245393/getCellData_DataList.zip?version=1&amp;modificationDate=1652849111000&amp;cacheVersion=1&amp;api=v2</t>
  </si>
  <si>
    <t>https://inswave01.atlassian.net/wiki/download/attachments/1245393/getFiterList_clearFilter_setColumnFilter_DataList.zip?version=1&amp;modificationDate=1652837377000&amp;cacheVersion=1&amp;api=v2</t>
  </si>
  <si>
    <t>https://inswave01.atlassian.net/wiki/download/attachments/1245393/getRowCount_DataList.zip?version=1&amp;modificationDate=1680048247000&amp;cacheVersion=1&amp;api=v2</t>
  </si>
  <si>
    <t>https://inswave01.atlassian.net/wiki/download/attachments/1245393/onbeforecelldatachange_DataList.zip?version=1&amp;modificationDate=1652851934000&amp;cacheVersion=1&amp;api=v2</t>
  </si>
  <si>
    <t>https://inswave01.atlassian.net/wiki/download/attachments/1245393/ondataload_DataList.zip?version=1&amp;modificationDate=1652850503000&amp;cacheVersion=1&amp;api=v2</t>
  </si>
  <si>
    <t>https://inswave01.atlassian.net/wiki/download/attachments/1245393/setCondition_LinkedDataList_Radio.zip?version=1&amp;modificationDate=1649053617000&amp;cacheVersion=1&amp;api=v2</t>
  </si>
  <si>
    <t>https://inswave01.atlassian.net/wiki/download/attachments/1245393/setJSON_DataList.zip?version=1&amp;modificationDate=1652761846000&amp;cacheVersion=1&amp;api=v2</t>
  </si>
  <si>
    <t>https://inswave01.atlassian.net/wiki/download/attachments/1245393/create_LinkedDataList.xml?version=1&amp;modificationDate=1652770671000&amp;cacheVersion=1&amp;api=v2</t>
  </si>
  <si>
    <t>https://inswave01.atlassian.net/wiki/download/attachments/1245393/dataList_dataMap_linkedDataList.xml?version=1&amp;modificationDate=1641883988000&amp;cacheVersion=1&amp;api=v2</t>
  </si>
  <si>
    <t>https://inswave01.atlassian.net/wiki/download/attachments/1245393/getFilteredColData_getColData_DataList.xml?version=1&amp;modificationDate=1652939679000&amp;cacheVersion=1&amp;api=v2</t>
  </si>
  <si>
    <t>https://inswave01.atlassian.net/wiki/download/attachments/1245393/importFormatter_dataList_column.xml?version=1&amp;modificationDate=1655357116000&amp;cacheVersion=1&amp;api=v2</t>
  </si>
  <si>
    <t>https://inswave01.atlassian.net/wiki/download/attachments/1245393/insertRow_removeRows_DataList.xml?version=1&amp;modificationDate=1652922687000&amp;cacheVersion=1&amp;api=v2</t>
  </si>
  <si>
    <t>https://inswave01.atlassian.net/wiki/download/attachments/1245393/onbeforemodelchange_DataMap.xml?version=1&amp;modificationDate=1649747814000&amp;cacheVersion=1&amp;api=v2</t>
  </si>
  <si>
    <t>https://inswave01.atlassian.net/wiki/download/attachments/1245393/onkeyset_DataMap.xml?version=1&amp;modificationDate=1658382652000&amp;cacheVersion=1&amp;api=v2</t>
  </si>
  <si>
    <t>https://inswave01.atlassian.net/wiki/download/attachments/1245393/recommended_use_LinkedDataList.xml?version=1&amp;modificationDate=1652768047000&amp;cacheVersion=1&amp;api=v2</t>
  </si>
  <si>
    <t>https://inswave01.atlassian.net/wiki/download/attachments/1245393/setColumnFilter_DataList.xml?version=1&amp;modificationDate=1686878706000&amp;cacheVersion=1&amp;api=v2</t>
  </si>
  <si>
    <t>https://inswave01.atlassian.net/wiki/download/attachments/1245393/setCondition_LinkedDataList.pdf?version=1&amp;modificationDate=1649050033000&amp;cacheVersion=1&amp;api=v2</t>
  </si>
  <si>
    <t>https://inswave01.atlassian.net/wiki/download/attachments/1245393/setData_setJSON_setXML_DataList.xml?version=1&amp;modificationDate=1652766879000&amp;cacheVersion=1&amp;api=v2</t>
  </si>
  <si>
    <t>https://inswave01.atlassian.net/wiki/download/attachments/1245393/setUserData_getUserData_DataList.xml?version=1&amp;modificationDate=1640045300000&amp;cacheVersion=1&amp;api=v2</t>
  </si>
  <si>
    <t>https://inswave01.atlassian.net/wiki/download/attachments/1245405/autoArrange_WindowContainer.zip?version=1&amp;modificationDate=1639962504000&amp;cacheVersion=1&amp;api=v2</t>
  </si>
  <si>
    <t>https://inswave01.atlassian.net/wiki/download/attachments/1245405/2021%20-%2009%20WindowContainer%20(createWindow%20-%20defaultWidth%20%26%20defaultHeight).zip?version=1&amp;modificationDate=1630480611000&amp;cacheVersion=1&amp;api=v2</t>
  </si>
  <si>
    <t>https://inswave01.atlassian.net/wiki/download/attachments/1245405/createWindow_frameModal_WindowContainer.zip?version=1&amp;modificationDate=1637653074000&amp;cacheVersion=1&amp;api=v2</t>
  </si>
  <si>
    <t>https://inswave01.atlassian.net/wiki/download/attachments/1245405/createWindow_WindowContainer.zip?version=2&amp;modificationDate=1653459141000&amp;cacheVersion=1&amp;api=v2</t>
  </si>
  <si>
    <t>https://inswave01.atlassian.net/wiki/download/attachments/1245405/frameMode_spaReplaceHistory_WindowContainer.zip?version=1&amp;modificationDate=1655856060000&amp;cacheVersion=1&amp;api=v2</t>
  </si>
  <si>
    <t>https://inswave01.atlassian.net/wiki/download/attachments/1245405/frameMode_windowContainer_window_openPopup_frameModal_$p.zip?version=1&amp;modificationDate=1637565941000&amp;cacheVersion=1&amp;api=v2</t>
  </si>
  <si>
    <t>https://inswave01.atlassian.net/wiki/download/attachments/1245405/getParameter_$p_createWindow_WindowContainer.zip?version=1&amp;modificationDate=1648712524000&amp;cacheVersion=1&amp;api=v2</t>
  </si>
  <si>
    <t>https://inswave01.atlassian.net/wiki/download/attachments/1245405/onminimizebtnclick_onrestorebtnclick_WindowContainer.zip?version=1&amp;modificationDate=1649305966000&amp;cacheVersion=1&amp;api=v2</t>
  </si>
  <si>
    <t>https://inswave01.atlassian.net/wiki/download/attachments/1245405/pageFrame_createWindow_WindowContainer.zip?version=1&amp;modificationDate=1717120385000&amp;cacheVersion=1&amp;api=v2</t>
  </si>
  <si>
    <t>https://inswave01.atlassian.net/wiki/download/attachments/1245405/processMsgFrame_WindowContainer.zip?version=1&amp;modificationDate=1654846386000&amp;cacheVersion=1&amp;api=v2</t>
  </si>
  <si>
    <t>https://inswave01.atlassian.net/wiki/download/attachments/1245405/processMsgFrameURL_config_processMsgFrame_WindowContainer.zip?version=1&amp;modificationDate=1654846833000&amp;cacheVersion=1&amp;api=v2</t>
  </si>
  <si>
    <t>https://inswave01.atlassian.net/wiki/download/attachments/1245405/setArrangeWindows_WindowContainer.zip?version=1&amp;modificationDate=1654562420000&amp;cacheVersion=1&amp;api=v2</t>
  </si>
  <si>
    <t>https://inswave01.atlassian.net/wiki/download/attachments/1245405/stopMinimizeOnNameLayer_WindowContainer.zip?version=1&amp;modificationDate=1653459154000&amp;cacheVersion=1&amp;api=v2</t>
  </si>
  <si>
    <t>https://inswave01.atlassian.net/wiki/download/attachments/1245405/2021%20-%2009%20WindowContainer%20(windowMoveType).zip?version=1&amp;modificationDate=1632373664000&amp;cacheVersion=1&amp;api=v2</t>
  </si>
  <si>
    <t>https://inswave01.atlassian.net/wiki/download/attachments/1245405/changeActiveWindow_WindowContainer.xml?version=1&amp;modificationDate=1660611671000&amp;cacheVersion=1&amp;api=v2</t>
  </si>
  <si>
    <t>https://inswave01.atlassian.net/wiki/download/attachments/1245405/closeOthers_WindowContainer.xml?version=1&amp;modificationDate=1641184167000&amp;cacheVersion=1&amp;api=v2</t>
  </si>
  <si>
    <t>https://inswave01.atlassian.net/wiki/download/attachments/1245405/controlIconPosition_useNameContainer_WindowContainer.xml?version=1&amp;modificationDate=1640047937000&amp;cacheVersion=1&amp;api=v2</t>
  </si>
  <si>
    <t>https://inswave01.atlassian.net/wiki/download/attachments/1245405/getSelectedIndex_WindowContainer.xml?version=1&amp;modificationDate=1638409804000&amp;cacheVersion=1&amp;api=v2</t>
  </si>
  <si>
    <t>https://inswave01.atlassian.net/wiki/download/attachments/1245405/includeMinimizeWindow_WindowContainer.xml?version=1&amp;modificationDate=1705450044000&amp;cacheVersion=1&amp;api=v2</t>
  </si>
  <si>
    <t>https://inswave01.atlassian.net/wiki/download/attachments/1245405/ondragstart_ondragend_WindowContainer.xml?version=1&amp;modificationDate=1688426163000&amp;cacheVersion=1&amp;api=v2</t>
  </si>
  <si>
    <t>https://inswave01.atlassian.net/wiki/download/attachments/1245405/setFocus_WindowContainer.xml?version=1&amp;modificationDate=1670287189000&amp;cacheVersion=1&amp;api=v2</t>
  </si>
  <si>
    <t>https://inswave01.atlassian.net/wiki/download/attachments/1245405/setWindowTabOrder_WindowContainer.xml?version=1&amp;modificationDate=1688425829000&amp;cacheVersion=1&amp;api=v2</t>
  </si>
  <si>
    <t>https://inswave01.atlassian.net/wiki/download/attachments/1245405/2021%20-%2008%20WindowContainer%20(useFixButton%20%26%20nameLayerRearrange).xml?version=1&amp;modificationDate=1630051568000&amp;cacheVersion=1&amp;api=v2</t>
  </si>
  <si>
    <t>https://inswave01.atlassian.net/wiki/download/attachments/1245405/2021%20-%2008%20WindowContainer%20(useWindowScrollButton).xml?version=1&amp;modificationDate=1628060586000&amp;cacheVersion=1&amp;api=v2</t>
  </si>
  <si>
    <t>https://inswave01.atlassian.net/wiki/download/attachments/1245405/useWindowScrollButton_windowScrollVisibleRowNum_WindowContainer.xml?version=1&amp;modificationDate=1639979858000&amp;cacheVersion=1&amp;api=v2</t>
  </si>
  <si>
    <t>https://inswave01.atlassian.net/wiki/download/attachments/1245405/2021%20-%2010%20WindowContainer%20(w2window_selected).xml?version=1&amp;modificationDate=1634622215000&amp;cacheVersion=1&amp;api=v2</t>
  </si>
  <si>
    <t>https://inswave01.atlassian.net/wiki/download/attachments/1245405/window_maximization_WindowContainer.xml?version=1&amp;modificationDate=1639962652000&amp;cacheVersion=1&amp;api=v2</t>
  </si>
  <si>
    <t>https://inswave01.atlassian.net/wiki/download/attachments/1245405/window_minimization_WindowContainer.xml?version=1&amp;modificationDate=1639962672000&amp;cacheVersion=1&amp;api=v2</t>
  </si>
  <si>
    <t>https://inswave01.atlassian.net/wiki/download/attachments/1245475/adding_CSS_Design.zip?version=1&amp;modificationDate=1714454630000&amp;cacheVersion=1&amp;api=v2</t>
  </si>
  <si>
    <t>https://inswave01.atlassian.net/wiki/download/attachments/1245475/block_styling_Design.xml?version=1&amp;modificationDate=1714460201000&amp;cacheVersion=1&amp;api=v2</t>
  </si>
  <si>
    <t>https://inswave01.atlassian.net/wiki/download/attachments/1245475/float_overflow_Design.xml?version=1&amp;modificationDate=1715237292000&amp;cacheVersion=1&amp;api=v2</t>
  </si>
  <si>
    <t>https://inswave01.atlassian.net/wiki/download/attachments/1245475/margin_padding_Design.xml?version=1&amp;modificationDate=1715048321000&amp;cacheVersion=1&amp;api=v2</t>
  </si>
  <si>
    <t>https://inswave01.atlassian.net/wiki/download/attachments/1245451/Menus_Debugging.zip?version=1&amp;modificationDate=1641190751000&amp;cacheVersion=1&amp;api=v2</t>
  </si>
  <si>
    <t>https://inswave01.atlassian.net/wiki/download/attachments/1245451/View_Submission_Debugging.zip?version=1&amp;modificationDate=1688540682000&amp;cacheVersion=1&amp;api=v2</t>
  </si>
  <si>
    <t>https://inswave01.atlassian.net/wiki/download/attachments/1245451/Event_Debugging.xml?version=1&amp;modificationDate=1675659758000&amp;cacheVersion=1&amp;api=v2</t>
  </si>
  <si>
    <t>https://inswave01.atlassian.net/wiki/download/attachments/1245455/2021%20-%2008%20Multi-language%20(useLocale%20%26%20localeRef).zip?version=1&amp;modificationDate=1628233924000&amp;cacheVersion=1&amp;api=v2</t>
  </si>
  <si>
    <t>https://inswave01.atlassian.net/wiki/download/attachments/1245455/2021%20-%2008%20Multi-language%20(useLocale%20%26%20tooltipLocaleRef).zip?version=1&amp;modificationDate=1629185654000&amp;cacheVersion=1&amp;api=v2</t>
  </si>
  <si>
    <t>https://inswave01.atlassian.net/wiki/download/attachments/1245455/useLocale_useDefaultLabel_Multi_language.zip?version=1&amp;modificationDate=1644216014000&amp;cacheVersion=1&amp;api=v2</t>
  </si>
  <si>
    <t>https://inswave01.atlassian.net/wiki/download/attachments/1245455/2021%20-%2008%20Multi-language%20(useLocale%20%26%20useItemLocale%20%26%20chooseOption%20%26%20chooseOptionLabelLocaleRef).zip?version=1&amp;modificationDate=1628829024000&amp;cacheVersion=1&amp;api=v2</t>
  </si>
  <si>
    <t>https://inswave01.atlassian.net/wiki/download/attachments/1245455/2021%20-%2008%20Multi-language%20(useLocale%20%26%20useItemLocale).zip?version=1&amp;modificationDate=1628668933000&amp;cacheVersion=1&amp;api=v2</t>
  </si>
  <si>
    <t>https://inswave01.atlassian.net/wiki/download/attachments/1245425/addWidgets_WidgetContainer.zip?version=2&amp;modificationDate=1653269080000&amp;cacheVersion=1&amp;api=v2</t>
  </si>
  <si>
    <t>https://inswave01.atlassian.net/wiki/download/attachments/1245425/processMsgFrame_WidgetContainer.zip?version=1&amp;modificationDate=1682295096000&amp;cacheVersion=1&amp;api=v2</t>
  </si>
  <si>
    <t>https://inswave01.atlassian.net/wiki/download/attachments/1245425/exportWidgets_removeWidgetsAll_WidgetContainer.xml?version=1&amp;modificationDate=1653268548000&amp;cacheVersion=1&amp;api=v2</t>
  </si>
  <si>
    <t>https://inswave01.atlassian.net/wiki/download/attachments/1245425/move_resize_widgets_WidgetContainer.xml?version=1&amp;modificationDate=1653269520000&amp;cacheVersion=1&amp;api=v2</t>
  </si>
  <si>
    <t>https://inswave01.atlassian.net/wiki/download/attachments/1245425/preventMaximizeByTitle_WidgetContainer.xml?version=1&amp;modificationDate=1653464119000&amp;cacheVersion=1&amp;api=v2</t>
  </si>
  <si>
    <t>https://inswave01.atlassian.net/wiki/download/attachments/1245401/frameModal_WFrame.zip?version=1&amp;modificationDate=1637212023000&amp;cacheVersion=1&amp;api=v2</t>
  </si>
  <si>
    <t>https://inswave01.atlassian.net/wiki/download/attachments/1245401/getParameter_$p_setSrc_WFrame.zip?version=1&amp;modificationDate=1648712649000&amp;cacheVersion=1&amp;api=v2</t>
  </si>
  <si>
    <t>https://inswave01.atlassian.net/wiki/download/attachments/1245401/onbeforewframeunload_WFrame.zip?version=1&amp;modificationDate=1676352247000&amp;cacheVersion=1&amp;api=v2</t>
  </si>
  <si>
    <t>https://inswave01.atlassian.net/wiki/download/attachments/1245401/onpageload_execution_sequence_WFrame.zip?version=1&amp;modificationDate=1654839366000&amp;cacheVersion=1&amp;api=v2</t>
  </si>
  <si>
    <t>https://inswave01.atlassian.net/wiki/download/attachments/1245401/processMsgFrame_WFrame.zip?version=2&amp;modificationDate=1688024178000&amp;cacheVersion=1&amp;api=v2</t>
  </si>
  <si>
    <t>https://inswave01.atlassian.net/wiki/download/attachments/1245401/processMsgFrameURL_config_processMsgFrame_WFrame.zip?version=1&amp;modificationDate=1654567643000&amp;cacheVersion=1&amp;api=v2</t>
  </si>
  <si>
    <t>https://inswave01.atlassian.net/wiki/download/attachments/1245399/multipleExcelDownload_multipleSheet_WebSquare_util.zip?version=1&amp;modificationDate=1658123452000&amp;cacheVersion=1&amp;api=v2</t>
  </si>
  <si>
    <t>https://inswave01.atlassian.net/wiki/download/attachments/1245479/enableContextMenu_disableContextMenu_WebSquare_logger.xml?version=1&amp;modificationDate=1652333673000&amp;cacheVersion=1&amp;api=v2</t>
  </si>
  <si>
    <t>https://inswave01.atlassian.net/wiki/download/attachments/1245506/isValidDate_WebSquare_date.xml?version=2&amp;modificationDate=1704440940000&amp;cacheVersion=1&amp;api=v2</t>
  </si>
  <si>
    <t>https://inswave01.atlassian.net/wiki/download/attachments/1245506/toLunar_toSolar_WebSquare_date.xml?version=1&amp;modificationDate=1672794060000&amp;cacheVersion=1&amp;api=v2</t>
  </si>
  <si>
    <t>https://inswave01.atlassian.net/wiki/download/attachments/1245499/clickOpenFileDialog_Upload.xml?version=1&amp;modificationDate=1664499292000&amp;cacheVersion=1&amp;api=v2</t>
  </si>
  <si>
    <t>https://inswave01.atlassian.net/wiki/download/attachments/1245499/openFileDialog_Upload.xml?version=1&amp;modificationDate=1664499931000&amp;cacheVersion=1&amp;api=v2</t>
  </si>
  <si>
    <t>https://inswave01.atlassian.net/wiki/download/attachments/1245389/2021%20-%2010%20GridView%20(dataDragDrop).zip?version=1&amp;modificationDate=1634107121000&amp;cacheVersion=1&amp;api=v2</t>
  </si>
  <si>
    <t>https://inswave01.atlassian.net/wiki/download/attachments/1245463/dataDragSelect_useShiftKey_to_copy_GridView.zip?version=1&amp;modificationDate=1653545958000&amp;cacheVersion=1&amp;api=v2</t>
  </si>
  <si>
    <t>https://inswave01.atlassian.net/wiki/download/attachments/1245389/2021%20-%2010%20GridView%20(setDrillDownDragDrop).zip?version=1&amp;modificationDate=1634176019000&amp;cacheVersion=1&amp;api=v2</t>
  </si>
  <si>
    <t>https://inswave01.atlassian.net/wiki/download/attachments/1245463/dataDragDropOther_GridView.xml?version=1&amp;modificationDate=1646976187000&amp;cacheVersion=1&amp;api=v2</t>
  </si>
  <si>
    <t>https://inswave01.atlassian.net/wiki/download/attachments/1245463/dataDragDropSelf_GridView.xml?version=1&amp;modificationDate=1705450147000&amp;cacheVersion=1&amp;api=v2</t>
  </si>
  <si>
    <t>https://inswave01.atlassian.net/wiki/download/attachments/1245463/dataDragDropStatus_GridView.xml?version=1&amp;modificationDate=1638426279000&amp;cacheVersion=1&amp;api=v2</t>
  </si>
  <si>
    <t>https://inswave01.atlassian.net/wiki/download/attachments/1245463/dataDragSelect_dataDragSelectAutoScroll_2_GridView.xml?version=1&amp;modificationDate=1654568512000&amp;cacheVersion=1&amp;api=v2</t>
  </si>
  <si>
    <t>https://inswave01.atlassian.net/wiki/download/attachments/1245389/2021%20-%2006%20GridView%20(dataDragSelect%20%26%20useShiftKey).xml?version=1&amp;modificationDate=1624518140000&amp;cacheVersion=1&amp;api=v2</t>
  </si>
  <si>
    <t>https://inswave01.atlassian.net/wiki/download/attachments/1245461/onscrollstart_alwaysTriggerScrollStart_GridView.zip?version=1&amp;modificationDate=1653456258000&amp;cacheVersion=1&amp;api=v2</t>
  </si>
  <si>
    <t>https://inswave01.atlassian.net/wiki/download/attachments/1245483/adding_event_example_onsort_GridView.xml?version=1&amp;modificationDate=1655452677000&amp;cacheVersion=1&amp;api=v2</t>
  </si>
  <si>
    <t>https://inswave01.atlassian.net/wiki/download/attachments/1245483/oncellclick_2_GridView.xml?version=1&amp;modificationDate=1655682195000&amp;cacheVersion=1&amp;api=v2</t>
  </si>
  <si>
    <t>https://inswave01.atlassian.net/wiki/download/attachments/1245483/oncelldblclick_GridView.xml?version=1&amp;modificationDate=1655681694000&amp;cacheVersion=1&amp;api=v2</t>
  </si>
  <si>
    <t>https://inswave01.atlassian.net/wiki/download/attachments/1245483/oncontextopen_GridView.xml?version=1&amp;modificationDate=1658728446000&amp;cacheVersion=1&amp;api=v2</t>
  </si>
  <si>
    <t>https://inswave01.atlassian.net/wiki/download/attachments/1245483/ondateselect_onmonthselect_onyearselect_GridView.xml?version=1&amp;modificationDate=1655709738000&amp;cacheVersion=1&amp;api=v2</t>
  </si>
  <si>
    <t>https://inswave01.atlassian.net/wiki/download/attachments/1245483/onheadermouseover_onheadermouseout_GridView.xml?version=1&amp;modificationDate=1710228203000&amp;cacheVersion=1&amp;api=v2</t>
  </si>
  <si>
    <t>https://inswave01.atlassian.net/wiki/download/attachments/1245389/2021%20-%2009%20GridView%20(advancedExcelDownload%20-%20options.customToDataType).zip?version=1&amp;modificationDate=1632812517000&amp;cacheVersion=1&amp;api=v2</t>
  </si>
  <si>
    <t>https://inswave01.atlassian.net/wiki/download/attachments/1245467/advancedExcelDownload_GridView.zip?version=1&amp;modificationDate=1655451024000&amp;cacheVersion=1&amp;api=v2</t>
  </si>
  <si>
    <t>https://inswave01.atlassian.net/wiki/download/attachments/1245467/advancedExcelUpload_decimal_applyDecimal_GridView.zip?version=1&amp;modificationDate=1654671082000&amp;cacheVersion=1&amp;api=v2</t>
  </si>
  <si>
    <t>https://inswave01.atlassian.net/wiki/download/attachments/1245467/advancedExcelUpload_sheetName_GridView.zip?version=1&amp;modificationDate=1655705194000&amp;cacheVersion=1&amp;api=v2</t>
  </si>
  <si>
    <t>https://inswave01.atlassian.net/wiki/download/attachments/1245467/advancedExcelUpload_trim_GridView.zip?version=1&amp;modificationDate=1640221564000&amp;cacheVersion=1&amp;api=v2</t>
  </si>
  <si>
    <t>https://inswave01.atlassian.net/wiki/download/attachments/1245467/advancedExcelUpload_type_convertIndex_GridView.zip?version=1&amp;modificationDate=1639631157000&amp;cacheVersion=1&amp;api=v2</t>
  </si>
  <si>
    <t>https://inswave01.atlassian.net/wiki/download/attachments/1245467/advancedExcelUpload_type_GridView.zip?version=1&amp;modificationDate=1639631394000&amp;cacheVersion=1&amp;api=v2</t>
  </si>
  <si>
    <t>https://inswave01.atlassian.net/wiki/download/attachments/1245467/advancedExcelDownload_colMerge_colMergeValue_GridView.xml?version=1&amp;modificationDate=1655171900000&amp;cacheVersion=1&amp;api=v2</t>
  </si>
  <si>
    <t>https://inswave01.atlassian.net/wiki/download/attachments/1245467/advancedExcelDownload_headerRowHeight_GridView.xml?version=1&amp;modificationDate=1717980361000&amp;cacheVersion=1&amp;api=v2</t>
  </si>
  <si>
    <t>https://inswave01.atlassian.net/wiki/download/attachments/1245467/advancedExcelDownload_trim_GridView.xml?version=2&amp;modificationDate=1649910468000&amp;cacheVersion=1&amp;api=v2</t>
  </si>
  <si>
    <t>https://inswave01.atlassian.net/wiki/download/attachments/1245467/advancedExcelDownload_type_convertIndex_GridView.xml?version=1&amp;modificationDate=1639631518000&amp;cacheVersion=1&amp;api=v2</t>
  </si>
  <si>
    <t>https://inswave01.atlassian.net/wiki/download/attachments/1245467/advancedExcelDownload_type_GridView.xml?version=1&amp;modificationDate=1639631653000&amp;cacheVersion=1&amp;api=v2</t>
  </si>
  <si>
    <t>https://inswave01.atlassian.net/wiki/download/attachments/1245467/advancedExcelDownload_useStyle_GridView.xml?version=1&amp;modificationDate=1658471134000&amp;cacheVersion=1&amp;api=v2</t>
  </si>
  <si>
    <t>https://inswave01.atlassian.net/wiki/download/attachments/1245467/advancedExcelDownload_useStyle_headerFontBold_GridView.xml?version=1&amp;modificationDate=1655703915000&amp;cacheVersion=1&amp;api=v2</t>
  </si>
  <si>
    <t>https://inswave01.atlassian.net/wiki/download/attachments/1245467/advancedExcelDownload_xxxFontBold.xml?version=1&amp;modificationDate=1658466537000&amp;cacheVersion=1&amp;api=v2</t>
  </si>
  <si>
    <t>https://inswave01.atlassian.net/wiki/download/attachments/1245467/advancedExcelUpload_wframe_features_className_GridView.xml?version=1&amp;modificationDate=1655354256000&amp;cacheVersion=1&amp;api=v2</t>
  </si>
  <si>
    <t>https://inswave01.atlassian.net/wiki/download/attachments/1245467/excelCellType_gridView_column.xml?version=1&amp;modificationDate=1641365650000&amp;cacheVersion=1&amp;api=v2</t>
  </si>
  <si>
    <t>https://inswave01.atlassian.net/wiki/download/attachments/1245389/2021%20-%2007%20gridView.column%20(excelFormat).xml?version=1&amp;modificationDate=1625128617000&amp;cacheVersion=1&amp;api=v2</t>
  </si>
  <si>
    <t>https://inswave01.atlassian.net/wiki/download/attachments/1245389/2021%20-%2009%20gridView.column%20(excelFormatter).xml?version=1&amp;modificationDate=1632812591000&amp;cacheVersion=1&amp;api=v2</t>
  </si>
  <si>
    <t>https://inswave01.atlassian.net/wiki/download/attachments/1245467/readCSV_wframe_features_className_GridView.xml?version=1&amp;modificationDate=1655355853000&amp;cacheVersion=1&amp;api=v2</t>
  </si>
  <si>
    <t>https://inswave01.atlassian.net/wiki/download/attachments/1245471/useFilterSearch_GridView.zip?version=1&amp;modificationDate=1665711043000&amp;cacheVersion=1&amp;api=v2</t>
  </si>
  <si>
    <t>https://inswave01.atlassian.net/wiki/download/attachments/1245471/hideFilterIconOnNoData_GridView.xml?version=1&amp;modificationDate=1662441104000&amp;cacheVersion=1&amp;api=v2</t>
  </si>
  <si>
    <t>https://inswave01.atlassian.net/wiki/download/attachments/1245471/showSortableUseFilter_GridView.xml?version=1&amp;modificationDate=1644905201000&amp;cacheVersion=1&amp;api=v2</t>
  </si>
  <si>
    <t>https://inswave01.atlassian.net/wiki/download/attachments/1245471/useFilter_gridView_column.xml?version=1&amp;modificationDate=1644906075000&amp;cacheVersion=1&amp;api=v2</t>
  </si>
  <si>
    <t>https://inswave01.atlassian.net/wiki/download/attachments/1245465/inputType_expression_footer_gridView_column.zip?version=1&amp;modificationDate=1663226801000&amp;cacheVersion=1&amp;api=v2</t>
  </si>
  <si>
    <t>https://inswave01.atlassian.net/wiki/download/attachments/1245461/inputType_expression_SUM_gridView_column.zip?version=1&amp;modificationDate=1647913228000&amp;cacheVersion=1&amp;api=v2</t>
  </si>
  <si>
    <t>https://inswave01.atlassian.net/wiki/download/attachments/1245501/footer_GridView.xml?version=1&amp;modificationDate=1669186220000&amp;cacheVersion=1&amp;api=v2</t>
  </si>
  <si>
    <t>https://inswave01.atlassian.net/wiki/download/attachments/1245501/getFooterData_GridView.xml?version=1&amp;modificationDate=1669188056000&amp;cacheVersion=1&amp;api=v2</t>
  </si>
  <si>
    <t>https://inswave01.atlassian.net/wiki/download/attachments/1245461/inputType_expression_AVG_gridView_column.xml?version=1&amp;modificationDate=1647840825000&amp;cacheVersion=1&amp;api=v2</t>
  </si>
  <si>
    <t>https://inswave01.atlassian.net/wiki/download/attachments/1245501/inputType_expression_sumif_sumifs_gridView_column.xml?version=1&amp;modificationDate=1687305241000&amp;cacheVersion=1&amp;api=v2</t>
  </si>
  <si>
    <t>https://inswave01.atlassian.net/wiki/download/attachments/1245487/customFormatter_gridView_column.xml?version=1&amp;modificationDate=1671686507000&amp;cacheVersion=1&amp;api=v2</t>
  </si>
  <si>
    <t>https://inswave01.atlassian.net/wiki/download/attachments/1245487/displayFormat_gridView_column.xml?version=1&amp;modificationDate=1655682279000&amp;cacheVersion=1&amp;api=v2</t>
  </si>
  <si>
    <t>https://inswave01.atlassian.net/wiki/download/attachments/1245487/displayFormatter_gridView_column.xml?version=1&amp;modificationDate=1655682314000&amp;cacheVersion=1&amp;api=v2</t>
  </si>
  <si>
    <t>https://inswave01.atlassian.net/wiki/download/attachments/1245389/2021%20-%2010%20GridView%20(clearGroupby).zip?version=1&amp;modificationDate=1635143495000&amp;cacheVersion=1&amp;api=v2</t>
  </si>
  <si>
    <t>https://inswave01.atlassian.net/wiki/download/attachments/1245389/customFilterBox_GridView.xml?version=1&amp;modificationDate=1635827793000&amp;cacheVersion=1&amp;api=v2</t>
  </si>
  <si>
    <t>https://inswave01.atlassian.net/wiki/download/attachments/1245389/2021%20-%2010%20GridView%20(groupby).xml?version=1&amp;modificationDate=1634780463000&amp;cacheVersion=1&amp;api=v2</t>
  </si>
  <si>
    <t>https://inswave01.atlassian.net/wiki/download/attachments/1245508/groupby_showOnlyLastDepth_GridView.xml?version=1&amp;modificationDate=1673999750000&amp;cacheVersion=1&amp;api=v2</t>
  </si>
  <si>
    <t>https://inswave01.atlassian.net/wiki/download/attachments/1245389/groupbyFilterBox_groupbyFilterBoxLocation_GridView.xml?version=1&amp;modificationDate=1635827741000&amp;cacheVersion=1&amp;api=v2</t>
  </si>
  <si>
    <t>https://inswave01.atlassian.net/wiki/download/attachments/1245389/2021%20-%2010%20GridView%20(groupbyMaxCount).xml?version=1&amp;modificationDate=1635384573000&amp;cacheVersion=1&amp;api=v2</t>
  </si>
  <si>
    <t>https://inswave01.atlassian.net/wiki/download/attachments/1245389/2021%20-%2010%20GridView%20(groupbyZone).xml?version=1&amp;modificationDate=1635126945000&amp;cacheVersion=1&amp;api=v2</t>
  </si>
  <si>
    <t>https://inswave01.atlassian.net/wiki/download/attachments/1245389/groupbyZoneHeight_groupbyZoneMessage_GridView.xml?version=1&amp;modificationDate=1635826823000&amp;cacheVersion=1&amp;api=v2</t>
  </si>
  <si>
    <t>ScheduleCalendar - useHeaderToolbar</t>
  </si>
  <si>
    <t>ScheduleCalendar- setDayNameStyle()</t>
  </si>
  <si>
    <t>useHeaderToolbar_ScheduleCalendar</t>
  </si>
  <si>
    <t>useFooterToolbar_customButtonText_customButtonClickFunction_ScheduleCalendar</t>
  </si>
  <si>
    <t>PageFrame</t>
  </si>
  <si>
    <t>onpageframeload_onbeforepageframeunload_PageFrame</t>
  </si>
  <si>
    <t>useHeaderToolbar</t>
  </si>
  <si>
    <t>useFooterToolbar
customButtonText
customButtonClickFunction</t>
  </si>
  <si>
    <t>onpageframeload
onbeforepageframeunload</t>
  </si>
  <si>
    <t>selectable
noUsePrompt</t>
  </si>
  <si>
    <t>PageFrame이 로딩되는 시점 및 언로딩되기 직전에 발생.</t>
  </si>
  <si>
    <t>https://inswave01.atlassian.net/wiki/download/attachments/11665409/onpageframeload_onbeforepageframeunload_PageFrame.zip?version=1&amp;modificationDate=1718677204697&amp;cacheVersion=1&amp;api=v2</t>
  </si>
  <si>
    <t>https://youtu.be/uA8I2aZDZM8</t>
  </si>
  <si>
    <t>setDayNameStyle_ScheduleCalendar</t>
  </si>
  <si>
    <t>setDayNameStyle()</t>
  </si>
  <si>
    <t>달력 헤더의 툴바 표시 여부를 설정.</t>
  </si>
  <si>
    <t>https://youtu.be/552eX01PYpo</t>
  </si>
  <si>
    <t>/ScheduleCalendar/useHeaderToolbar_ScheduleCalendar.xml</t>
  </si>
  <si>
    <t>https://inswave01.atlassian.net/wiki/download/attachments/1245397/useHeaderToolbar_ScheduleCalendar.xml?version=1&amp;modificationDate=1718947001485&amp;cacheVersion=1&amp;api=v2</t>
  </si>
  <si>
    <t>달력 푸터의 툴바에 버튼을 추가하고 각 버튼을 클릭할 때 실행할 동작을 설정.</t>
  </si>
  <si>
    <t>날짜를 클릭할 때 일정 입력 프롬프트 창을 표시하지 않음.</t>
  </si>
  <si>
    <t>/ScheduleCalendar/selectable_noUsePrompt_ScheduleCalendar.xml</t>
  </si>
  <si>
    <t>/ScheduleCalendar/useFooterToolbar_customButtonText_customButtonClickFunction_ScheduleCalendar.xml</t>
  </si>
  <si>
    <t>https://inswave01.atlassian.net/wiki/download/attachments/1245397/useFooterToolbar_customButtonText_customButtonClickFunction_ScheduleCalendar.xml?version=1&amp;modificationDate=1719281448485&amp;cacheVersion=1&amp;api=v2</t>
  </si>
  <si>
    <t>https://inswave01.atlassian.net/wiki/download/attachments/1245397/selectable_noUsePrompt_ScheduleCalendar.xml?version=1&amp;modificationDate=1719281410217&amp;cacheVersion=1&amp;api=v2</t>
  </si>
  <si>
    <t>https://youtu.be/FUQh7pQR8jw</t>
  </si>
  <si>
    <t>https://youtu.be/rQl7Jzhvh8k</t>
  </si>
  <si>
    <t>https://inswave01.atlassian.net/wiki/download/attachments/1245393/introduction_DataList.xml?version=1&amp;modificationDate=1651797434000&amp;cacheVersion=1&amp;api=v2</t>
  </si>
  <si>
    <t>https://inswave01.atlassian.net/wiki/download/attachments/1245397/nextDayThreshold_ScheduleCalendar.xml?version=1&amp;modificationDate=1652857315000&amp;cacheVersion=1&amp;api=v2</t>
  </si>
  <si>
    <t>GridView - setDataType() &amp; getDataType()</t>
  </si>
  <si>
    <t>WindowContainer - setFocus()</t>
  </si>
  <si>
    <t>https://inswave01.atlassian.net/wiki/download/attachments/1245461/setSubtotalVisible_GridView.xml?version=1&amp;modificationDate=1654845697000&amp;cacheVersion=1&amp;api=v2</t>
  </si>
  <si>
    <t>GridView - subTotal</t>
  </si>
  <si>
    <t>GridView - advancedExcelUpload() &amp; options.sheetName</t>
  </si>
  <si>
    <t>Generator - insertChild() &amp; UDC</t>
  </si>
  <si>
    <t>InputCalendar - showToday</t>
  </si>
  <si>
    <t>GridView - setAutoFit() &amp; clearAutoFit()</t>
  </si>
  <si>
    <t>GridView - advancedExcelDownload() &amp; options.trim</t>
  </si>
  <si>
    <t>InputCalendar - visibleWeekNum</t>
  </si>
  <si>
    <t>MultiUpload - getFileInfos() &amp; setParamJSON()</t>
  </si>
  <si>
    <t>Spinner - dateIncrementType &amp; dataType="date"</t>
  </si>
  <si>
    <t>GridView - copyOption</t>
  </si>
  <si>
    <t>SelectBox - setEnableColumn()</t>
  </si>
  <si>
    <t>Gridview - setColumnVisibleColumn()</t>
  </si>
  <si>
    <t>Config.xml - popup &amp; lazyPopup</t>
  </si>
  <si>
    <t>InputBox - oneditfull &amp; maxByteLength &amp; autoFocus</t>
  </si>
  <si>
    <t>AutoComplete - oneditkeyup</t>
  </si>
  <si>
    <t>TabControl - frameModal</t>
  </si>
  <si>
    <t>config xml - exceptEmptyValue</t>
  </si>
  <si>
    <t>GridView - dataDragSelect &amp; useShiftKey</t>
  </si>
  <si>
    <t>preserveType_DataList</t>
  </si>
  <si>
    <t>keepDataType_DataList</t>
  </si>
  <si>
    <t>keepDataType_DataMap</t>
  </si>
  <si>
    <t>preserveType_DataMap</t>
  </si>
  <si>
    <t>DataList - preserveType</t>
  </si>
  <si>
    <t>DataMap - preserveType</t>
  </si>
  <si>
    <t xml:space="preserve">dataType="text"인 DataMap 키에 number 타입의 데이터를 설정할 경우, 해당 데이터를 dataType="text"로 설정. </t>
  </si>
  <si>
    <t xml:space="preserve">dataType="text"인 DataList 컬럼에 number 타입의 데이터를 설정할 경우, 해당 데이터를 dataType="text"로 설정. </t>
  </si>
  <si>
    <t xml:space="preserve">dataType="number"인 DataMap 키에 dataType="text" 데이터를 설정할 경우, 해당 데이터를 dataType="number"로 설정. </t>
  </si>
  <si>
    <t xml:space="preserve">dataType="number"인 DataList 컬럼에 dataType="text" 데이터를 설정할 경우, 해당 데이터를 dataType="number"로 설정. </t>
  </si>
  <si>
    <t>https://inswave01.atlassian.net/wiki/download/attachments/1245393/keepDataType_DataList.xml?version=1&amp;modificationDate=1719961082715&amp;cacheVersion=1&amp;api=v2</t>
  </si>
  <si>
    <t>https://inswave01.atlassian.net/wiki/download/attachments/1245393/keepDataType_DataMap.xml?version=1&amp;modificationDate=1719961110375&amp;cacheVersion=1&amp;api=v2</t>
  </si>
  <si>
    <t>https://youtu.be/FRxRJ6jawyg</t>
  </si>
  <si>
    <t>https://youtu.be/G8l864qjL6M</t>
  </si>
  <si>
    <t>https://inswave01.atlassian.net/wiki/download/attachments/1245393/preserveType_DataList.xml?version=1&amp;modificationDate=1723183235697&amp;cacheVersion=1&amp;api=v2</t>
  </si>
  <si>
    <t>https://inswave01.atlassian.net/wiki/download/attachments/1245393/preserveType_DataMap.xml?version=1&amp;modificationDate=1723183259217&amp;cacheVersion=1&amp;api=v2</t>
  </si>
  <si>
    <t>keepDataType</t>
  </si>
  <si>
    <t>preserveType</t>
  </si>
  <si>
    <t>appearance_AutoComplete</t>
  </si>
  <si>
    <t>AutoComplete - appearance</t>
  </si>
  <si>
    <t>appearance</t>
  </si>
  <si>
    <t>rowMouseOverClass_GridView</t>
  </si>
  <si>
    <t>GridView - rowMouseOverClass</t>
  </si>
  <si>
    <t>rowMouseOverClass</t>
  </si>
  <si>
    <t>https://youtu.be/fvpVt24nNhw</t>
  </si>
  <si>
    <t>https://youtu.be/9LetTM_qW-A</t>
  </si>
  <si>
    <t xml:space="preserve">선택 항목 목록의 화살표를 표시하거나 숨김. </t>
  </si>
  <si>
    <t>/AutoComplete/appearance_AutoComplete.xml</t>
  </si>
  <si>
    <t>https://inswave01.atlassian.net/wiki/download/attachments/1245417/appearance_AutoComplete.xml?version=1&amp;modificationDate=1724108886493&amp;cacheVersion=1&amp;api=v2</t>
  </si>
  <si>
    <t>마우스-오버된 행에 특정 CSS 클래스를 적용.</t>
  </si>
  <si>
    <t>https://inswave01.atlassian.net/wiki/download/attachments/119275521/rowMouseOverClass_GridView.xml?version=1&amp;modificationDate=1724112010932&amp;cacheVersion=1&amp;api=v2</t>
  </si>
  <si>
    <t>/GridView/Style/rowMouseOverClass_GridView.xml</t>
  </si>
  <si>
    <t>https://youtu.be/j2cmkGw-rUE</t>
  </si>
  <si>
    <t>GridView/Style</t>
  </si>
  <si>
    <t>https://youtu.be/m6TbtM062xE</t>
  </si>
  <si>
    <t>https://inswave01.atlassian.net/wiki/download/attachments/119275521/focusMode_selectedCellColor_selectedRowColor_GridView.xml?version=1&amp;modificationDate=1724111361747&amp;cacheVersion=1&amp;api=v2</t>
  </si>
  <si>
    <t>https://inswave01.atlassian.net/wiki/download/attachments/119275521/getCurrentGridStyle_setGridStyle_GridView.xml?version=1&amp;modificationDate=1724111317681&amp;cacheVersion=1&amp;api=v2</t>
  </si>
  <si>
    <t>https://inswave01.atlassian.net/wiki/download/attachments/119275521/rowNumRowMouseOverColor.xml?version=1&amp;modificationDate=1724111306198&amp;cacheVersion=1&amp;api=v2</t>
  </si>
  <si>
    <t>https://inswave01.atlassian.net/wiki/download/attachments/119275521/rowNumVisible_rowNumHeaderValue_rowNumWidth_rowNumBackgroundColor_GridView.xml?version=1&amp;modificationDate=1724111365338&amp;cacheVersion=1&amp;api=v2</t>
  </si>
  <si>
    <t>https://inswave01.atlassian.net/wiki/download/attachments/119275521/setCellBackgroundColor_GridView.xml?version=1&amp;modificationDate=1724111355112&amp;cacheVersion=1&amp;api=v2</t>
  </si>
  <si>
    <t>https://inswave01.atlassian.net/wiki/download/attachments/119275521/setCellClass_GridView.xml?version=1&amp;modificationDate=1724111357486&amp;cacheVersion=1&amp;api=v2</t>
  </si>
  <si>
    <t>https://inswave01.atlassian.net/wiki/download/attachments/119275521/setCellColor_getCellColor_GridView.xml?version=1&amp;modificationDate=1724111314462&amp;cacheVersion=1&amp;api=v2</t>
  </si>
  <si>
    <t>https://inswave01.atlassian.net/wiki/download/attachments/119275521/setCellStyle_GridView.xml?version=1&amp;modificationDate=1724111324684&amp;cacheVersion=1&amp;api=v2</t>
  </si>
  <si>
    <t>https://inswave01.atlassian.net/wiki/download/attachments/119275521/setColumnBackgroundColor_getColumnBackgroundColor_GridView.xml?version=1&amp;modificationDate=1724111313406&amp;cacheVersion=1&amp;api=v2</t>
  </si>
  <si>
    <t>https://inswave01.atlassian.net/wiki/download/attachments/119275521/setColumnColor_getColumnColor_GridView.xml?version=1&amp;modificationDate=1724111313194&amp;cacheVersion=1&amp;api=v2</t>
  </si>
  <si>
    <t>https://inswave01.atlassian.net/wiki/download/attachments/119275521/setColumnStyle_GridView.xml?version=1&amp;modificationDate=1724111324494&amp;cacheVersion=1&amp;api=v2</t>
  </si>
  <si>
    <t>https://inswave01.atlassian.net/wiki/download/attachments/119275521/setRowBackgroundColor_GridView.xml?version=1&amp;modificationDate=1724111354687&amp;cacheVersion=1&amp;api=v2</t>
  </si>
  <si>
    <t>https://inswave01.atlassian.net/wiki/download/attachments/119275521/setRowColor_getRowColor_GridView.xml?version=1&amp;modificationDate=1724111308920&amp;cacheVersion=1&amp;api=v2</t>
  </si>
  <si>
    <t>달력에 표시할 주(Week)의 수를 설정.</t>
  </si>
  <si>
    <t>setHeaderBtn_ScheduleCalendar</t>
  </si>
  <si>
    <t>setHeaderBtn()</t>
  </si>
  <si>
    <t>헤더 툴바에 표시할 버튼을 선택</t>
  </si>
  <si>
    <t>/ScheduleCalendar/setHeaderBtn_ScheduleCalendar.xml</t>
  </si>
  <si>
    <t>/ScheduleCalendar/setDayNameStyle_ScheduleCalendar.xml</t>
  </si>
  <si>
    <t>https://inswave01.atlassian.net/wiki/download/attachments/1245397/setHeaderBtn_ScheduleCalendar.xml?version=1&amp;modificationDate=1725238654636&amp;cacheVersion=1&amp;api=v2</t>
  </si>
  <si>
    <t>https://youtu.be/drTC63wusbY</t>
  </si>
  <si>
    <t>특정 요일 컬럼의 스타일 지정</t>
  </si>
  <si>
    <t>https://inswave01.atlassian.net/wiki/download/attachments/1245397/setDayNameStyle_ScheduleCalendar.xml?version=1&amp;modificationDate=1725260153054&amp;cacheVersion=1&amp;api=v2</t>
  </si>
  <si>
    <t>https://youtu.be/kf64NaYvI2c</t>
  </si>
  <si>
    <t>hideDeletedRow_GridView</t>
  </si>
  <si>
    <t>/GridView/_General/hideDeletedRow_GridView.xml</t>
  </si>
  <si>
    <t>hideDeletedRow</t>
  </si>
  <si>
    <t>https://inswave01.atlassian.net/wiki/download/attachments/1245461/hideDeletedRow_GridView.xml?version=1&amp;modificationDate=1725414275819&amp;cacheVersion=1&amp;api=v2</t>
  </si>
  <si>
    <t>https://youtu.be/ualtfURZIX8</t>
  </si>
  <si>
    <t>imageAlign_gridView_column</t>
  </si>
  <si>
    <t xml:space="preserve">inputType="textImage" 컬럼의 이미지 표시 위치 설정. </t>
  </si>
  <si>
    <t>https://youtu.be/tmJwhCkyO_g</t>
  </si>
  <si>
    <t xml:space="preserve">inputType="calendar"
imageAlign </t>
  </si>
  <si>
    <t>https://inswave01.atlassian.net/wiki/download/attachments/1245487/imageAlign_gridView_column.zip?version=1&amp;modificationDate=1727066968857&amp;cacheVersion=1&amp;api=v2</t>
  </si>
  <si>
    <t>GridView/gridView.column</t>
  </si>
  <si>
    <t>displayMode
delimiter</t>
  </si>
  <si>
    <t>SpanDirection_SpanCount_cols_rows_Radio</t>
  </si>
  <si>
    <t>선택 항목 표시 방법 설정</t>
  </si>
  <si>
    <t>/Radio/SpanDirection_SpanCount_cols_rows_Radio.xml</t>
  </si>
  <si>
    <t>https://inswave01.atlassian.net/wiki/download/attachments/1245415/SpanDirection_SpanCount_cols_rows_Radio.xml?version=1&amp;modificationDate=1730175781782&amp;cacheVersion=1&amp;api=v2</t>
  </si>
  <si>
    <t>https://youtu.be/DSpM4L-9e4U</t>
  </si>
  <si>
    <t>mergeCells_mergeByCol_GridView</t>
  </si>
  <si>
    <t>mergeCells="bycol"
mergeByCol()</t>
  </si>
  <si>
    <t>/GridView/Merge/mergeCells_mergeByCol_GridView.xml</t>
  </si>
  <si>
    <t>https://inswave01.atlassian.net/wiki/download/attachments/1245473/mergeCells_mergeByCol_GridView.xml?version=1&amp;modificationDate=1730766226540&amp;cacheVersion=1&amp;api=v2</t>
  </si>
  <si>
    <t>layerMoveType_FloatingLayer</t>
  </si>
  <si>
    <t>FloatingLayer - layerMoveType</t>
  </si>
  <si>
    <t>getRefComponent_DataMap</t>
  </si>
  <si>
    <t>DataMap- getRefComponent()</t>
  </si>
  <si>
    <t>https://youtu.be/ZwOzIKH8X5w</t>
  </si>
  <si>
    <t xml:space="preserve">드래깅을 통해 영역 밖으로 이동할 때의 동작을 지정. </t>
  </si>
  <si>
    <t>layerMoveType</t>
  </si>
  <si>
    <t>https://inswave01.atlassian.net/wiki/download/attachments/1245522/layerMoveType_FloatingLayer.zip?version=1&amp;modificationDate=1730781947280&amp;cacheVersion=1&amp;api=v2</t>
  </si>
  <si>
    <t>mergeCells_mergeByRow_GridView</t>
  </si>
  <si>
    <t xml:space="preserve">ref 속성으로 DataMap과 바인딩된 컴포넌트(들)의 ID를 반환. </t>
  </si>
  <si>
    <t>getRefComponent()</t>
  </si>
  <si>
    <t>https://inswave01.atlassian.net/wiki/download/attachments/1245393/getRefComponent_DataMap.xml?version=1&amp;modificationDate=1730938638016&amp;cacheVersion=1&amp;api=v2</t>
  </si>
  <si>
    <t>https://youtu.be/DahV6Ymncl4</t>
  </si>
  <si>
    <t>https://youtu.be/j1AdS2AJ5kY</t>
  </si>
  <si>
    <t xml:space="preserve">PageFrame 내부의 컴포넌트와 부모 화면의 DataMap을 AliasDataMap을 통해 바인딩. </t>
  </si>
  <si>
    <t>scope_aliasDataMap</t>
  </si>
  <si>
    <t>AliasDataMap - scope</t>
  </si>
  <si>
    <t>scope</t>
  </si>
  <si>
    <t>https://inswave01.atlassian.net/wiki/download/attachments/1245393/scope_aliasDataMap.zip?version=1&amp;modificationDate=1731299280726&amp;cacheVersion=1&amp;api=v2</t>
  </si>
  <si>
    <t>https://youtu.be/VOn4wsIrBTA</t>
  </si>
  <si>
    <t>/GridView/Merge/mergeCells_mergeByRow_GridView.xml</t>
  </si>
  <si>
    <t>행 기준으로 동일한 값을 갖는 셀들을 병합.</t>
  </si>
  <si>
    <t>https://youtu.be/v9fKLoRsxE0</t>
  </si>
  <si>
    <t>rowMouseOver_rowMouseOverColor_GridView</t>
  </si>
  <si>
    <t>GridView - rowMouseOver &amp; rowMouseOverColor</t>
  </si>
  <si>
    <t>tooltipHideInputType_GridView</t>
  </si>
  <si>
    <t>tooltipHideInputType
tooltipDisplay
tooltipShowAlways</t>
  </si>
  <si>
    <t>툴팁을 표시하지 않을 GridView 컬럼의 inputType을 지정.</t>
  </si>
  <si>
    <t>/GridView/_General/tooltipHideInputType_GridView.xml</t>
  </si>
  <si>
    <t>https://inswave01.atlassian.net/wiki/download/attachments/1245461/tooltipHideInputType_GridView.xml?version=1&amp;modificationDate=1731887835250&amp;cacheVersion=1&amp;api=v2</t>
  </si>
  <si>
    <t>rowMouseOver
rowMouseOverColor</t>
  </si>
  <si>
    <t>https://inswave01.atlassian.net/wiki/download/attachments/119275521/rowMouseOver_rowMouseOverColor_GridView.xml?version=1&amp;modificationDate=1731903998225&amp;cacheVersion=1&amp;api=v2</t>
  </si>
  <si>
    <t xml:space="preserve">마우스 커서가 위치한 (마우스 오버된) 행에 적용할 배경색을 지정. </t>
  </si>
  <si>
    <t>https://youtu.be/NCAJNV0oRJs</t>
  </si>
  <si>
    <t>mergeCells_mergeByColRec_GridView</t>
  </si>
  <si>
    <t>https://youtu.be/62HEXAOmUUE</t>
  </si>
  <si>
    <t xml:space="preserve">열 기준으로 동일한 값을 갖는 셀들을 병합한 후, 행 기준으로 동일한 값을 갖는 셀들을 다시 병합. </t>
  </si>
  <si>
    <t xml:space="preserve">행 기준으로 동일한 값을 갖는 셀들을 병합한 후, 열 기준으로 동일한 값을 갖는 셀들을 다시 병합. </t>
  </si>
  <si>
    <t>mergeCells_mergeByRowRec_GridView</t>
  </si>
  <si>
    <t>mergeCells_mergeByRestricCol_GridView</t>
  </si>
  <si>
    <t>/GridView/Merge/mergeCells_mergeByColRec_GridView.xml</t>
  </si>
  <si>
    <t>https://inswave01.atlassian.net/wiki/download/attachments/1245473/mergeCells_mergeByColRec_GridView.xml?version=1&amp;modificationDate=1732149201034&amp;cacheVersion=1&amp;api=v2</t>
  </si>
  <si>
    <t>https://youtu.be/_PjiyUupNqQ</t>
  </si>
  <si>
    <t>mergeCells_mergeByRestricRow_GridView</t>
  </si>
  <si>
    <t>mergeClear_GridView</t>
  </si>
  <si>
    <t>GridView - mergeCells &amp; mergeByRowRec()</t>
  </si>
  <si>
    <t>GridView - mergeCells &amp; mergeByRestricRow()</t>
  </si>
  <si>
    <t>GridView - mergeClear()</t>
  </si>
  <si>
    <t>/GridView/Merge/mergeCells_mergeByRowRec_GridView.xml</t>
  </si>
  <si>
    <t>https://inswave01.atlassian.net/wiki/download/attachments/1245473/mergeCells_mergeByRowRec_GridView.xml?version=1&amp;modificationDate=1732493405135&amp;cacheVersion=1&amp;api=v2</t>
  </si>
  <si>
    <t>https://youtu.be/Lsv70-rBMMg</t>
  </si>
  <si>
    <t>/GridView/Merge/mergeCells_mergeByRestricRow_GridView.xml</t>
  </si>
  <si>
    <t>/GridView/Merge/mergeClear_GridView.xml</t>
  </si>
  <si>
    <t>https://inswave01.atlassian.net/wiki/download/attachments/1245473/mergeCells_mergeByRestricRow_GridView.xml?version=1&amp;modificationDate=1732516113944&amp;cacheVersion=1&amp;api=v2</t>
  </si>
  <si>
    <t>윗행이 병합된 경우, 아래 열의 셀들을 윗행을 기준으로 병합.</t>
  </si>
  <si>
    <t>https://youtu.be/CkW9YXR0w7g</t>
  </si>
  <si>
    <t>/GridView/Merge/mergeCells_mergeByRestricCol_GridView.xml</t>
  </si>
  <si>
    <t>https://inswave01.atlassian.net/wiki/download/attachments/1245473/mergeCells_mergeByRestricCol_GridView.xml?version=1&amp;modificationDate=1732578407790&amp;cacheVersion=1&amp;api=v2</t>
  </si>
  <si>
    <t>https://inswave01.atlassian.net/wiki/download/attachments/1245473/mergeClear_GridView.xml?version=1&amp;modificationDate=1732583334288&amp;cacheVersion=1&amp;api=v2</t>
  </si>
  <si>
    <t xml:space="preserve">왼쪽 열이 병합된 경우, 왼쪽 열을 기준으로 컬럼의 셀들을 병합. </t>
  </si>
  <si>
    <t xml:space="preserve">셀 병합 해제. </t>
  </si>
  <si>
    <t>https://youtu.be/bjXdUUifNlw</t>
  </si>
  <si>
    <t>https://youtu.be/pqgJWbglxlw</t>
  </si>
  <si>
    <t>https://inswave01.atlassian.net/wiki/download/attachments/299925505/data_create_$p_setData_DataList_mutipleDataListDownload_WebSquare_util.xml?version=1&amp;modificationDate=1733094493438&amp;cacheVersion=1&amp;api=v2</t>
  </si>
  <si>
    <t>$p/data</t>
  </si>
  <si>
    <t>현재 실행된 화면의 모든 DataCollection 정보를 (ID 혹은 객체 형태로) 반환.</t>
  </si>
  <si>
    <t>https://inswave01.atlassian.net/wiki/download/attachments/299925505/getAllDataCollection_data_$p.zip?version=1&amp;modificationDate=1733113693806&amp;cacheVersion=1&amp;api=v2</t>
  </si>
  <si>
    <t>https://youtu.be/FgGmBvEv5q4</t>
  </si>
  <si>
    <t xml:space="preserve">closable_alwaysShowCloseBtn_TabControl </t>
  </si>
  <si>
    <t>getAllDataCollection()</t>
  </si>
  <si>
    <t>closable
alwaysShowCloseBtn</t>
  </si>
  <si>
    <t>탭의 닫기 버튼 표시 여부를 설정.</t>
  </si>
  <si>
    <t>https://inswave01.atlassian.net/wiki/download/attachments/1245431/closable_alwaysShowCloseBtn_TabControl%20.xml?version=1&amp;modificationDate=1733202747909&amp;cacheVersion=1&amp;api=v2</t>
  </si>
  <si>
    <t>onbeforeselect_AutoComplete</t>
  </si>
  <si>
    <t>AutoComplete - onbeforeselect</t>
  </si>
  <si>
    <t>onbeforeselect</t>
  </si>
  <si>
    <t>openPopup()
options.adaptiveFrame</t>
  </si>
  <si>
    <t>createWindow_adaptiveFrame_WindowContainer</t>
  </si>
  <si>
    <t>resizeEvent_onresize_WFrame</t>
  </si>
  <si>
    <t>resizeEvent 
onresize</t>
  </si>
  <si>
    <t>WindowContainer - createWindow() &amp; options.adaptiveFrame</t>
  </si>
  <si>
    <t>createWindow() 
options.adaptiveFrame</t>
  </si>
  <si>
    <t>https://youtu.be/pNuDxa8PJQI</t>
  </si>
  <si>
    <t>항목 선택 시 발생.</t>
  </si>
  <si>
    <t>/AutoComplete/onbeforeselect_AutoComplete.xml</t>
  </si>
  <si>
    <t>https://inswave01.atlassian.net/wiki/download/attachments/1245417/onbeforeselect_AutoComplete.xml?version=1&amp;modificationDate=1733274879239&amp;cacheVersion=1&amp;api=v2</t>
  </si>
  <si>
    <t>https://youtu.be/ClwsiP_mhyU</t>
  </si>
  <si>
    <t>https://inswave01.atlassian.net/wiki/download/attachments/1245385/openPopup_adaptiveFrame_$p.zip?version=1&amp;modificationDate=1733464223684&amp;cacheVersion=1&amp;api=v2</t>
  </si>
  <si>
    <t>https://inswave01.atlassian.net/wiki/download/attachments/1245405/createWindow_adaptiveFrame_WindowContainer.zip?version=1&amp;modificationDate=1733464462171&amp;cacheVersion=1&amp;api=v2</t>
  </si>
  <si>
    <t>https://inswave01.atlassian.net/wiki/download/attachments/1245401/resizeEvent_onresize_WFrame.zip?version=1&amp;modificationDate=1733464592585&amp;cacheVersion=1&amp;api=v2</t>
  </si>
  <si>
    <t>리사이징 시 이벤트를 발생.</t>
  </si>
  <si>
    <t xml:space="preserve">브라우저가 아닌 팝업 크기에 따라 소스 화면에 적응형 디자인을 적용. </t>
  </si>
  <si>
    <t>https://youtu.be/crqRrjPWwP8</t>
  </si>
  <si>
    <t>브라우저가 아닌 윈도우 크기에 따라 소스 화면에 적응형 디자인 적용.</t>
  </si>
  <si>
    <t>https://youtu.be/fFm-oDSJxxk</t>
  </si>
  <si>
    <t>https://youtu.be/C26EtlEj9ZY</t>
  </si>
  <si>
    <t>/Accordion/onpanelload_onpanelunload_Accordion.xml</t>
  </si>
  <si>
    <t>https://youtu.be/CdnZZKNvhYk</t>
  </si>
  <si>
    <t>https://inswave01.atlassian.net/wiki/download/attachments/1245457/onpanelload_onpanelunload_Accordion.xml?version=1&amp;modificationDate=1734389110777&amp;cacheVersion=1&amp;api=v2</t>
  </si>
  <si>
    <t>onpanelload
onpanelunload</t>
  </si>
  <si>
    <t>/Radio/BindItemSet_SpanDirection_SpanCount_cols_rows_Radio.xml</t>
  </si>
  <si>
    <t>https://youtu.be/by4_ET5kX0A</t>
  </si>
  <si>
    <t>addTab_scopeInherit_TabControl</t>
  </si>
  <si>
    <t>createWindow_scopeInherit_WindowContainer</t>
  </si>
  <si>
    <t>scopeInherit_Wframe</t>
  </si>
  <si>
    <t>WindowContainer - createWindow() &amp; scopeInherit</t>
  </si>
  <si>
    <t>WFrame - scopeInherit</t>
  </si>
  <si>
    <t>부모 WFrame의 Scope를 상속.</t>
  </si>
  <si>
    <t>부모 WFrame 탭의 Scope를 상속.</t>
  </si>
  <si>
    <t>부모 WFrame 윈도우의 Scope를 상속.</t>
  </si>
  <si>
    <t>부모 WFrame 팝업의 Scope를 상속</t>
  </si>
  <si>
    <t>https://youtu.be/vGa9ayKAHtc</t>
  </si>
  <si>
    <t>https://youtu.be/eTRv-LKnm4M</t>
  </si>
  <si>
    <t>/InputCalendar/pickerType_dynamicHeaderOrder_InputCalendar.xml</t>
  </si>
  <si>
    <t>https://inswave01.atlassian.net/wiki/download/attachments/1245395/pickerType_dynamicHeaderOrder_InputCalendar.xml?version=1&amp;modificationDate=1737674262805&amp;cacheVersion=1&amp;api=v2</t>
  </si>
  <si>
    <t>GridView - keepDataDragSelection</t>
  </si>
  <si>
    <t>https://inswave01.atlassian.net/wiki/download/attachments/1245508/getGroupbyData_GridView.xml?version=1&amp;modificationDate=1738797173100&amp;cacheVersion=1&amp;api=v2</t>
  </si>
  <si>
    <t>https://youtu.be/r84IR-bECaI</t>
  </si>
  <si>
    <t>https://youtu.be/bXdHyR0HuJQ</t>
  </si>
  <si>
    <t>https://youtu.be/2vzPY0QLCok</t>
  </si>
  <si>
    <t>https://youtu.be/Vxrj5-Wmzjk</t>
  </si>
  <si>
    <t>https://youtu.be/1kVpL-Nw3hc</t>
  </si>
  <si>
    <t>https://youtu.be/AwDMAuK3H7c</t>
  </si>
  <si>
    <t>https://youtu.be/ukYx3_iBlEA</t>
  </si>
  <si>
    <t>https://youtu.be/54iqywe5iF0</t>
  </si>
  <si>
    <t>https://youtu.be/ruLrqseKaNs</t>
  </si>
  <si>
    <t>https://youtu.be/bVHR842dBRQ</t>
  </si>
  <si>
    <t>/SearchBox/setRef_SearchBox.xml</t>
  </si>
  <si>
    <t>/Trigger/tooltipShowPositionX_tooltipShowPositionY_Trigger.xml</t>
  </si>
  <si>
    <t>https://youtu.be/7qlRlBlOwko</t>
  </si>
  <si>
    <t>config.xml
&lt;popup&gt; - &lt;lazyPopup&gt;
$p.openPopup()
processMsagFrame : "true"
$p.executeSubmission()</t>
  </si>
  <si>
    <t>https://youtu.be/5zGw92RBe80</t>
  </si>
  <si>
    <t>openPopup()
options.popupAutoCloseSkip</t>
  </si>
  <si>
    <t>부모 팝업만 닫기.</t>
  </si>
  <si>
    <t>Slider</t>
  </si>
  <si>
    <t>responsive_vertical_Slider</t>
  </si>
  <si>
    <t>Slider - responsive &amp; vertical</t>
  </si>
  <si>
    <t>브라우저 크기에 따른 Slider 크기 변경.</t>
  </si>
  <si>
    <t>Radio - onbeforeselect</t>
  </si>
  <si>
    <t>SelectBox - onbeforeselect</t>
  </si>
  <si>
    <t>onbeforeselect_Radio</t>
  </si>
  <si>
    <t>onbeforeselect_SelectBox</t>
  </si>
  <si>
    <t>/Radio/onbeforeselect_Radio.xml</t>
  </si>
  <si>
    <t>keepDataDragSelection</t>
  </si>
  <si>
    <t>responsive
vertical</t>
  </si>
  <si>
    <t>/SelectBox/onbeforeselect_SelectBox.xml</t>
  </si>
  <si>
    <t>DataList - nullYNType</t>
  </si>
  <si>
    <t>nullYNType_DataList</t>
  </si>
  <si>
    <t>nullYNType_DataMap</t>
  </si>
  <si>
    <t>DataMap - nullYNType</t>
  </si>
  <si>
    <t>공백 데이터 처리 방법 설정.</t>
  </si>
  <si>
    <t>nullYNType (DataMap)
nullYN (dataMap.key)</t>
  </si>
  <si>
    <t>nullYNType (DataList)
nullYN (dataList.column)</t>
  </si>
  <si>
    <t>syncRowPositionOption_GridView</t>
  </si>
  <si>
    <t>DataList의 rowPosition과 동기화.</t>
  </si>
  <si>
    <t>syncRowPositionOption
focusMode</t>
  </si>
  <si>
    <t>/GridView/_General/syncRowPositionOption_GridView.xml</t>
  </si>
  <si>
    <t>advancedExcelDownload_excelExpression_GridView</t>
  </si>
  <si>
    <t>GridView - advancedExcelDownload() &amp; infoArray.excelExpression</t>
  </si>
  <si>
    <t>advancedExcelDownload()
infoArray.excelExpression</t>
  </si>
  <si>
    <t>addTab_adaptiveFrame_TabControl</t>
  </si>
  <si>
    <t>TabControl - addTab() &amp; contOpt.adaptiveFrame</t>
  </si>
  <si>
    <t>탭 크기에 따른 적응형 디자인 적용.</t>
  </si>
  <si>
    <t>setMultiFocus_removeMultiFocus_GridView</t>
  </si>
  <si>
    <t>addWidgets_userIconClass_WidgetContainer</t>
  </si>
  <si>
    <t>WidgetContainer - addWidgets() &amp; options.userIconClass</t>
  </si>
  <si>
    <t>addWidgets_buttonFormatter_WidgetContainer</t>
  </si>
  <si>
    <t>WidgetContainer - addWidgets() &amp; options.buttonFormatter</t>
  </si>
  <si>
    <t>grandTotalValsNameFormatter_Pivot</t>
  </si>
  <si>
    <t>/WidgetContainer/addWidgets_userIconClass_WidgetContainer.xml</t>
  </si>
  <si>
    <t>/WidgetContainer/addWidgets_buttonFormatter_WidgetContainer.xml</t>
  </si>
  <si>
    <t>GridView - setMultiFocus() &amp; removeMultiFocus()</t>
  </si>
  <si>
    <t>Pivot - grandTotalValsNameFormatter</t>
  </si>
  <si>
    <t>setMultiFocus()
removeMultiFocus()</t>
  </si>
  <si>
    <t>addWidgets()
options.userIconClass</t>
  </si>
  <si>
    <t>addWidgets()
options.buttonFormatter</t>
  </si>
  <si>
    <t>grandTotalValsNameFormatter</t>
  </si>
  <si>
    <t>각 필드의 총 합계 라벨 지정.</t>
  </si>
  <si>
    <t>위젯의 타이틀에 아이콘 이미지 표시.</t>
  </si>
  <si>
    <t>연속적인 셀과 불연속적인 셀을 한번에 선택하고 해제.</t>
  </si>
  <si>
    <t>addWidgets_titleClass_WidgetContainer</t>
  </si>
  <si>
    <t>WidgetContainer - addWidgets() &amp; options.titleClass</t>
  </si>
  <si>
    <t>위젯 생성 시 위젯 타이틀에 스타일 적용.</t>
  </si>
  <si>
    <t>/WidgetContainer/addWidgets_titleClass_WidgetContainer.xml</t>
  </si>
  <si>
    <t>/GridView/_General/setMultiFocus_removeMultiFocus_GridView.xml</t>
  </si>
  <si>
    <t>inputType_autoComplete_emptyItem_emptyValue_gridView_column</t>
  </si>
  <si>
    <t>inputType_select_emptyItem_emptyValue_gridView_column</t>
  </si>
  <si>
    <t>inputType_drilldown_onbeforetoggleclick_gridView_column</t>
  </si>
  <si>
    <t>useNull_DataList</t>
  </si>
  <si>
    <t>useNull_DataMap</t>
  </si>
  <si>
    <t>inputType="drilldown" 컬럼의 토글 버튼 클릭 이벤트.</t>
  </si>
  <si>
    <t>addWidgets() 
options.titleClass</t>
  </si>
  <si>
    <t>inputType="drilldown" (gridView.column)
onbeforetoggleclick (GridView)</t>
  </si>
  <si>
    <t>DataList - useNull</t>
  </si>
  <si>
    <t>DataMap - useNull</t>
  </si>
  <si>
    <t>gridView.column - inputType="autoComplete" &amp; emptyItem &amp; emptyValue</t>
  </si>
  <si>
    <t>gridView.column - inputType="select" &amp; emptyItem &amp; emptyValue</t>
  </si>
  <si>
    <t>null 값과 공백("") 값 구분.</t>
  </si>
  <si>
    <t>useNull</t>
  </si>
  <si>
    <t>inputType="autoComplete" 컬럼에 선택 항목에 없는 값을 동적으로 설정할 경우, 해당 값의 처리.</t>
  </si>
  <si>
    <t>inputType="select" 컬럼에 선택 항목에 없는 값을 동적으로 설정할 경우, 해당 값의 처리.</t>
  </si>
  <si>
    <t>inputType="autoComplete"
emptyItem
emptyValue</t>
  </si>
  <si>
    <t>inputType="select"
emptyItem
emptyValue</t>
  </si>
  <si>
    <t>/GridView/inputType/inputType_select_emptyItem_emptyValue_gridView_column.xml</t>
  </si>
  <si>
    <t>/_DataCollection/DataMap/nullYNType_DataMap.xml</t>
  </si>
  <si>
    <t>/_DataCollection/DataMap/useNull_DataMap.xml</t>
  </si>
  <si>
    <t>/_DataCollection/DataList/nullYNType_DataList.xml</t>
  </si>
  <si>
    <t>/Slider/responsive_vertical_Slider.xml</t>
    <phoneticPr fontId="2" type="noConversion"/>
  </si>
  <si>
    <t>/GridView/Dragging/keepDataDragSelection_GridView.xml</t>
    <phoneticPr fontId="2" type="noConversion"/>
  </si>
  <si>
    <t>/GridView/inputType/inputType_autoComplete_emptyItem_emptyValue_gridView_column.xml</t>
    <phoneticPr fontId="2" type="noConversion"/>
  </si>
  <si>
    <t>keepDataDragSelection_GridView</t>
    <phoneticPr fontId="2" type="noConversion"/>
  </si>
  <si>
    <t>/_DataCollection/DataList/setColumnFilter_DataList.xml</t>
    <phoneticPr fontId="2" type="noConversion"/>
  </si>
  <si>
    <t>/_DataCollection/DataList/getFilteredColData_getColData_DataList.xml</t>
    <phoneticPr fontId="2" type="noConversion"/>
  </si>
  <si>
    <t>/_DataCollection/DataList/setData_setJSON_setXML_DataList.xml</t>
    <phoneticPr fontId="2" type="noConversion"/>
  </si>
  <si>
    <t>/_DataCollection/DataList/insertRow_removeRows_DataList.xml</t>
    <phoneticPr fontId="2" type="noConversion"/>
  </si>
  <si>
    <t>/_DataCollection/DataList/introduction_DataList.xml</t>
    <phoneticPr fontId="2" type="noConversion"/>
  </si>
  <si>
    <t>/_DataCollection/DataList/keepDataType_DataList.xml</t>
    <phoneticPr fontId="2" type="noConversion"/>
  </si>
  <si>
    <t>/_DataCollection/DataList/preserveType_DataList.xml</t>
    <phoneticPr fontId="2" type="noConversion"/>
  </si>
  <si>
    <t>/_DataCollection/DataMap/preserveType_DataMap.xml</t>
    <phoneticPr fontId="2" type="noConversion"/>
  </si>
  <si>
    <t>/_DataCollection/DataMap/getRefComponent_DataMap.xml</t>
    <phoneticPr fontId="2" type="noConversion"/>
  </si>
  <si>
    <t>/_DataCollection/DataList/useNull_DataList.xml</t>
    <phoneticPr fontId="2" type="noConversion"/>
  </si>
  <si>
    <t>설명_KOR</t>
    <phoneticPr fontId="2" type="noConversion"/>
  </si>
  <si>
    <t>예제 파일 다운로드 링크</t>
    <phoneticPr fontId="2" type="noConversion"/>
  </si>
  <si>
    <t>Type</t>
    <phoneticPr fontId="2" type="noConversion"/>
  </si>
  <si>
    <t>YouTube 링크</t>
    <phoneticPr fontId="2" type="noConversion"/>
  </si>
  <si>
    <t>대분류</t>
    <phoneticPr fontId="2" type="noConversion"/>
  </si>
  <si>
    <t>중분류</t>
    <phoneticPr fontId="2" type="noConversion"/>
  </si>
  <si>
    <t>/GridView/Sorting/sortLabel_gridView_column.xml</t>
    <phoneticPr fontId="2" type="noConversion"/>
  </si>
  <si>
    <t>/GridView/Excel/excelFormatter_gridView_column.xml</t>
    <phoneticPr fontId="2" type="noConversion"/>
  </si>
  <si>
    <t>요약_KOR</t>
    <phoneticPr fontId="2" type="noConversion"/>
  </si>
  <si>
    <t>N/A</t>
    <phoneticPr fontId="2" type="noConversion"/>
  </si>
  <si>
    <t>셀 병합/해제</t>
  </si>
  <si>
    <t>셀 병합 방식</t>
  </si>
  <si>
    <t>영역 병합/해제</t>
  </si>
  <si>
    <t>컬럼 제외 업로드</t>
  </si>
  <si>
    <t>고정 열 지정</t>
  </si>
  <si>
    <t>WFrame 참조</t>
  </si>
  <si>
    <t>디자인 썸네일</t>
  </si>
  <si>
    <t>워터마크 출력</t>
  </si>
  <si>
    <t>스크롤 허용</t>
  </si>
  <si>
    <t>날짜 제한</t>
  </si>
  <si>
    <t>지도 시각화</t>
  </si>
  <si>
    <t>페이지 이동창</t>
  </si>
  <si>
    <t>목록 스크롤 방지</t>
  </si>
  <si>
    <t>위젯 관리</t>
  </si>
  <si>
    <t>위젯 조작</t>
  </si>
  <si>
    <t>윈도우 순서</t>
  </si>
  <si>
    <t>윈도우 고정</t>
  </si>
  <si>
    <t>윈도우 닫기</t>
  </si>
  <si>
    <t>전체 팝업</t>
  </si>
  <si>
    <t>행 고정</t>
  </si>
  <si>
    <t>고정행 병합</t>
  </si>
  <si>
    <t>열 고정</t>
  </si>
  <si>
    <t>고정열 병합</t>
  </si>
  <si>
    <t>엑셀 업로드</t>
  </si>
  <si>
    <t>헤더 제외 업로드</t>
  </si>
  <si>
    <t>날짜 형식</t>
  </si>
  <si>
    <t>선택적 병합</t>
  </si>
  <si>
    <t>병합 제외</t>
  </si>
  <si>
    <t>병합 상태 확인</t>
  </si>
  <si>
    <t>이동/스케줄 버튼</t>
  </si>
  <si>
    <t>선택 버튼</t>
  </si>
  <si>
    <t>컬럼 필터링</t>
  </si>
  <si>
    <t>데이터 필터/정렬</t>
  </si>
  <si>
    <t>필터 행 인덱스</t>
  </si>
  <si>
    <t>시간입력 방식</t>
  </si>
  <si>
    <t>반올림/올림</t>
  </si>
  <si>
    <t>대문자 변환</t>
  </si>
  <si>
    <t>컴포넌트 검색</t>
  </si>
  <si>
    <t>이벤트 추가</t>
  </si>
  <si>
    <t>스니핏 추가</t>
  </si>
  <si>
    <t>페이지 설명</t>
  </si>
  <si>
    <t>선택 방식</t>
  </si>
  <si>
    <t>항목 직접입력</t>
  </si>
  <si>
    <t>항목 표시 설정</t>
  </si>
  <si>
    <t>전체선택 안내</t>
  </si>
  <si>
    <t>자동완성 비교</t>
  </si>
  <si>
    <t>빈값 제외</t>
  </si>
  <si>
    <t>텍스트 다국어</t>
  </si>
  <si>
    <t>항목 다국어</t>
  </si>
  <si>
    <t>옵션 다국어</t>
  </si>
  <si>
    <t>툴팁 다국어</t>
  </si>
  <si>
    <t>특정 키 동작 방지</t>
  </si>
  <si>
    <t>디버깅 컨텍스트 메뉴</t>
  </si>
  <si>
    <t>팝업 상태창 표시</t>
  </si>
  <si>
    <t>UDC 생성 활용</t>
  </si>
  <si>
    <t>localeRef 미지정시 label</t>
  </si>
  <si>
    <t>휴일 지정 취소</t>
  </si>
  <si>
    <t>onpageload 이전</t>
  </si>
  <si>
    <t>onpageload 이후</t>
  </si>
  <si>
    <t>onpageload 이벤트</t>
  </si>
  <si>
    <t>UDC 생성</t>
  </si>
  <si>
    <t>UDC Generator</t>
  </si>
  <si>
    <t>UDC 속성 구현</t>
  </si>
  <si>
    <t>UDC 함수 구현</t>
  </si>
  <si>
    <t>UDC 이벤트 구현</t>
  </si>
  <si>
    <t>로그 출력 설정</t>
  </si>
  <si>
    <t>HTML escape 옵션</t>
  </si>
  <si>
    <t>동기 서브미션 경고</t>
  </si>
  <si>
    <t>이벤트 로그 확인</t>
  </si>
  <si>
    <t>스케줄 아이콘 지정</t>
  </si>
  <si>
    <t>스케줄 언어 설정</t>
  </si>
  <si>
    <t>SP6 Perspective</t>
  </si>
  <si>
    <t>컴포넌트 이동/리사이즈</t>
  </si>
  <si>
    <t>눈금선/눈금자/안내선</t>
  </si>
  <si>
    <t>페이지 파일 검색</t>
  </si>
  <si>
    <t>Palette 뷰 설명</t>
  </si>
  <si>
    <t>Property 뷰 설명</t>
  </si>
  <si>
    <t>Outline 뷰 설명</t>
  </si>
  <si>
    <t>Perspective 설명</t>
  </si>
  <si>
    <t>프로젝트/페이지 생성</t>
  </si>
  <si>
    <t>도움말 확인 및 Perspective 복구</t>
  </si>
  <si>
    <t>그리기 모드 비교 설명</t>
  </si>
  <si>
    <t>컴포넌트 그리기 순서 설명</t>
  </si>
  <si>
    <t>기본 브라우저 설정 및 페이지 확인</t>
  </si>
  <si>
    <t>WebSquare AI 스튜디오 설치 설명</t>
  </si>
  <si>
    <t>프로젝트 및 페이지 생성</t>
  </si>
  <si>
    <t>CSS 적용 3가지 방법</t>
  </si>
  <si>
    <t>블록 레벨 스타일링 팁</t>
  </si>
  <si>
    <t>margin과 padding 비교</t>
  </si>
  <si>
    <t>float 및 overflow 설명</t>
  </si>
  <si>
    <t>addTab()
contOpt.adaptiveFrame</t>
    <phoneticPr fontId="2" type="noConversion"/>
  </si>
  <si>
    <t>https://inswave01.atlassian.net/wiki/download/attachments/1245431/tabScroll_tabScrollAuto_TabControl.zip?version=2&amp;modificationDate=1758777020130&amp;cacheVersion=1&amp;api=v2</t>
    <phoneticPr fontId="2" type="noConversion"/>
  </si>
  <si>
    <t>https://inswave01.atlassian.net/wiki/download/attachments/1245431/tabScroll_tabPosition_TabControl.zip?version=2&amp;modificationDate=1758776952650&amp;cacheVersion=1&amp;api=v2</t>
    <phoneticPr fontId="2" type="noConversion"/>
  </si>
  <si>
    <t>https://inswave01.atlassian.net/wiki/download/attachments/1245433/2021%20-%2007%20config.xml%20(exceptEmptyValue).zip?version=1&amp;modificationDate=1625126735000&amp;cacheVersion=1&amp;api=v2</t>
    <phoneticPr fontId="2" type="noConversion"/>
  </si>
  <si>
    <t>_DataCollection/LinkedDataList</t>
    <phoneticPr fontId="2" type="noConversion"/>
  </si>
  <si>
    <t>/_DataCollection/LinkedDataList/getFilteredRowIndex_LinkedDataList.pdf</t>
    <phoneticPr fontId="2" type="noConversion"/>
  </si>
  <si>
    <t>/_DataCollection/LinkedDataList/create_LinkedDataList.xml</t>
    <phoneticPr fontId="2" type="noConversion"/>
  </si>
  <si>
    <t>/_DataCollection/LinkedDataList/recommended_use_LinkedDataList.xml</t>
    <phoneticPr fontId="2" type="noConversion"/>
  </si>
  <si>
    <t>_DataCollection/DataList</t>
    <phoneticPr fontId="2" type="noConversion"/>
  </si>
  <si>
    <t>_DataCollection/DataMap</t>
    <phoneticPr fontId="2" type="noConversion"/>
  </si>
  <si>
    <t>_DataCollection/DataList</t>
    <phoneticPr fontId="2" type="noConversion"/>
  </si>
  <si>
    <t>/_DataCollection/DataList/importFormatter_dataList_column.xml</t>
    <phoneticPr fontId="2" type="noConversion"/>
  </si>
  <si>
    <t>/_DataCollection/DataList/getAllFilteredJSON_DataList.xml</t>
    <phoneticPr fontId="2" type="noConversion"/>
  </si>
  <si>
    <t>/_DataCollection/DataMap/onbeforemodelchange_DataMap.xml</t>
    <phoneticPr fontId="2" type="noConversion"/>
  </si>
  <si>
    <t>/_DataCollection/DataMap/onkeyset_DataMap.xml</t>
    <phoneticPr fontId="2" type="noConversion"/>
  </si>
  <si>
    <t>/_DataCollection/DataMap/keepDataType_DataMap.xml</t>
    <phoneticPr fontId="2" type="noConversion"/>
  </si>
  <si>
    <t>/PageFrame/onpageframeload_onbeforepageframeunload_PageFrame/onpageframeload_onbeforepageframeunload_PageFrame.xml</t>
    <phoneticPr fontId="2" type="noConversion"/>
  </si>
  <si>
    <t>/TabControl/addTab_adaptiveFrame_TabControl/addTab_adaptiveFrame_TabControl.xml</t>
    <phoneticPr fontId="2" type="noConversion"/>
  </si>
  <si>
    <t>/TabControl/addTab_scopeInherit_TabControl/addTab_scopeInherit_TabControl.xml</t>
    <phoneticPr fontId="2" type="noConversion"/>
  </si>
  <si>
    <t>/TabControl/frameModal_TabControl/frameModal_TabControl.xml</t>
    <phoneticPr fontId="2" type="noConversion"/>
  </si>
  <si>
    <t>/TabControl/closable_alwaysShowCloseBtn_TabControl.xml</t>
    <phoneticPr fontId="2" type="noConversion"/>
  </si>
  <si>
    <t>/TabControl/keepDisabledTab_TabControl/keepDisabledTab_TabControl.xml</t>
    <phoneticPr fontId="2" type="noConversion"/>
  </si>
  <si>
    <t>/TabControl/pageFrame_addTab_TabControl/pageFrame_addTab_TabControl.xml</t>
    <phoneticPr fontId="2" type="noConversion"/>
  </si>
  <si>
    <t>/TabControl/processMsgFrame_TabControl/processMsgFrame_TabControl.xml</t>
    <phoneticPr fontId="2" type="noConversion"/>
  </si>
  <si>
    <t>/TabControl/processMsgFrameURL_config_processMsgFrame_TabControl/processMsgFrameURL_config_processMsgFrame_TabControl.xml</t>
    <phoneticPr fontId="2" type="noConversion"/>
  </si>
  <si>
    <t>/TabControl/tabScroll_changeActiveTab_TabControl/tabScroll_changeActiveTab_TabControl.xml</t>
    <phoneticPr fontId="2" type="noConversion"/>
  </si>
  <si>
    <t>/TabControl/tabScroll_tabPosition_TabControl/tabScroll_tabPosition_TabControl.xml</t>
    <phoneticPr fontId="2" type="noConversion"/>
  </si>
  <si>
    <t>/TabControl/tabScroll_tabScrollAuto_TabControl/tabScroll_tabScrollAuto_TabControl.xml</t>
    <phoneticPr fontId="2" type="noConversion"/>
  </si>
  <si>
    <t>/WFrame/frameModal_WFrame/frameModal_WFrame.xml</t>
    <phoneticPr fontId="2" type="noConversion"/>
  </si>
  <si>
    <t>/WFrame/onbeforewframeunload_WFrame/onbeforewframeunload_WFrame.xml</t>
    <phoneticPr fontId="2" type="noConversion"/>
  </si>
  <si>
    <t>/WFrame/onpageload_execution_sequence_WFrame/onpageload_execution_sequence_WFrame.xml</t>
    <phoneticPr fontId="2" type="noConversion"/>
  </si>
  <si>
    <t>/WFrame/processMsgFrame_WFrame/processMsgFrame_WFrame.xml</t>
    <phoneticPr fontId="2" type="noConversion"/>
  </si>
  <si>
    <t>/WFrame/processMsgFrameURL_config_processMsgFrame_WFrame/processMsgFrameURL_config_processMsgFrame_WFrame.xml</t>
    <phoneticPr fontId="2" type="noConversion"/>
  </si>
  <si>
    <t>/WFrame/resizeEvent_onresize_WFrame/resizeEvent_onresize_WFrame.xml</t>
    <phoneticPr fontId="2" type="noConversion"/>
  </si>
  <si>
    <t>/WFrame/scopeInherit_WFrame/scopeInherit_WFrame.xml</t>
    <phoneticPr fontId="2" type="noConversion"/>
  </si>
  <si>
    <t>/WidgetContainer/addWidgets_WidgetContainer/addWidgets_WidgetContainer.xml</t>
    <phoneticPr fontId="2" type="noConversion"/>
  </si>
  <si>
    <t>/WidgetContainer/processMsgFrame_WidgetContainer/processMsgFrame_WidgetContainer.xml</t>
    <phoneticPr fontId="2" type="noConversion"/>
  </si>
  <si>
    <t>/WindowContainer/autoArrange_WindowContainer/autoArrange_WindowContainer.xml</t>
    <phoneticPr fontId="2" type="noConversion"/>
  </si>
  <si>
    <t>/WindowContainer/createWindow_adaptiveFrame_WindowContainer/createWindow_adaptiveFrame_WindowContainer.xml</t>
    <phoneticPr fontId="2" type="noConversion"/>
  </si>
  <si>
    <t>/WindowContainer/createWindow_defaultWidth_defaultHeight_WindowContainer/createWindow_defaultWidth_defaultHeight_WindowContainer.xml</t>
    <phoneticPr fontId="2" type="noConversion"/>
  </si>
  <si>
    <t>/WindowContainer/createWindow_frameModal_WindowContainer/createWindow_frameModal_WindowContainer.xml</t>
    <phoneticPr fontId="2" type="noConversion"/>
  </si>
  <si>
    <t>/WindowContainer/createWindow_scopeInherit_WindowContainer/createWindow_scopeInherit_WindowContainer.xml</t>
    <phoneticPr fontId="2" type="noConversion"/>
  </si>
  <si>
    <t>/WindowContainer/createWindow_WindowContainer/createWindow_WindowContainer.xml</t>
    <phoneticPr fontId="2" type="noConversion"/>
  </si>
  <si>
    <t>/WindowContainer/frameMode_spaReplaceHistory_WindowContainer/frameMode_spaReplaceHistory_WindowContainer.xml</t>
    <phoneticPr fontId="2" type="noConversion"/>
  </si>
  <si>
    <t>/WindowContainer/onminimizebtnclick_onrestorebtnclick_WindowContainer/onminimizebtnclick_onrestorebtnclick_WindowContainer.xml</t>
    <phoneticPr fontId="2" type="noConversion"/>
  </si>
  <si>
    <t>/WindowContainer/pageFrame_createWindow_WindowContainer/pageFrame_createWindow_WindowContainer.xml</t>
    <phoneticPr fontId="2" type="noConversion"/>
  </si>
  <si>
    <t>/WindowContainer/processMsgFrame_WindowContainer/processMsgFrame_WindowContainer.xml</t>
    <phoneticPr fontId="2" type="noConversion"/>
  </si>
  <si>
    <t>/WindowContainer/processMsgFrameURL_config_processMsgFrame_WindowContainer/processMsgFrameURL_config_processMsgFrame_WindowContainer.xml</t>
    <phoneticPr fontId="2" type="noConversion"/>
  </si>
  <si>
    <t>/WindowContainer/setArrangeWindows_WindowContainer/setArrangeWindows_WindowContainer.xml</t>
    <phoneticPr fontId="2" type="noConversion"/>
  </si>
  <si>
    <t>/WindowContainer/stopMinimizeOnNameLayer_WindowContainer/stopMinimizeOnNameLayer_WindowContainer.xml</t>
    <phoneticPr fontId="2" type="noConversion"/>
  </si>
  <si>
    <t>/WindowContainer/windowMoveType_WindowContainer/windowMoveType_WindowContainer.xml</t>
    <phoneticPr fontId="2" type="noConversion"/>
  </si>
  <si>
    <t>/WindowContainer/window_minimization_WindowContainer.xml</t>
    <phoneticPr fontId="2" type="noConversion"/>
  </si>
  <si>
    <t>/FloatingLayer/layerMoveType_FloatingLayer/layerMoveType_FloatingLayer.xml</t>
    <phoneticPr fontId="2" type="noConversion"/>
  </si>
  <si>
    <t>AutoComplete - caseSensitive &amp; search &amp; useKeywordHighlight</t>
    <phoneticPr fontId="2" type="noConversion"/>
  </si>
  <si>
    <t>/InputCalendar/dateValidSetCustom_setValueCancel_InputCalendar/dateValidSetCustom_setValueCancel_InputCalendar.xml</t>
    <phoneticPr fontId="2" type="noConversion"/>
  </si>
  <si>
    <t>/MultiSelect/BindItemSet_MultiSelect/BindItemSet_MultiSelect.xml</t>
    <phoneticPr fontId="2" type="noConversion"/>
  </si>
  <si>
    <t>/GridView/_General/enterKeyMove_GridView/enterKeyMove_GridView.xml</t>
    <phoneticPr fontId="2" type="noConversion"/>
  </si>
  <si>
    <t>/GridView/_General/contextMenuAltClick_GridView/contextMenuAltClick_GridView.xml</t>
    <phoneticPr fontId="2" type="noConversion"/>
  </si>
  <si>
    <t>/GridView/_General/checkboxLabelColumn_radioLabelColumn_gridView_column/checkboxLabelColumn_radioLabelColumn_gridView_column.xml</t>
    <phoneticPr fontId="2" type="noConversion"/>
  </si>
  <si>
    <t>/GridView/_General/contextMenu_autoFit_GridView/contextMenu_autoFit_GridView.xml</t>
    <phoneticPr fontId="2" type="noConversion"/>
  </si>
  <si>
    <t>/GridView/_General/visibleRowNum_visibleRowNumFix_GridView/visibleRowNum_visibleRowNumFix_GridView.xml</t>
    <phoneticPr fontId="2" type="noConversion"/>
  </si>
  <si>
    <t>/GridView/_General/load_add_remove_delete_initilize_view_GridView/load_add_remove_delete_initilize_view_GridView.xml</t>
    <phoneticPr fontId="2" type="noConversion"/>
  </si>
  <si>
    <t>/GridView/_General/noSelect_GridView/noSelect_GridView.xml</t>
    <phoneticPr fontId="2" type="noConversion"/>
  </si>
  <si>
    <t>/GridView/_General/setAutoFit_clearAutoFit_GridView/setAutoFit_clearAutoFit_GridView.xml</t>
    <phoneticPr fontId="2" type="noConversion"/>
  </si>
  <si>
    <t>/GridView/_General/setFocusedMultiCell_GridView/setFocusedMultiCell_GridView.xml</t>
    <phoneticPr fontId="2" type="noConversion"/>
  </si>
  <si>
    <t>/GridView/_General/setRowVisible_clearRowVisible_GridView/setRowVisible_clearRowVisible_GridView.xml</t>
    <phoneticPr fontId="2" type="noConversion"/>
  </si>
  <si>
    <t>/GridView/gridView.column/imageAlign_gridView_column/imageAlign_gridView_column.xml</t>
    <phoneticPr fontId="2" type="noConversion"/>
  </si>
  <si>
    <t>/GridView/subTotal/subtotal_GridView.xml</t>
    <phoneticPr fontId="2" type="noConversion"/>
  </si>
  <si>
    <t>/GridView/footer/inputType_expression_SUM_gridView_column/inputType_expression_SUM_gridView_column.xml</t>
    <phoneticPr fontId="2" type="noConversion"/>
  </si>
  <si>
    <t>/GridView/footer/inputType_expression_footer_gridView_column/inputType_expression_footer_gridView_column.xml</t>
    <phoneticPr fontId="2" type="noConversion"/>
  </si>
  <si>
    <t>/GridView/Style/focusMode_selectedCellColor_selectedRowColor_GridView.xml</t>
    <phoneticPr fontId="2" type="noConversion"/>
  </si>
  <si>
    <t>/GridView/inputType/inputType_calendar_setColumnIoFormat_gridView_column/inputType_calendar_setColumnIoFormat_gridView_column.xml</t>
    <phoneticPr fontId="2" type="noConversion"/>
  </si>
  <si>
    <t>/GridView/inputType/setCellInputType_setCellInputTypeCustom_GridView/setCellInputType_setCellInputTypeCustom_GridView.xml</t>
    <phoneticPr fontId="2" type="noConversion"/>
  </si>
  <si>
    <t>/GridView/inputType/inputType_drilldown_gridView_column/inputType_drilldown_gridView_column.xml</t>
    <phoneticPr fontId="2" type="noConversion"/>
  </si>
  <si>
    <t>/GridView/inputType/inputType_checkbox_gridView_column/inputType_checkbox_gridView_column.xml</t>
    <phoneticPr fontId="2" type="noConversion"/>
  </si>
  <si>
    <t>/GridView/inputType/inputType_drilldown_onbeforetoggleclick_gridView_column/inputType_drilldown_onbeforetoggleclick_gridView_column.xml</t>
    <phoneticPr fontId="2" type="noConversion"/>
  </si>
  <si>
    <t>/GridView/Dragging/dataDragSelect_useShiftKey_to_copy_GridView/dataDragSelect_useShiftKey_to_copy_GridView.xml</t>
    <phoneticPr fontId="2" type="noConversion"/>
  </si>
  <si>
    <t>/GridView/Dragging/setDrillDownDragDrop_GridView/setDrillDownDragDrop_GridView.xml</t>
    <phoneticPr fontId="2" type="noConversion"/>
  </si>
  <si>
    <t>/GridView/Dragging/dataDragDrop_GridView/dataDragDrop_GridView.xml</t>
    <phoneticPr fontId="2" type="noConversion"/>
  </si>
  <si>
    <t>/GridView/Events/onscrollstart_alwaysTriggerScrollStart_GridView/onscrollstart_alwaysTriggerScrollStart_GridView.xml</t>
    <phoneticPr fontId="2" type="noConversion"/>
  </si>
  <si>
    <t>/GridView/Sorting/orderByColumn_gridView_column/orderByColumn_gridView_column.xml</t>
    <phoneticPr fontId="2" type="noConversion"/>
  </si>
  <si>
    <t>/_DataCollection/DataList/getFiterList_clearFilter_setColumnFilter_DataList/getFiterList_clearFilter_setColumnFilter_DataList.xml</t>
    <phoneticPr fontId="2" type="noConversion"/>
  </si>
  <si>
    <t>/Pivot/pivotExcelUpload_Pivot/pivotExcelUpload_Pivot.xml</t>
    <phoneticPr fontId="2" type="noConversion"/>
  </si>
  <si>
    <t>/Pivot/grandTotalValsNameFormatter_Pivot.xml</t>
    <phoneticPr fontId="2" type="noConversion"/>
  </si>
  <si>
    <t>/GridView/Excel/advancedExcelDownload_customToDataType_GridView/advancedExcelDownload_customToDataType_GridView.xml</t>
    <phoneticPr fontId="2" type="noConversion"/>
  </si>
  <si>
    <t>/GridView/Excel/advancedExcelDownload_GridView/advancedExcelDownload_GridView.xml</t>
    <phoneticPr fontId="2" type="noConversion"/>
  </si>
  <si>
    <t>/GridView/Excel/advancedExcelUpload_decimal_applyDecimal_GridView/advancedExcelUpload_decimal_applyDecimal_GridView.xml</t>
    <phoneticPr fontId="2" type="noConversion"/>
  </si>
  <si>
    <t>/GridView/Excel/advancedExcelUpload_sheetName_GridView/advancedExcelUpload_sheetName_GridView.xml</t>
    <phoneticPr fontId="2" type="noConversion"/>
  </si>
  <si>
    <t>/GridView/Excel/advancedExcelUpload_trim_GridView/advancedExcelUpload_trim_GridView.xml</t>
    <phoneticPr fontId="2" type="noConversion"/>
  </si>
  <si>
    <t>/GridView/Excel/advancedExcelUpload_type_GridView/advancedExcelUpload_type_GridView.xml</t>
    <phoneticPr fontId="2" type="noConversion"/>
  </si>
  <si>
    <t>/GridView/Excel/advancedExcelUpload_type_convertIndex_GridView/advancedExcelUpload_type_convertIndex_GridView.xml</t>
    <phoneticPr fontId="2" type="noConversion"/>
  </si>
  <si>
    <t>/_WebSquare.util/multipleExcelDownload_multipleSheet_WebSquare_util/multipleExcelDownload_multipleSheet_WebSquare_util.xml</t>
    <phoneticPr fontId="2" type="noConversion"/>
  </si>
  <si>
    <t>/Generator/insertChild_Generator_UDC/insertChild()_Generator_UDC.xml</t>
    <phoneticPr fontId="2" type="noConversion"/>
  </si>
  <si>
    <t>/CheckBox/BindItemSet_CheckBox/BindItemSet_CheckBox.xml</t>
    <phoneticPr fontId="2" type="noConversion"/>
  </si>
  <si>
    <t>/TabControl/tabPosition_TabControl/tabPosition_TabControl.xml</t>
    <phoneticPr fontId="2" type="noConversion"/>
  </si>
  <si>
    <t>/MultiUpload/getFileCount_MultiUpload.xml</t>
    <phoneticPr fontId="2" type="noConversion"/>
  </si>
  <si>
    <t>/CheckComboBox/BindItemSet_allOption_chooseOption_chooseOptionLabel_CheckComboBox/BindItemSet_allOption_chooseOption_chooseOptionLabel_CheckComboBox.xml</t>
    <phoneticPr fontId="2" type="noConversion"/>
  </si>
  <si>
    <t>/GridView/inputType/inputType_checkbox_select_gridView_column.xml</t>
    <phoneticPr fontId="2" type="noConversion"/>
  </si>
  <si>
    <t>/GridView/inputType/inputType_checkbox_useShiftKey_useShiftKeyCheck_GridView.xml</t>
    <phoneticPr fontId="2" type="noConversion"/>
  </si>
  <si>
    <t>/GridView/Style/getCurrentGridStyle_setGridStyle_GridView.xml</t>
    <phoneticPr fontId="2" type="noConversion"/>
  </si>
  <si>
    <t>/GridView/_General/noResultMessage_noResultMessageVisibleAlways_GridView.xml</t>
    <phoneticPr fontId="2" type="noConversion"/>
  </si>
  <si>
    <t>/GridView/_General/useNoResultMessageURL_noResultMessageURL_GridView/useNoResultMessageURL_noResultMessageURL_GridView.xml</t>
    <phoneticPr fontId="2" type="noConversion"/>
  </si>
  <si>
    <t>/GridView/Style/setColumnBackgroundColor_getColumnBackgroundColor_GridView.xml</t>
    <phoneticPr fontId="2" type="noConversion"/>
  </si>
  <si>
    <t>/GridView/Style/setColumnColor_getColumnColor_GridView.xml</t>
    <phoneticPr fontId="2" type="noConversion"/>
  </si>
  <si>
    <t>GridView/Style</t>
    <phoneticPr fontId="2" type="noConversion"/>
  </si>
  <si>
    <t>/GridView/Style/setColumnStyle_GridView.xml</t>
    <phoneticPr fontId="2" type="noConversion"/>
  </si>
  <si>
    <t>/GridView/Style/setRowBackgroundColor_GridView.xml</t>
    <phoneticPr fontId="2" type="noConversion"/>
  </si>
  <si>
    <t>/GridView/Style/setRowColor_getRowColor_GridView.xml</t>
    <phoneticPr fontId="2" type="noConversion"/>
  </si>
  <si>
    <t>/GridView/Style/rowMouseOver_rowMouseOverColor_GridView.xml</t>
    <phoneticPr fontId="2" type="noConversion"/>
  </si>
  <si>
    <t>/GridView/Dragging/dataDragDropStatus_GridView.xml</t>
    <phoneticPr fontId="2" type="noConversion"/>
  </si>
  <si>
    <t>/GridView/Style/setCellBackgroundColor_GridView.xml</t>
    <phoneticPr fontId="2" type="noConversion"/>
  </si>
  <si>
    <t>/GridView/Style/setCellColor_getCellColor_GridView.xml</t>
    <phoneticPr fontId="2" type="noConversion"/>
  </si>
  <si>
    <t>/GridView/Style/setCellStyle_GridView.xml</t>
    <phoneticPr fontId="2" type="noConversion"/>
  </si>
  <si>
    <t>/GridView/Style/setCellClass_GridView.xml</t>
    <phoneticPr fontId="2" type="noConversion"/>
  </si>
  <si>
    <t>/_Page_Component/method_Page_Component/method_Page_Component.xml</t>
    <phoneticPr fontId="2" type="noConversion"/>
  </si>
  <si>
    <t>/GridView/_General/setColumnVisibleColumn_GridView/setColumnVisibleColumn_GridView.xml</t>
    <phoneticPr fontId="2" type="noConversion"/>
  </si>
  <si>
    <t>/GridView/Style/rowNumRowMouseOverColor_GridView.xml</t>
    <phoneticPr fontId="2" type="noConversion"/>
  </si>
  <si>
    <t>/_DataCollection/DataMap/scope_aliasDataMap/scope_aliasDataMap.xml</t>
    <phoneticPr fontId="2" type="noConversion"/>
  </si>
  <si>
    <t>onpanelload_onpanelunload_Accordion</t>
    <phoneticPr fontId="2" type="noConversion"/>
  </si>
  <si>
    <t>onbeforewframeunload_WFrame</t>
    <phoneticPr fontId="2" type="noConversion"/>
  </si>
  <si>
    <t>/Editor/maxCharCount_Editor.xml</t>
    <phoneticPr fontId="2" type="noConversion"/>
  </si>
  <si>
    <t>maxCharCount_Editor</t>
    <phoneticPr fontId="2" type="noConversion"/>
  </si>
  <si>
    <t>/InputCalendar/disableDate_InputCalendar.xml</t>
    <phoneticPr fontId="2" type="noConversion"/>
  </si>
  <si>
    <t>https://example.websquare.kr/websquare/websquare.html?w2xPath=/guide</t>
  </si>
  <si>
    <t>샘플 목록용 링크 (WRE)</t>
    <phoneticPr fontId="2" type="noConversion"/>
  </si>
  <si>
    <t>https://example.websquare.kr/websquare/websquare.html?w2xPath=/guide</t>
    <phoneticPr fontId="2" type="noConversion"/>
  </si>
  <si>
    <t>선택 항목에 표시할 행수를 정적/동적으로 설정.</t>
    <phoneticPr fontId="2" type="noConversion"/>
  </si>
  <si>
    <t>부모 화면의 DataList 바인딩</t>
    <phoneticPr fontId="2" type="noConversion"/>
  </si>
  <si>
    <t>Excel 수식을 지원하는 셀을 추가하여 GridView를 Excel 파일로 다운로드.</t>
    <phoneticPr fontId="2" type="noConversion"/>
  </si>
  <si>
    <t>입력 값의 좌우 공백 제거</t>
    <phoneticPr fontId="2" type="noConversion"/>
  </si>
  <si>
    <t>다양한 화폐 단위 입력</t>
    <phoneticPr fontId="2" type="noConversion"/>
  </si>
  <si>
    <t>포맷 적용 시점 설정</t>
    <phoneticPr fontId="2" type="noConversion"/>
  </si>
  <si>
    <t>숫자 및 알파벳 마스킹</t>
    <phoneticPr fontId="2" type="noConversion"/>
  </si>
  <si>
    <t>최대 입력 가능 길이 제한</t>
    <phoneticPr fontId="2" type="noConversion"/>
  </si>
  <si>
    <t>이벤트 - oneditfull</t>
    <phoneticPr fontId="2" type="noConversion"/>
  </si>
  <si>
    <t>필수 입력 (mandatory) 설정 및 확인</t>
    <phoneticPr fontId="2" type="noConversion"/>
  </si>
  <si>
    <t>최대 입력 가능 바이트 길이 설정 및 초기화</t>
    <phoneticPr fontId="2" type="noConversion"/>
  </si>
  <si>
    <t>값 설정 및 반환</t>
    <phoneticPr fontId="2" type="noConversion"/>
  </si>
  <si>
    <t>입력 검증 및 오류 메시지 표시</t>
    <phoneticPr fontId="2" type="noConversion"/>
  </si>
  <si>
    <t>마스킹 방향 설정</t>
    <phoneticPr fontId="2" type="noConversion"/>
  </si>
  <si>
    <t>선택한 주를 다른 색으로 표시</t>
    <phoneticPr fontId="2" type="noConversion"/>
  </si>
  <si>
    <t>Calendar - highlightSelectedWeek</t>
    <phoneticPr fontId="2" type="noConversion"/>
  </si>
  <si>
    <t>달력 주(Week) 수 설정</t>
    <phoneticPr fontId="2" type="noConversion"/>
  </si>
  <si>
    <t>휴일 직접 지정</t>
    <phoneticPr fontId="2" type="noConversion"/>
  </si>
  <si>
    <t xml:space="preserve">특정 날짜를 휴일로 지정. </t>
    <phoneticPr fontId="2" type="noConversion"/>
  </si>
  <si>
    <t>DataList의 날짜를 휴일로 지정</t>
    <phoneticPr fontId="2" type="noConversion"/>
  </si>
  <si>
    <t>이벤트 - onmonthselect &amp; onyearselect</t>
    <phoneticPr fontId="2" type="noConversion"/>
  </si>
  <si>
    <t>특정 패널의 속성 확인</t>
    <phoneticPr fontId="2" type="noConversion"/>
  </si>
  <si>
    <t>모든 열린 패널의 속성 확인</t>
    <phoneticPr fontId="2" type="noConversion"/>
  </si>
  <si>
    <t>Enter 키로 패널 열고 닫기</t>
    <phoneticPr fontId="2" type="noConversion"/>
  </si>
  <si>
    <t>패널의 열린 상태를 유지</t>
    <phoneticPr fontId="2" type="noConversion"/>
  </si>
  <si>
    <t>Accordion - onpanelload &amp; onpageunload</t>
    <phoneticPr fontId="2" type="noConversion"/>
  </si>
  <si>
    <t>이벤트 - onpanelload &amp; onpageunload</t>
    <phoneticPr fontId="2" type="noConversion"/>
  </si>
  <si>
    <t>선택 항목 목록의 화살표 표시/숨김</t>
    <phoneticPr fontId="2" type="noConversion"/>
  </si>
  <si>
    <t>DataList 바인딩</t>
    <phoneticPr fontId="2" type="noConversion"/>
  </si>
  <si>
    <t>포커스 자동 이동</t>
    <phoneticPr fontId="2" type="noConversion"/>
  </si>
  <si>
    <t xml:space="preserve">사용자가 Enter 키를 입력할 경우, nextTabID 컴포넌트로 이동. 
</t>
    <phoneticPr fontId="2" type="noConversion"/>
  </si>
  <si>
    <t>Enter 키를 통한 자동 포커스 이동</t>
    <phoneticPr fontId="2" type="noConversion"/>
  </si>
  <si>
    <t>편집 모드에서 displayMode 표시</t>
    <phoneticPr fontId="2" type="noConversion"/>
  </si>
  <si>
    <t>이벤트 - onselected</t>
    <phoneticPr fontId="2" type="noConversion"/>
  </si>
  <si>
    <t>이벤트 - oneditkeyup</t>
    <phoneticPr fontId="2" type="noConversion"/>
  </si>
  <si>
    <t>이벤트 - oneditenter</t>
    <phoneticPr fontId="2" type="noConversion"/>
  </si>
  <si>
    <t>이벤트 - onviewchange</t>
    <phoneticPr fontId="2" type="noConversion"/>
  </si>
  <si>
    <t>이벤트 - onchange</t>
    <phoneticPr fontId="2" type="noConversion"/>
  </si>
  <si>
    <t>이벤트 - onbeforeselect</t>
    <phoneticPr fontId="2" type="noConversion"/>
  </si>
  <si>
    <t>일부 선택 항목 (정적으로) 비활성화</t>
    <phoneticPr fontId="2" type="noConversion"/>
  </si>
  <si>
    <t>일부 선택 항목 (동적으로) 비활성화</t>
    <phoneticPr fontId="2" type="noConversion"/>
  </si>
  <si>
    <t>AutoComplete - enableColumn &amp; enableColumnFalseValue</t>
    <phoneticPr fontId="2" type="noConversion"/>
  </si>
  <si>
    <t>특정 키 동작 방지</t>
    <phoneticPr fontId="2" type="noConversion"/>
  </si>
  <si>
    <t>데이터 입력 여부 검증</t>
    <phoneticPr fontId="2" type="noConversion"/>
  </si>
  <si>
    <t>구분자 동적 설정</t>
    <phoneticPr fontId="2" type="noConversion"/>
  </si>
  <si>
    <t>선택 안내 메시지 설정</t>
    <phoneticPr fontId="2" type="noConversion"/>
  </si>
  <si>
    <t>일부 선택 항목 숨기기</t>
    <phoneticPr fontId="2" type="noConversion"/>
  </si>
  <si>
    <t>DataList와 바인딩</t>
    <phoneticPr fontId="2" type="noConversion"/>
  </si>
  <si>
    <t>툴팁 설정</t>
    <phoneticPr fontId="2" type="noConversion"/>
  </si>
  <si>
    <t>CheckBox - tooltipDisplay &amp; tooltipShowAlways &amp; tooltipFormatter</t>
    <phoneticPr fontId="2" type="noConversion"/>
  </si>
  <si>
    <t>CheckComboBox - columnEllipsis</t>
    <phoneticPr fontId="2" type="noConversion"/>
  </si>
  <si>
    <t>말 줄임표 표시</t>
    <phoneticPr fontId="2" type="noConversion"/>
  </si>
  <si>
    <t>열 개수 설정</t>
    <phoneticPr fontId="2" type="noConversion"/>
  </si>
  <si>
    <t>최대 열 개수 설정</t>
    <phoneticPr fontId="2" type="noConversion"/>
  </si>
  <si>
    <t>Label 및 Value 표시 방법 설정 (정적)</t>
    <phoneticPr fontId="2" type="noConversion"/>
  </si>
  <si>
    <t>Label 및 Value 표시 방법 설정 (동적)</t>
    <phoneticPr fontId="2" type="noConversion"/>
  </si>
  <si>
    <t>선택된 항목을 목록 상단에 표시</t>
    <phoneticPr fontId="2" type="noConversion"/>
  </si>
  <si>
    <t>CheckComboBox - showCheckedTop &amp; checkboxClickSync</t>
    <phoneticPr fontId="2" type="noConversion"/>
  </si>
  <si>
    <t>선택 항목 목록 너비 설정</t>
    <phoneticPr fontId="2" type="noConversion"/>
  </si>
  <si>
    <t>마우스 드래깅을 통한 연속된 값 선택</t>
    <phoneticPr fontId="2" type="noConversion"/>
  </si>
  <si>
    <t>CheckComboBox - useDrag &amp; rangeSeparator separator</t>
    <phoneticPr fontId="2" type="noConversion"/>
  </si>
  <si>
    <t>입력 시 검증</t>
    <phoneticPr fontId="2" type="noConversion"/>
  </si>
  <si>
    <t>CheckComboBox - validateOnInput</t>
    <phoneticPr fontId="2" type="noConversion"/>
  </si>
  <si>
    <t>키보드 입력을 통한 선택 허용</t>
    <phoneticPr fontId="2" type="noConversion"/>
  </si>
  <si>
    <t>CheckComboBox - useEdit</t>
    <phoneticPr fontId="2" type="noConversion"/>
  </si>
  <si>
    <t>일부 선택 항목 숨기기</t>
    <phoneticPr fontId="2" type="noConversion"/>
  </si>
  <si>
    <t>표시할 행의 개수 설정</t>
    <phoneticPr fontId="2" type="noConversion"/>
  </si>
  <si>
    <t>최대 입력 글자수 지정</t>
    <phoneticPr fontId="2" type="noConversion"/>
  </si>
  <si>
    <t>Editor - maxCharCount</t>
    <phoneticPr fontId="2" type="noConversion"/>
  </si>
  <si>
    <t>Placeholder 설정</t>
    <phoneticPr fontId="2" type="noConversion"/>
  </si>
  <si>
    <t>개행 문자를 포함하여 텍스트 반환</t>
    <phoneticPr fontId="2" type="noConversion"/>
  </si>
  <si>
    <t>개행 없이 텍스트만 반환</t>
    <phoneticPr fontId="2" type="noConversion"/>
  </si>
  <si>
    <t>HTML 태그와 텍스트 모두 반환</t>
    <phoneticPr fontId="2" type="noConversion"/>
  </si>
  <si>
    <t>동적 스케줄 추가</t>
    <phoneticPr fontId="2" type="noConversion"/>
  </si>
  <si>
    <t xml:space="preserve">동적으로 스케줄 추가. </t>
    <phoneticPr fontId="2" type="noConversion"/>
  </si>
  <si>
    <t>DataList 바인딩을 통해 스케줄 추가</t>
    <phoneticPr fontId="2" type="noConversion"/>
  </si>
  <si>
    <t>DataList와 바인딩</t>
    <phoneticPr fontId="2" type="noConversion"/>
  </si>
  <si>
    <t>일부 선택 항목 (정적으로) 비활성화</t>
    <phoneticPr fontId="2" type="noConversion"/>
  </si>
  <si>
    <t>이벤트 - onviewchange</t>
    <phoneticPr fontId="2" type="noConversion"/>
  </si>
  <si>
    <t>이벤트 - onbeforeselect</t>
    <phoneticPr fontId="2" type="noConversion"/>
  </si>
  <si>
    <t>키보드 혹은 마우스 조작을 통해 값이 변경될 경우 발생.</t>
    <phoneticPr fontId="2" type="noConversion"/>
  </si>
  <si>
    <t>사용자가 마우스나 키보드를 통해 선택 항목을 변경할 때 발생. (JavaScript 코드에 의한 변경은 해당 없음.)</t>
    <phoneticPr fontId="2" type="noConversion"/>
  </si>
  <si>
    <t xml:space="preserve">패널 열림/닫힘 시 이벤트 발생. </t>
    <phoneticPr fontId="2" type="noConversion"/>
  </si>
  <si>
    <t xml:space="preserve">항목 선택 후 발생. onitemclick 이벤트 이후 발생. </t>
    <phoneticPr fontId="2" type="noConversion"/>
  </si>
  <si>
    <t>툴팁 표시</t>
    <phoneticPr fontId="2" type="noConversion"/>
  </si>
  <si>
    <t>Radio - tooltipDisplay &amp; tooltipShowAlways &amp; tooltipItemLabel &amp; tooltipFormatter</t>
    <phoneticPr fontId="2" type="noConversion"/>
  </si>
  <si>
    <t>입력 검증 및 오류 메시지 표시</t>
    <phoneticPr fontId="2" type="noConversion"/>
  </si>
  <si>
    <t>계층 구조의 데이터 설정</t>
    <phoneticPr fontId="2" type="noConversion"/>
  </si>
  <si>
    <t>계층 구조의 선택 항목을 부모와 함께 표시</t>
    <phoneticPr fontId="2" type="noConversion"/>
  </si>
  <si>
    <t>SelectBox - depthColumnShowPath &amp; depthColumnPathDelimiter</t>
    <phoneticPr fontId="2" type="noConversion"/>
  </si>
  <si>
    <t>계층 구조의 선택 항목 목록 높이 및 너비 설정</t>
    <phoneticPr fontId="2" type="noConversion"/>
  </si>
  <si>
    <t>마우스 클릭 혹은 Enter 키를 통해 항목을 선택할 경우 발생.</t>
    <phoneticPr fontId="2" type="noConversion"/>
  </si>
  <si>
    <t>Label 및 Value 표시 방법 설정 (정적)</t>
    <phoneticPr fontId="2" type="noConversion"/>
  </si>
  <si>
    <t>목록 너비 자동 조절</t>
    <phoneticPr fontId="2" type="noConversion"/>
  </si>
  <si>
    <t>SelectBox - labelWidthAuto</t>
    <phoneticPr fontId="2" type="noConversion"/>
  </si>
  <si>
    <t>일부 선택 항목 숨기기</t>
    <phoneticPr fontId="2" type="noConversion"/>
  </si>
  <si>
    <t>표시할 행 및 열의 개수 설정</t>
    <phoneticPr fontId="2" type="noConversion"/>
  </si>
  <si>
    <t>툴팁 커스터마이징</t>
    <phoneticPr fontId="2" type="noConversion"/>
  </si>
  <si>
    <t>선택 목록 혹은 항목 위에 툴팁 표시</t>
    <phoneticPr fontId="2" type="noConversion"/>
  </si>
  <si>
    <t>Label 및 Value 표시 방법 설정 (동적)</t>
    <phoneticPr fontId="2" type="noConversion"/>
  </si>
  <si>
    <t>목록에 없는 값의 처리</t>
    <phoneticPr fontId="2" type="noConversion"/>
  </si>
  <si>
    <t>날짜 증가 단위 설정</t>
    <phoneticPr fontId="2" type="noConversion"/>
  </si>
  <si>
    <t>시간 증가 단위 설정</t>
    <phoneticPr fontId="2" type="noConversion"/>
  </si>
  <si>
    <t>자동 포커스 이동</t>
    <phoneticPr fontId="2" type="noConversion"/>
  </si>
  <si>
    <t>초기 값 지정</t>
    <phoneticPr fontId="2" type="noConversion"/>
  </si>
  <si>
    <t>잘못 입력한 날짜에 대한 경고 출력</t>
    <phoneticPr fontId="2" type="noConversion"/>
  </si>
  <si>
    <t>읽기 전용 혹은 비활성화 상태에서 Placeholder 표시</t>
    <phoneticPr fontId="2" type="noConversion"/>
  </si>
  <si>
    <t>TextArea - showPlaceHolderOnReadOnly</t>
    <phoneticPr fontId="2" type="noConversion"/>
  </si>
  <si>
    <t>항상 툴팁 표시</t>
    <phoneticPr fontId="2" type="noConversion"/>
  </si>
  <si>
    <t>HTML 태그 지원</t>
    <phoneticPr fontId="2" type="noConversion"/>
  </si>
  <si>
    <t>툴팁 표시 위치 지정</t>
    <phoneticPr fontId="2" type="noConversion"/>
  </si>
  <si>
    <t>입력창을 클릭해서 파일 탐색기 열기</t>
    <phoneticPr fontId="2" type="noConversion"/>
  </si>
  <si>
    <t>함수를 사용하여 파일 탐색기 열기</t>
    <phoneticPr fontId="2" type="noConversion"/>
  </si>
  <si>
    <t>ref 속성을 통한 바인딩 설정</t>
    <phoneticPr fontId="2" type="noConversion"/>
  </si>
  <si>
    <t>입력 검증 및 오류 메시지 표시</t>
    <phoneticPr fontId="2" type="noConversion"/>
  </si>
  <si>
    <t>날짜 유효성 검증을 위한 사용자 정의 함수 사용</t>
    <phoneticPr fontId="2" type="noConversion"/>
  </si>
  <si>
    <t>특정 날짜 설정</t>
    <phoneticPr fontId="2" type="noConversion"/>
  </si>
  <si>
    <t>setValue() 
ioFormat</t>
    <phoneticPr fontId="2" type="noConversion"/>
  </si>
  <si>
    <t>특정 날짜 비활성화</t>
    <phoneticPr fontId="2" type="noConversion"/>
  </si>
  <si>
    <t>일(Day) 단위 선택 유지</t>
    <phoneticPr fontId="2" type="noConversion"/>
  </si>
  <si>
    <t>달력을 열 때 표시되는 날짜 설정</t>
    <phoneticPr fontId="2" type="noConversion"/>
  </si>
  <si>
    <t>특정일 기준 앞/뒤 날짜들을 비활성화</t>
    <phoneticPr fontId="2" type="noConversion"/>
  </si>
  <si>
    <t>달력의 연도 및 월 표시 방법 설정</t>
    <phoneticPr fontId="2" type="noConversion"/>
  </si>
  <si>
    <t>달력의 연도 및 월 표시 순서 설정</t>
    <phoneticPr fontId="2" type="noConversion"/>
  </si>
  <si>
    <t>날짜 선택 취소 버튼 숨기기</t>
    <phoneticPr fontId="2" type="noConversion"/>
  </si>
  <si>
    <t>날짜 선택 취소 버튼 표시하기</t>
    <phoneticPr fontId="2" type="noConversion"/>
  </si>
  <si>
    <t>날짜 초기화 버튼 표시하기/숨기기</t>
    <phoneticPr fontId="2" type="noConversion"/>
  </si>
  <si>
    <t>달력의 주(Week) 수 설정</t>
    <phoneticPr fontId="2" type="noConversion"/>
  </si>
  <si>
    <t>날짜 입출력 형식 (정적) 설정</t>
    <phoneticPr fontId="2" type="noConversion"/>
  </si>
  <si>
    <t>날짜 입출력 형식 (동적) 설정</t>
    <phoneticPr fontId="2" type="noConversion"/>
  </si>
  <si>
    <t>차트 유형을 동적으로 변경</t>
    <phoneticPr fontId="2" type="noConversion"/>
  </si>
  <si>
    <t>닫기 버튼 사용 여부 설정</t>
    <phoneticPr fontId="2" type="noConversion"/>
  </si>
  <si>
    <t>PageFrame 외부로의 이동 제어</t>
    <phoneticPr fontId="2" type="noConversion"/>
  </si>
  <si>
    <t>지도에 마커를 표시</t>
    <phoneticPr fontId="2" type="noConversion"/>
  </si>
  <si>
    <t>마커 스타일 정의</t>
    <phoneticPr fontId="2" type="noConversion"/>
  </si>
  <si>
    <t>특정 노드 접기/펼치기</t>
    <phoneticPr fontId="2" type="noConversion"/>
  </si>
  <si>
    <t>전체 노드 접기/펼치기</t>
    <phoneticPr fontId="2" type="noConversion"/>
  </si>
  <si>
    <t>각 노드에 체크박스 표시</t>
    <phoneticPr fontId="2" type="noConversion"/>
  </si>
  <si>
    <t>부모 노드 체크 박스를 선택하여 자식 노드 전체를 선택</t>
    <phoneticPr fontId="2" type="noConversion"/>
  </si>
  <si>
    <t>특정 노드에 스타일 적용</t>
    <phoneticPr fontId="2" type="noConversion"/>
  </si>
  <si>
    <t>전체 컴포넌트 활성화/비활성화</t>
    <phoneticPr fontId="2" type="noConversion"/>
  </si>
  <si>
    <t>원래 상태는 유지하면서 전체 컴포넌트 활성화/비활성화</t>
    <phoneticPr fontId="2" type="noConversion"/>
  </si>
  <si>
    <t>이벤트 - onmouseenter &amp; onmouseleave</t>
    <phoneticPr fontId="2" type="noConversion"/>
  </si>
  <si>
    <t>Group 스타일링 팁</t>
    <phoneticPr fontId="2" type="noConversion"/>
  </si>
  <si>
    <t>적응형 웹 적용</t>
    <phoneticPr fontId="2" type="noConversion"/>
  </si>
  <si>
    <t>TableLayout 소개</t>
    <phoneticPr fontId="2" type="noConversion"/>
  </si>
  <si>
    <t>PageFrame - onpageframeload &amp; onbeforepageframeunload</t>
    <phoneticPr fontId="2" type="noConversion"/>
  </si>
  <si>
    <t>이벤트 - onpageframeload &amp; onbeforepageframeunload</t>
    <phoneticPr fontId="2" type="noConversion"/>
  </si>
  <si>
    <t>동적으로 위젯 추가</t>
    <phoneticPr fontId="2" type="noConversion"/>
  </si>
  <si>
    <t>WidgetContainer - preventMaximizeByTitle</t>
    <phoneticPr fontId="2" type="noConversion"/>
  </si>
  <si>
    <t>위젯 정보 확인 및 위젯 삭제</t>
    <phoneticPr fontId="2" type="noConversion"/>
  </si>
  <si>
    <t>위젯 이동 및 리사이징</t>
    <phoneticPr fontId="2" type="noConversion"/>
  </si>
  <si>
    <t>위젯 타이틀에 아이콘 이미지 표시</t>
    <phoneticPr fontId="2" type="noConversion"/>
  </si>
  <si>
    <t>위젯 타이틀에 스타일 적용</t>
    <phoneticPr fontId="2" type="noConversion"/>
  </si>
  <si>
    <t>위젯 생성 후 서브미션 상태창 표시</t>
    <phoneticPr fontId="2" type="noConversion"/>
  </si>
  <si>
    <t>WidgetContainer - processMsgFrame</t>
    <phoneticPr fontId="2" type="noConversion"/>
  </si>
  <si>
    <t>위젯 타이틀 더블 클릭을 통한 위젯 최대화 방지</t>
    <phoneticPr fontId="2" type="noConversion"/>
  </si>
  <si>
    <t>위젯에 커스텀 버튼 추가</t>
    <phoneticPr fontId="2" type="noConversion"/>
  </si>
  <si>
    <t>총 합계 표시하기/숨기기</t>
    <phoneticPr fontId="2" type="noConversion"/>
  </si>
  <si>
    <t>총 합계 표시 위치 설정</t>
    <phoneticPr fontId="2" type="noConversion"/>
  </si>
  <si>
    <t>Pivot - showGrandTotal &amp; grandTotalDisplayType</t>
    <phoneticPr fontId="2" type="noConversion"/>
  </si>
  <si>
    <t>Pivot → Excel 다운로드</t>
    <phoneticPr fontId="2" type="noConversion"/>
  </si>
  <si>
    <t>컬럼 이동 금지</t>
    <phoneticPr fontId="2" type="noConversion"/>
  </si>
  <si>
    <t>헤더 컬럼 병합</t>
    <phoneticPr fontId="2" type="noConversion"/>
  </si>
  <si>
    <t>(헤더 컬럼 병합하여) Pivot → Excel 다운로드</t>
    <phoneticPr fontId="2" type="noConversion"/>
  </si>
  <si>
    <t>(컬럼 너비 자동 조절한 상태로) Pivot → Excel 다운로드</t>
    <phoneticPr fontId="2" type="noConversion"/>
  </si>
  <si>
    <t>행 합계 및 컬럼 합계를 표시할 라벨 값을 설정</t>
    <phoneticPr fontId="2" type="noConversion"/>
  </si>
  <si>
    <t>필드 합계를 표시할 라벨 값을 커스텀 설정</t>
    <phoneticPr fontId="2" type="noConversion"/>
  </si>
  <si>
    <t>Excel → Pivot 업로드</t>
    <phoneticPr fontId="2" type="noConversion"/>
  </si>
  <si>
    <t>WindowContainer - windowMoveType</t>
    <phoneticPr fontId="2" type="noConversion"/>
  </si>
  <si>
    <t>윈도우 드래깅 시 위치 설정</t>
    <phoneticPr fontId="2" type="noConversion"/>
  </si>
  <si>
    <t>WindowContainer - stopMinimizeOnNameLayer</t>
    <phoneticPr fontId="2" type="noConversion"/>
  </si>
  <si>
    <t>네임 레이어를 통한 최소화 방지</t>
    <phoneticPr fontId="2" type="noConversion"/>
  </si>
  <si>
    <t>윈도우 표시 및 배열 순서 설정</t>
    <phoneticPr fontId="2" type="noConversion"/>
  </si>
  <si>
    <t>서브미션 상태 메시지 소스 변경</t>
    <phoneticPr fontId="2" type="noConversion"/>
  </si>
  <si>
    <t>서브미션 메시지 표시</t>
    <phoneticPr fontId="2" type="noConversion"/>
  </si>
  <si>
    <t>WindowContainer - processMsgFrame</t>
    <phoneticPr fontId="2" type="noConversion"/>
  </si>
  <si>
    <t>이벤트 - onminimizebtnclick &amp; onrestorebtnclick</t>
    <phoneticPr fontId="2" type="noConversion"/>
  </si>
  <si>
    <t>윈도우 생성 시 파라미터 전달</t>
    <phoneticPr fontId="2" type="noConversion"/>
  </si>
  <si>
    <t>브라우저의 History 기능 사용</t>
    <phoneticPr fontId="2" type="noConversion"/>
  </si>
  <si>
    <t>윈도우 닫기 시 남아 있는 윈도우의 자동 정렬</t>
    <phoneticPr fontId="2" type="noConversion"/>
  </si>
  <si>
    <t>WindowContainer - autoArrange</t>
    <phoneticPr fontId="2" type="noConversion"/>
  </si>
  <si>
    <t>프레임 기반 모달 팝업 생성</t>
    <phoneticPr fontId="2" type="noConversion"/>
  </si>
  <si>
    <t>윈도우 생성</t>
    <phoneticPr fontId="2" type="noConversion"/>
  </si>
  <si>
    <t>윈도우 크기 기반 적응형 디자인 적용</t>
    <phoneticPr fontId="2" type="noConversion"/>
  </si>
  <si>
    <t>윈도우 크기 설정</t>
    <phoneticPr fontId="2" type="noConversion"/>
  </si>
  <si>
    <t>윈도우 최소화</t>
    <phoneticPr fontId="2" type="noConversion"/>
  </si>
  <si>
    <t>윈도우 최대화</t>
    <phoneticPr fontId="2" type="noConversion"/>
  </si>
  <si>
    <t>현재 선택된 윈도우에 적용할 스타일 설정</t>
    <phoneticPr fontId="2" type="noConversion"/>
  </si>
  <si>
    <t>윈도우 목록 보기 버튼 표시</t>
    <phoneticPr fontId="2" type="noConversion"/>
  </si>
  <si>
    <t>윈도우 목록에 표시할 항목 개수 설정</t>
    <phoneticPr fontId="2" type="noConversion"/>
  </si>
  <si>
    <t>WindowContainer - useFixButton &amp; nameLayerRearrange</t>
    <phoneticPr fontId="2" type="noConversion"/>
  </si>
  <si>
    <t>네임 레이어 상의 윈도우 순서 변경</t>
    <phoneticPr fontId="2" type="noConversion"/>
  </si>
  <si>
    <t>/WindowContainer/setWindowTabOrder_WindowContainer.xml</t>
    <phoneticPr fontId="2" type="noConversion"/>
  </si>
  <si>
    <t>지정한 윈도우에 포커스 주기</t>
    <phoneticPr fontId="2" type="noConversion"/>
  </si>
  <si>
    <t>현재 선택된 윈도우의 인덱스 확인</t>
    <phoneticPr fontId="2" type="noConversion"/>
  </si>
  <si>
    <t>특정 윈도우 제외 나머지 윈도우 닫기</t>
    <phoneticPr fontId="2" type="noConversion"/>
  </si>
  <si>
    <t>윈도우 정렬 버튼 위치 설정</t>
    <phoneticPr fontId="2" type="noConversion"/>
  </si>
  <si>
    <t>WindowContainer - ondragstart &amp; ondragend</t>
    <phoneticPr fontId="2" type="noConversion"/>
  </si>
  <si>
    <t>이벤트 - ondragstart &amp; ondragend</t>
    <phoneticPr fontId="2" type="noConversion"/>
  </si>
  <si>
    <t>최소화된 윈도우 포함 정렬</t>
    <phoneticPr fontId="2" type="noConversion"/>
  </si>
  <si>
    <t>WindowContainer - includeMinimizeWindow</t>
    <phoneticPr fontId="2" type="noConversion"/>
  </si>
  <si>
    <t>네임 레이어의 스크롤 버튼을 통한 윈도우 선택</t>
    <phoneticPr fontId="2" type="noConversion"/>
  </si>
  <si>
    <t>행 수를 기반으로 높이 설정</t>
    <phoneticPr fontId="2" type="noConversion"/>
  </si>
  <si>
    <t>행 숨김 및 숨김 해제</t>
    <phoneticPr fontId="2" type="noConversion"/>
  </si>
  <si>
    <t>GridView - useNoResultMessageURL &amp; noResultMessageURL</t>
    <phoneticPr fontId="2" type="noConversion"/>
  </si>
  <si>
    <t>데이터가 없을 경우 특정 화면 파일 표시</t>
    <phoneticPr fontId="2" type="noConversion"/>
  </si>
  <si>
    <t>마우스 드래깅을 통한 셀 텍스트 선택 방지</t>
    <phoneticPr fontId="2" type="noConversion"/>
  </si>
  <si>
    <t>연속적인 셀 선택</t>
    <phoneticPr fontId="2" type="noConversion"/>
  </si>
  <si>
    <t>컬럼의 일부 선택 항목 숨기기</t>
    <phoneticPr fontId="2" type="noConversion"/>
  </si>
  <si>
    <t>컬럼 폭 자동 맞춤 설정 및 취소</t>
    <phoneticPr fontId="2" type="noConversion"/>
  </si>
  <si>
    <t>다른 컬럼 값을 조합하여 라벨 값으로 사용</t>
    <phoneticPr fontId="2" type="noConversion"/>
  </si>
  <si>
    <t>데이터 로딩, 추가, 제거, 삭제, 초기화, 반환</t>
    <phoneticPr fontId="2" type="noConversion"/>
  </si>
  <si>
    <t>컨텍스트 메뉴를 통한 컬럼 폭 조정</t>
    <phoneticPr fontId="2" type="noConversion"/>
  </si>
  <si>
    <t>Alt 키 + 마우스 좌클릭을 통한 컨텍스트 메뉴 표시</t>
    <phoneticPr fontId="2" type="noConversion"/>
  </si>
  <si>
    <t>Enter 키를 통한 포커스 이동 방향 설정</t>
    <phoneticPr fontId="2" type="noConversion"/>
  </si>
  <si>
    <t>GridView - visibleRowNum</t>
    <phoneticPr fontId="2" type="noConversion"/>
  </si>
  <si>
    <t>표시할 행 수 지정 (속성 이용)</t>
    <phoneticPr fontId="2" type="noConversion"/>
  </si>
  <si>
    <t>표시할 행 수 지정 (함수 이용)</t>
    <phoneticPr fontId="2" type="noConversion"/>
  </si>
  <si>
    <t>삭제 상태의 행을 GridView에 표시하지 않음</t>
    <phoneticPr fontId="2" type="noConversion"/>
  </si>
  <si>
    <t>삭제 상태의 행 숨김</t>
    <phoneticPr fontId="2" type="noConversion"/>
  </si>
  <si>
    <t>GridView - hideDeletedRow</t>
    <phoneticPr fontId="2" type="noConversion"/>
  </si>
  <si>
    <t>체크 박스로 선택한 행의 인덱스 및 데이터 반환</t>
    <phoneticPr fontId="2" type="noConversion"/>
  </si>
  <si>
    <t>포커스 이동 방향 설정</t>
    <phoneticPr fontId="2" type="noConversion"/>
  </si>
  <si>
    <t>GridView - focusFlow</t>
    <phoneticPr fontId="2" type="noConversion"/>
  </si>
  <si>
    <t>/GridView/_General/fixedColumn_columnMove_fixedColumnNoMove_GridView.xml</t>
    <phoneticPr fontId="2" type="noConversion"/>
  </si>
  <si>
    <t>GridView - fixedColumn &amp; columnMove &amp; fixedColumnNoMove</t>
    <phoneticPr fontId="2" type="noConversion"/>
  </si>
  <si>
    <t>셀 편집 모드로 진입하기 위한 마우스 동작 지정</t>
    <phoneticPr fontId="2" type="noConversion"/>
  </si>
  <si>
    <t>GridView - editModeEvent &amp; editModeEventIcon</t>
    <phoneticPr fontId="2" type="noConversion"/>
  </si>
  <si>
    <t>컨텍스트 메뉴 표시</t>
    <phoneticPr fontId="2" type="noConversion"/>
  </si>
  <si>
    <t>Ctrl 및 Shift 키를 통한 다중 선택 허용</t>
    <phoneticPr fontId="2" type="noConversion"/>
  </si>
  <si>
    <t>GridView - ctrlShiftKey</t>
    <phoneticPr fontId="2" type="noConversion"/>
  </si>
  <si>
    <t>데이터 복사 방법 설정</t>
    <phoneticPr fontId="2" type="noConversion"/>
  </si>
  <si>
    <t>복사할 값 선택</t>
    <phoneticPr fontId="2" type="noConversion"/>
  </si>
  <si>
    <t>헤더 드래깅을 통한 컬럼 이동</t>
    <phoneticPr fontId="2" type="noConversion"/>
  </si>
  <si>
    <t>컬럼 폭 자동 맞춤</t>
    <phoneticPr fontId="2" type="noConversion"/>
  </si>
  <si>
    <t>컬럼 폭 자동 맞춤을 위한 최소 너비 설정</t>
    <phoneticPr fontId="2" type="noConversion"/>
  </si>
  <si>
    <t>필터 상자 폭 자동 맞춤</t>
    <phoneticPr fontId="2" type="noConversion"/>
  </si>
  <si>
    <t>GridView - cellStatusVisible &amp; cellStatusIconPosition</t>
    <phoneticPr fontId="2" type="noConversion"/>
  </si>
  <si>
    <t>셀 데이터의 변경 여부를 표시.</t>
    <phoneticPr fontId="2" type="noConversion"/>
  </si>
  <si>
    <t>셀 데이터의 변경 상태 표시</t>
    <phoneticPr fontId="2" type="noConversion"/>
  </si>
  <si>
    <t>GridView - checkAllType</t>
    <phoneticPr fontId="2" type="noConversion"/>
  </si>
  <si>
    <t>헤더의 체크 박스 선택 시 disabled 및 readOnly 셀 처리 방식 설정</t>
    <phoneticPr fontId="2" type="noConversion"/>
  </si>
  <si>
    <t>여러 셀들을 한번에 선택하거나 선택 해제</t>
    <phoneticPr fontId="2" type="noConversion"/>
  </si>
  <si>
    <t>지정한 셀 선택</t>
    <phoneticPr fontId="2" type="noConversion"/>
  </si>
  <si>
    <t>각 컬럼의 dataType 설정</t>
    <phoneticPr fontId="2" type="noConversion"/>
  </si>
  <si>
    <t>GridView - checkEditOnPaste</t>
    <phoneticPr fontId="2" type="noConversion"/>
  </si>
  <si>
    <t>여러 개의 셀 데이터 붙여넣기</t>
    <phoneticPr fontId="2" type="noConversion"/>
  </si>
  <si>
    <t>컬럼의 일부 선택 항목 비활성화하기</t>
    <phoneticPr fontId="2" type="noConversion"/>
  </si>
  <si>
    <t>읽기 전용 동적 설정 (함수 사용)</t>
    <phoneticPr fontId="2" type="noConversion"/>
  </si>
  <si>
    <t>푸터와 함께 컬럼 이동</t>
    <phoneticPr fontId="2" type="noConversion"/>
  </si>
  <si>
    <t>GridView - columnMove &amp; columnMoveWithFooter</t>
    <phoneticPr fontId="2" type="noConversion"/>
  </si>
  <si>
    <t xml:space="preserve">컬럼 데이터를 다른 컴포넌트와 맵핑 </t>
    <phoneticPr fontId="2" type="noConversion"/>
  </si>
  <si>
    <t>셀 편집 모드로 진입하기 위한 키 지정</t>
    <phoneticPr fontId="2" type="noConversion"/>
  </si>
  <si>
    <t>GridView - keyMoveEditMode &amp; moveKeyEditMode &amp; moveKeyEditModeAll</t>
    <phoneticPr fontId="2" type="noConversion"/>
  </si>
  <si>
    <t>셀 선택 차단 (속성 이용)</t>
    <phoneticPr fontId="2" type="noConversion"/>
  </si>
  <si>
    <t>셀 선택 차단 (함수 이용)</t>
    <phoneticPr fontId="2" type="noConversion"/>
  </si>
  <si>
    <t>셀 비활성화</t>
    <phoneticPr fontId="2" type="noConversion"/>
  </si>
  <si>
    <t>행 번호 표시 (함수 이용)</t>
    <phoneticPr fontId="2" type="noConversion"/>
  </si>
  <si>
    <t>행 번호 및 행 상태 표시 (속성 이용)</t>
    <phoneticPr fontId="2" type="noConversion"/>
  </si>
  <si>
    <t>GridView - rowNumVisible &amp; rowStatusVisible</t>
    <phoneticPr fontId="2" type="noConversion"/>
  </si>
  <si>
    <t>행 번호 헤더 설정</t>
    <phoneticPr fontId="2" type="noConversion"/>
  </si>
  <si>
    <t>GridView - rowNumVisible&amp; rowNumHeaderValue &amp; rowNumWidth &amp; rowNumBackgroundColor</t>
    <phoneticPr fontId="2" type="noConversion"/>
  </si>
  <si>
    <t>행 상태 헤더 설정</t>
    <phoneticPr fontId="2" type="noConversion"/>
  </si>
  <si>
    <t>GridView - rowStatusVisible &amp; rowStatusHeaderValue &amp; rowStatusWidth</t>
    <phoneticPr fontId="2" type="noConversion"/>
  </si>
  <si>
    <t>헤더 우클릭을 통한 컨텍스트 메뉴 표시</t>
    <phoneticPr fontId="2" type="noConversion"/>
  </si>
  <si>
    <t>GridView - useHeaderContextMenu &amp; contextMenu</t>
    <phoneticPr fontId="2" type="noConversion"/>
  </si>
  <si>
    <t>행 상태 표시 (함수 이용)</t>
    <phoneticPr fontId="2" type="noConversion"/>
  </si>
  <si>
    <t>GridView - syncRowPositionOption</t>
    <phoneticPr fontId="2" type="noConversion"/>
  </si>
  <si>
    <t>툴팁 표시하기</t>
    <phoneticPr fontId="2" type="noConversion"/>
  </si>
  <si>
    <t>GridView - tooltipDisplay &amp; tooltipShowAlways</t>
    <phoneticPr fontId="2" type="noConversion"/>
  </si>
  <si>
    <t>GridView - tooltipHideInputType</t>
    <phoneticPr fontId="2" type="noConversion"/>
  </si>
  <si>
    <t>드래깅된 셀 선택을 유지한 채로 컨텍스트 메뉴 열기</t>
    <phoneticPr fontId="2" type="noConversion"/>
  </si>
  <si>
    <t>행을 드래깅하여 이동</t>
    <phoneticPr fontId="2" type="noConversion"/>
  </si>
  <si>
    <t>GridView - dataDragSelect &amp; useShiftKey to copy</t>
    <phoneticPr fontId="2" type="noConversion"/>
  </si>
  <si>
    <t>드릴다운 컬럼을 포함한 행 전체를 드래깅하여 이동</t>
    <phoneticPr fontId="2" type="noConversion"/>
  </si>
  <si>
    <t>GridView - dataDragDropOther</t>
    <phoneticPr fontId="2" type="noConversion"/>
  </si>
  <si>
    <t>동일한 GridView 내에서의 행 이동 금지</t>
    <phoneticPr fontId="2" type="noConversion"/>
  </si>
  <si>
    <t>다른 GridView로의 행 이동 금지</t>
    <phoneticPr fontId="2" type="noConversion"/>
  </si>
  <si>
    <t>GridView - dataDragDropSelf</t>
    <phoneticPr fontId="2" type="noConversion"/>
  </si>
  <si>
    <t>행 상태를 유지한 채로 행을 드래깅하여 이동</t>
    <phoneticPr fontId="2" type="noConversion"/>
  </si>
  <si>
    <t>GridView - dataDragSelect &amp; dataDragSelectAutoScroll (2)</t>
    <phoneticPr fontId="2" type="noConversion"/>
  </si>
  <si>
    <t>드래깅 시 자동 스크롤</t>
    <phoneticPr fontId="2" type="noConversion"/>
  </si>
  <si>
    <t>선택한 셀의 데이터를 복사</t>
    <phoneticPr fontId="2" type="noConversion"/>
  </si>
  <si>
    <t>GridView - oncontextopen</t>
    <phoneticPr fontId="2" type="noConversion"/>
  </si>
  <si>
    <t>이벤트 - oncontextopen</t>
    <phoneticPr fontId="2" type="noConversion"/>
  </si>
  <si>
    <t>GridView - onscrollstart &amp; alwaysTriggerScrollStart</t>
    <phoneticPr fontId="2" type="noConversion"/>
  </si>
  <si>
    <t>이벤트 - onscrollstart</t>
    <phoneticPr fontId="2" type="noConversion"/>
  </si>
  <si>
    <t>이벤트 - ondateselect &amp; onmonthselect &amp; onyearselect</t>
    <phoneticPr fontId="2" type="noConversion"/>
  </si>
  <si>
    <t>GridView - oncellclick (2)</t>
    <phoneticPr fontId="2" type="noConversion"/>
  </si>
  <si>
    <t>이벤트 - oncellclick</t>
    <phoneticPr fontId="2" type="noConversion"/>
  </si>
  <si>
    <t>GridView - oncelldblclick</t>
    <phoneticPr fontId="2" type="noConversion"/>
  </si>
  <si>
    <t>이벤트 - oncelldblclick</t>
    <phoneticPr fontId="2" type="noConversion"/>
  </si>
  <si>
    <t>GridView - onheadermouseover &amp; onheadermouseout</t>
    <phoneticPr fontId="2" type="noConversion"/>
  </si>
  <si>
    <t>이벤트 - onheadermouseover &amp; onheadermouseout</t>
    <phoneticPr fontId="2" type="noConversion"/>
  </si>
  <si>
    <t>이벤트 - onsort</t>
    <phoneticPr fontId="2" type="noConversion"/>
  </si>
  <si>
    <t xml:space="preserve">사용자가 GridView의 셀을 클릭할 때 발생. </t>
    <phoneticPr fontId="2" type="noConversion"/>
  </si>
  <si>
    <t>GridView 헤더에 마우스를 대거나 (마우스 오버) 마우스를 뺄 때 (마우스 아웃) 발생.</t>
    <phoneticPr fontId="2" type="noConversion"/>
  </si>
  <si>
    <t>gridView.column - excelFormatter</t>
    <phoneticPr fontId="2" type="noConversion"/>
  </si>
  <si>
    <t>Excel 파일의 지정한 영역을 굵게(bold) 표시</t>
    <phoneticPr fontId="2" type="noConversion"/>
  </si>
  <si>
    <t>GridView 스타일을 Excel 파일에서 유지</t>
    <phoneticPr fontId="2" type="noConversion"/>
  </si>
  <si>
    <t>다운로드할 데이터 설정 (GridView 전체)</t>
    <phoneticPr fontId="2" type="noConversion"/>
  </si>
  <si>
    <t>다운로드할 데이터 설정 (GridView 컬럼 별)</t>
    <phoneticPr fontId="2" type="noConversion"/>
  </si>
  <si>
    <t>좌우 공백 제거 후 Excel 파일로 다운로드</t>
    <phoneticPr fontId="2" type="noConversion"/>
  </si>
  <si>
    <t>좌우 공백 제거 후 GridView로 업로드</t>
    <phoneticPr fontId="2" type="noConversion"/>
  </si>
  <si>
    <t>이벤트 - onviewchange</t>
    <phoneticPr fontId="2" type="noConversion"/>
  </si>
  <si>
    <t>gridView.column = inputType="checkbox" &amp; checkHeaderOnviewchange</t>
    <phoneticPr fontId="2" type="noConversion"/>
  </si>
  <si>
    <t>gridView.column - inputType="drilldown" &amp; onbeforetoggleclick</t>
    <phoneticPr fontId="2" type="noConversion"/>
  </si>
  <si>
    <t>GridView - advancedExcelDownload &amp; options.customToDataType</t>
    <phoneticPr fontId="2" type="noConversion"/>
  </si>
  <si>
    <t>GridView를 Excel 파일로 다운로드</t>
    <phoneticPr fontId="2" type="noConversion"/>
  </si>
  <si>
    <t>소수점 반올림 후 GridView로 업로드</t>
    <phoneticPr fontId="2" type="noConversion"/>
  </si>
  <si>
    <t>특정 Excel 시트만 업로드</t>
    <phoneticPr fontId="2" type="noConversion"/>
  </si>
  <si>
    <t>업로드할 데이터 설정 (GridView 전체)</t>
    <phoneticPr fontId="2" type="noConversion"/>
  </si>
  <si>
    <t>업로드할 데이터 설정 (GridView 컬럼 별)</t>
    <phoneticPr fontId="2" type="noConversion"/>
  </si>
  <si>
    <t>병합 상태를 유지하여 Excel로 다운로드</t>
    <phoneticPr fontId="2" type="noConversion"/>
  </si>
  <si>
    <t>Excel 파일의 헤더 높이 설정</t>
    <phoneticPr fontId="2" type="noConversion"/>
  </si>
  <si>
    <t>Excel 파일의 헤더를 굵게(bold) 표시</t>
    <phoneticPr fontId="2" type="noConversion"/>
  </si>
  <si>
    <t>Excel 파일의 헤더 높이 설정.</t>
    <phoneticPr fontId="2" type="noConversion"/>
  </si>
  <si>
    <t xml:space="preserve">gridView.column - inputType="textImage" &amp; imageAlign </t>
    <phoneticPr fontId="2" type="noConversion"/>
  </si>
  <si>
    <t>조건부 합계 표시</t>
    <phoneticPr fontId="2" type="noConversion"/>
  </si>
  <si>
    <t>gridView.column - customFormatter</t>
    <phoneticPr fontId="2" type="noConversion"/>
  </si>
  <si>
    <t>커스텀 함수를 이용한 GridView 포맷</t>
    <phoneticPr fontId="2" type="noConversion"/>
  </si>
  <si>
    <t>데이터가 없을 경우 필터 아이콘 숨기기</t>
    <phoneticPr fontId="2" type="noConversion"/>
  </si>
  <si>
    <t>데이터가 없을 경우 정렬 아이콘 숨기기</t>
    <phoneticPr fontId="2" type="noConversion"/>
  </si>
  <si>
    <t>GridView - hideSortIconOnNoData</t>
    <phoneticPr fontId="2" type="noConversion"/>
  </si>
  <si>
    <t>정렬 아이콘과 필터링 아이콘 모두 표시</t>
    <phoneticPr fontId="2" type="noConversion"/>
  </si>
  <si>
    <t>GridView - showSortableUseFilter</t>
    <phoneticPr fontId="2" type="noConversion"/>
  </si>
  <si>
    <t>필터 상자에 검색 기능 제공</t>
    <phoneticPr fontId="2" type="noConversion"/>
  </si>
  <si>
    <t>GridView - useFilterSearch</t>
    <phoneticPr fontId="2" type="noConversion"/>
  </si>
  <si>
    <t>/GridView/Filtering/useFilterSearch_GridView.xml</t>
    <phoneticPr fontId="2" type="noConversion"/>
  </si>
  <si>
    <t>필터 목록 표시</t>
    <phoneticPr fontId="2" type="noConversion"/>
  </si>
  <si>
    <t>부동 소수점 오류 자동 보정 (SUM 연산)</t>
    <phoneticPr fontId="2" type="noConversion"/>
  </si>
  <si>
    <t>부동 소수점 오류 자동 보정 (AVG 연산)</t>
    <phoneticPr fontId="2" type="noConversion"/>
  </si>
  <si>
    <t>푸터 추가 및 연산자 사용</t>
    <phoneticPr fontId="2" type="noConversion"/>
  </si>
  <si>
    <t>각 열에 정렬 기능 추가</t>
    <phoneticPr fontId="2" type="noConversion"/>
  </si>
  <si>
    <t>GridView - sortable &amp; sortEvent &amp; showSortableImage &amp; sortedIconPosition &amp; sortOrderReverse</t>
    <phoneticPr fontId="2" type="noConversion"/>
  </si>
  <si>
    <t>푸터 추가</t>
    <phoneticPr fontId="2" type="noConversion"/>
  </si>
  <si>
    <t>gridView.column - inputType="expression" &amp; footer</t>
    <phoneticPr fontId="2" type="noConversion"/>
  </si>
  <si>
    <t>푸터 값 확인</t>
    <phoneticPr fontId="2" type="noConversion"/>
  </si>
  <si>
    <t>각 컬럼의 데이터 표시 형식 설정 (속성 이용)</t>
    <phoneticPr fontId="2" type="noConversion"/>
  </si>
  <si>
    <t>각 컬럼의 데이터 표시 형식 설정 (함수 이용)</t>
    <phoneticPr fontId="2" type="noConversion"/>
  </si>
  <si>
    <t>gridView.column - displayFormatter</t>
    <phoneticPr fontId="2" type="noConversion"/>
  </si>
  <si>
    <t>함수를 통한 동적 그룹핑</t>
    <phoneticPr fontId="2" type="noConversion"/>
  </si>
  <si>
    <t>동적으로 실행된 그룹핑을 해제</t>
    <phoneticPr fontId="2" type="noConversion"/>
  </si>
  <si>
    <t>GridView - clearGroupby() &amp; groupby()</t>
    <phoneticPr fontId="2" type="noConversion"/>
  </si>
  <si>
    <t>GridView - clearGroupby() &amp; groupbyZone</t>
    <phoneticPr fontId="2" type="noConversion"/>
  </si>
  <si>
    <t>/GridView/Grouping/clearGroupby_groupby_GridView.xml</t>
    <phoneticPr fontId="2" type="noConversion"/>
  </si>
  <si>
    <t>/GridView/Grouping/clearGroupby_groupbyZone_GridView.xml</t>
    <phoneticPr fontId="2" type="noConversion"/>
  </si>
  <si>
    <t>clearGroupby_groupby_GridView</t>
    <phoneticPr fontId="2" type="noConversion"/>
  </si>
  <si>
    <t>clearGroupby_groupbyZone_GridView</t>
    <phoneticPr fontId="2" type="noConversion"/>
  </si>
  <si>
    <t>groupby() 함수를 통해 동적으로 실행된 그룹핑을 해제</t>
    <phoneticPr fontId="2" type="noConversion"/>
  </si>
  <si>
    <t>헤더 드래깅을 통해 실행된 그룹핑을 해제</t>
    <phoneticPr fontId="2" type="noConversion"/>
  </si>
  <si>
    <t>groupbyZone 속성을 통해 헤더 드래깅으로 실행된 그룹핑을 해제</t>
    <phoneticPr fontId="2" type="noConversion"/>
  </si>
  <si>
    <t>clearGroupby() 
groupbyZone</t>
    <phoneticPr fontId="2" type="noConversion"/>
  </si>
  <si>
    <t xml:space="preserve">clearGroupby() 
groupby() </t>
    <phoneticPr fontId="2" type="noConversion"/>
  </si>
  <si>
    <t>GridView - customFilterBox</t>
    <phoneticPr fontId="2" type="noConversion"/>
  </si>
  <si>
    <t>필터링을 유지한 채로 그룹핑</t>
    <phoneticPr fontId="2" type="noConversion"/>
  </si>
  <si>
    <t>그룹핑 조건 확인</t>
    <phoneticPr fontId="2" type="noConversion"/>
  </si>
  <si>
    <t>GridView - groupby() &amp; options.showOnlyLastDepth</t>
    <phoneticPr fontId="2" type="noConversion"/>
  </si>
  <si>
    <t>그룹핑 후 라벨 값으로 마지막 단계의 항목만 표시</t>
    <phoneticPr fontId="2" type="noConversion"/>
  </si>
  <si>
    <t>GridView - groupbyFilterBox &amp; groupbyFilterBoxLocation</t>
    <phoneticPr fontId="2" type="noConversion"/>
  </si>
  <si>
    <t>사용자의 헤더 드래깅을 통한 그룹핑 허용</t>
    <phoneticPr fontId="2" type="noConversion"/>
  </si>
  <si>
    <t>그룹핑 및 필터링 조건 표시</t>
    <phoneticPr fontId="2" type="noConversion"/>
  </si>
  <si>
    <t>그룹핑 컬럼 수 제한</t>
    <phoneticPr fontId="2" type="noConversion"/>
  </si>
  <si>
    <t>그룹핑 영역 높이 및 메시지 지정</t>
    <phoneticPr fontId="2" type="noConversion"/>
  </si>
  <si>
    <t>정렬 기준 컬럼 지정</t>
    <phoneticPr fontId="2" type="noConversion"/>
  </si>
  <si>
    <t>GridView - useCtrlOnMultisort</t>
    <phoneticPr fontId="2" type="noConversion"/>
  </si>
  <si>
    <t>다중 정렬</t>
    <phoneticPr fontId="2" type="noConversion"/>
  </si>
  <si>
    <t>gridView.column - sortLabel</t>
    <phoneticPr fontId="2" type="noConversion"/>
  </si>
  <si>
    <t>label 값을 기준으로 정렬</t>
    <phoneticPr fontId="2" type="noConversion"/>
  </si>
  <si>
    <t>동적으로 정렬 기능 설정 및 해제</t>
    <phoneticPr fontId="2" type="noConversion"/>
  </si>
  <si>
    <t>정렬 기능 추가  및 정렬 아이콘 표시</t>
    <phoneticPr fontId="2" type="noConversion"/>
  </si>
  <si>
    <t>GridView - sortable &amp; showSortableImage</t>
    <phoneticPr fontId="2" type="noConversion"/>
  </si>
  <si>
    <t>구분자 동적 설정</t>
    <phoneticPr fontId="2" type="noConversion"/>
  </si>
  <si>
    <t>컬럼 inputType 동적 변경</t>
    <phoneticPr fontId="2" type="noConversion"/>
  </si>
  <si>
    <t>Shift 키로 여러 체크 박스 선택</t>
    <phoneticPr fontId="2" type="noConversion"/>
  </si>
  <si>
    <t>inputType="checkbox" 및 inputType="select" 설정 예시.</t>
    <phoneticPr fontId="2" type="noConversion"/>
  </si>
  <si>
    <t>전체 체크 박스 선택 순서 결정</t>
    <phoneticPr fontId="2" type="noConversion"/>
  </si>
  <si>
    <t>gridView.column - inputType="calendar" &amp; pickerType &amp; fixPickerStatus</t>
    <phoneticPr fontId="2" type="noConversion"/>
  </si>
  <si>
    <t>달력에서의 연도 및 월 선택 방법 설정</t>
    <phoneticPr fontId="2" type="noConversion"/>
  </si>
  <si>
    <t xml:space="preserve">GridView - inputType="checkbox" &amp; useShiftKey&amp; useShiftKeyCheck
</t>
    <phoneticPr fontId="2" type="noConversion"/>
  </si>
  <si>
    <t>컬럼 아이콘 표시</t>
    <phoneticPr fontId="2" type="noConversion"/>
  </si>
  <si>
    <t>데이터 표시 형식 동적 설정</t>
    <phoneticPr fontId="2" type="noConversion"/>
  </si>
  <si>
    <t>최소값 및 최대값 설정</t>
    <phoneticPr fontId="2" type="noConversion"/>
  </si>
  <si>
    <t>날짜 입력 순서 및 표시 형식 지정</t>
    <phoneticPr fontId="2" type="noConversion"/>
  </si>
  <si>
    <t>체크한 행 삭제 및 제거</t>
    <phoneticPr fontId="2" type="noConversion"/>
  </si>
  <si>
    <t>셀의 inputType 동적 변경</t>
    <phoneticPr fontId="2" type="noConversion"/>
  </si>
  <si>
    <t>Enter 키로 드릴다운 컬럼의 목록 열고 닫기</t>
    <phoneticPr fontId="2" type="noConversion"/>
  </si>
  <si>
    <t>GridView - drilldownToggle</t>
    <phoneticPr fontId="2" type="noConversion"/>
  </si>
  <si>
    <t>선택 항목 목록 즉시 펼치기</t>
    <phoneticPr fontId="2" type="noConversion"/>
  </si>
  <si>
    <t>모바일 Press 이벤트 지원</t>
    <phoneticPr fontId="2" type="noConversion"/>
  </si>
  <si>
    <t>GridView - hammerEnabled &amp; hammerPressTime</t>
    <phoneticPr fontId="2" type="noConversion"/>
  </si>
  <si>
    <t xml:space="preserve">열 기준으로 동일한 값을 갖는 셀들을 병합. </t>
    <phoneticPr fontId="2" type="noConversion"/>
  </si>
  <si>
    <t>GridView - drilldownToggle &amp; hammerEnabled</t>
    <phoneticPr fontId="2" type="noConversion"/>
  </si>
  <si>
    <t>병합에서 제외할 값 지정</t>
    <phoneticPr fontId="2" type="noConversion"/>
  </si>
  <si>
    <t>GridView - mergeExcludeValue</t>
    <phoneticPr fontId="2" type="noConversion"/>
  </si>
  <si>
    <t>GridView - mergeCells &amp; mergeByCol()</t>
    <phoneticPr fontId="2" type="noConversion"/>
  </si>
  <si>
    <t>GridView - mergeCells &amp; mergeByRow()</t>
    <phoneticPr fontId="2" type="noConversion"/>
  </si>
  <si>
    <t>GridView - mergeCells &amp; mergeByRestricCol()</t>
    <phoneticPr fontId="2" type="noConversion"/>
  </si>
  <si>
    <t>특정 셀에 스타일 직접 적용</t>
    <phoneticPr fontId="2" type="noConversion"/>
  </si>
  <si>
    <t>특정 셀에 CSS 클래스 적용</t>
    <phoneticPr fontId="2" type="noConversion"/>
  </si>
  <si>
    <t>셀 배경색 지정</t>
    <phoneticPr fontId="2" type="noConversion"/>
  </si>
  <si>
    <t>subTotal 컬럼 별 스타일 적용</t>
    <phoneticPr fontId="2" type="noConversion"/>
  </si>
  <si>
    <t>특정 컬럼의 스타일 설정</t>
    <phoneticPr fontId="2" type="noConversion"/>
  </si>
  <si>
    <t>subTotal 값 기준 스타일 적용</t>
    <phoneticPr fontId="2" type="noConversion"/>
  </si>
  <si>
    <t>subTotal 추가</t>
    <phoneticPr fontId="2" type="noConversion"/>
  </si>
  <si>
    <t>subTotal 표시 및 숨김 처리</t>
    <phoneticPr fontId="2" type="noConversion"/>
  </si>
  <si>
    <t>GridView - setRowColor() &amp; getRowColor()</t>
    <phoneticPr fontId="2" type="noConversion"/>
  </si>
  <si>
    <t>특정 행의 글자색 지정</t>
    <phoneticPr fontId="2" type="noConversion"/>
  </si>
  <si>
    <t>/GridView/Style/setRowClass_removeRowClass_GridView.xml</t>
    <phoneticPr fontId="2" type="noConversion"/>
  </si>
  <si>
    <t>GridView - setRowClass() &amp; removeRowClass()</t>
    <phoneticPr fontId="2" type="noConversion"/>
  </si>
  <si>
    <t>setRowClass_removeRowClass_GridView</t>
    <phoneticPr fontId="2" type="noConversion"/>
  </si>
  <si>
    <t>특정 행에 CSS 클래스 적용 및 취소</t>
    <phoneticPr fontId="2" type="noConversion"/>
  </si>
  <si>
    <t>특정 행의 배경색 설정</t>
    <phoneticPr fontId="2" type="noConversion"/>
  </si>
  <si>
    <t>특정 컬럼의 배경색 설정 및 확인</t>
    <phoneticPr fontId="2" type="noConversion"/>
  </si>
  <si>
    <t>특정 컬럼의 글자색 설정 및 확인</t>
    <phoneticPr fontId="2" type="noConversion"/>
  </si>
  <si>
    <t>특정 셀의 글자색 설정 및 확인</t>
    <phoneticPr fontId="2" type="noConversion"/>
  </si>
  <si>
    <t>마우스-오버된 행에 적용할 배경색 설정</t>
    <phoneticPr fontId="2" type="noConversion"/>
  </si>
  <si>
    <t>GridView - rowNumRowMouseOverColor</t>
    <phoneticPr fontId="2" type="noConversion"/>
  </si>
  <si>
    <t>현재 GridView 상태 확인 및 지정한 상태로 GridView 그리기</t>
    <phoneticPr fontId="2" type="noConversion"/>
  </si>
  <si>
    <t>GridView - focusMode &amp; selectedCellColor &amp; selectedRowColor</t>
    <phoneticPr fontId="2" type="noConversion"/>
  </si>
  <si>
    <t>포커싱 방법 설정</t>
    <phoneticPr fontId="2" type="noConversion"/>
  </si>
  <si>
    <t>마우스-오버 시 행 번호 컬럼도 지정한 배경색으로 표시</t>
    <phoneticPr fontId="2" type="noConversion"/>
  </si>
  <si>
    <t>TabControl - addTab() &amp; contOpt.scopeInherit</t>
    <phoneticPr fontId="2" type="noConversion"/>
  </si>
  <si>
    <t>addTab() 
contOpt.scopeInherit</t>
    <phoneticPr fontId="2" type="noConversion"/>
  </si>
  <si>
    <t>탭에서 생성한 부모-자식 팝업 함께 닫기</t>
    <phoneticPr fontId="2" type="noConversion"/>
  </si>
  <si>
    <t>윈도우에서 생성한 부모-자식 팝업 함께 닫기</t>
    <phoneticPr fontId="2" type="noConversion"/>
  </si>
  <si>
    <t>탭 생성 시 파라미터 전달</t>
    <phoneticPr fontId="2" type="noConversion"/>
  </si>
  <si>
    <t>TabControl - tabScroll &amp; changeActiveTab</t>
    <phoneticPr fontId="2" type="noConversion"/>
  </si>
  <si>
    <t>스크롤 버튼으로 탭 선택</t>
    <phoneticPr fontId="2" type="noConversion"/>
  </si>
  <si>
    <t>탭 선택 상태를 툴팁으로 표시</t>
    <phoneticPr fontId="2" type="noConversion"/>
  </si>
  <si>
    <t>TabControl - useTabTitleSelected</t>
    <phoneticPr fontId="2" type="noConversion"/>
  </si>
  <si>
    <t>TabControl - onscrollleftbtnclick &amp; onscrollrightbtnclick &amp; onsubmenubtnclick</t>
    <phoneticPr fontId="2" type="noConversion"/>
  </si>
  <si>
    <t>이벤트 - onscrollleftbtnclick &amp; onscrollrightbtnclick &amp; onsubmenubtnclick</t>
    <phoneticPr fontId="2" type="noConversion"/>
  </si>
  <si>
    <t>TabControl - closable &amp; alwaysShowCloseBtn</t>
    <phoneticPr fontId="2" type="noConversion"/>
  </si>
  <si>
    <t>탭을 닫을 때 스크롤에 보이는 탭의 수를 유지</t>
    <phoneticPr fontId="2" type="noConversion"/>
  </si>
  <si>
    <t>탭 스크롤 위치 설정</t>
    <phoneticPr fontId="2" type="noConversion"/>
  </si>
  <si>
    <t>탭 위치 설정</t>
    <phoneticPr fontId="2" type="noConversion"/>
  </si>
  <si>
    <t>TabControl - processMsgFrame &amp; config.xml - processMsgFrameURL</t>
    <phoneticPr fontId="2" type="noConversion"/>
  </si>
  <si>
    <t>TabControl - processMsgFrame</t>
    <phoneticPr fontId="2" type="noConversion"/>
  </si>
  <si>
    <t>서브미션 상태창을 탭 태부에만 표시 (기본 상태창)</t>
    <phoneticPr fontId="2" type="noConversion"/>
  </si>
  <si>
    <t>서브미션 상태창을 탭 태부에만 표시 (커스텀 상태창)</t>
    <phoneticPr fontId="2" type="noConversion"/>
  </si>
  <si>
    <t>TabControl - keepDisabledTab</t>
    <phoneticPr fontId="2" type="noConversion"/>
  </si>
  <si>
    <t>자식 탭의 비활성화 상태 유지</t>
    <phoneticPr fontId="2" type="noConversion"/>
  </si>
  <si>
    <t>DataList와 바인딩</t>
    <phoneticPr fontId="2" type="noConversion"/>
  </si>
  <si>
    <t>이벤트 - onrowclick</t>
    <phoneticPr fontId="2" type="noConversion"/>
  </si>
  <si>
    <t>MultiSelect - textAlign</t>
    <phoneticPr fontId="2" type="noConversion"/>
  </si>
  <si>
    <t>최대 업로드 파일 개수 제한</t>
    <phoneticPr fontId="2" type="noConversion"/>
  </si>
  <si>
    <t>업로드 대상 파일 수 반환</t>
    <phoneticPr fontId="2" type="noConversion"/>
  </si>
  <si>
    <t>업로드 대상 파일 정보 확인 후 각 파일의 파라미터로 설정</t>
    <phoneticPr fontId="2" type="noConversion"/>
  </si>
  <si>
    <t>양력 및 음력으로 날짜 변환</t>
    <phoneticPr fontId="2" type="noConversion"/>
  </si>
  <si>
    <t>날짜 유효성 검증</t>
    <phoneticPr fontId="2" type="noConversion"/>
  </si>
  <si>
    <t>디버깅 메뉴 제어</t>
    <phoneticPr fontId="2" type="noConversion"/>
  </si>
  <si>
    <t>https://docs.inswave.com/websquare/websquare.html?w2xPath=/support/api/samples</t>
  </si>
  <si>
    <t>소스 화면 설정 시 파라미터 전달</t>
    <phoneticPr fontId="2" type="noConversion"/>
  </si>
  <si>
    <t>https://docs.inswave.com/websquare/websquare.html?w2xPath=/support/api/samples</t>
    <phoneticPr fontId="2" type="noConversion"/>
  </si>
  <si>
    <t>WFrame에서 생성한 부모-자식 팝업 함께 닫기</t>
    <phoneticPr fontId="2" type="noConversion"/>
  </si>
  <si>
    <t>WFrame - onbeforewframeunload</t>
    <phoneticPr fontId="2" type="noConversion"/>
  </si>
  <si>
    <t>페이지가 닫히기 전, 해당 페이지의 WFrame에서 발생.</t>
    <phoneticPr fontId="2" type="noConversion"/>
  </si>
  <si>
    <t>이벤트 - onbeforewframeunload</t>
    <phoneticPr fontId="2" type="noConversion"/>
  </si>
  <si>
    <t>프레임이 중첩된 경우 onpageload 실행 순서</t>
    <phoneticPr fontId="2" type="noConversion"/>
  </si>
  <si>
    <t>여러 GridView를 하나의 Excel 시트로 다운로드</t>
  </si>
  <si>
    <t>여러 GridView를 하나의 Excel 시트로 다운로드</t>
    <phoneticPr fontId="2" type="noConversion"/>
  </si>
  <si>
    <t>/IFrame/spa_spaReplaceHistory_IFrame/spa_spaReplaceHistory_true_IFrame.xml</t>
    <phoneticPr fontId="2" type="noConversion"/>
  </si>
  <si>
    <t>/IFrame/spa_spaReplaceHistory_IFrame/spa_spaReplaceHistory_false_IFrame.xml</t>
    <phoneticPr fontId="2" type="noConversion"/>
  </si>
  <si>
    <t>IFrame - spa &amp; spaReplaceHistory="true"</t>
    <phoneticPr fontId="2" type="noConversion"/>
  </si>
  <si>
    <t>IFrame - spa &amp; spaReplaceHistory="false"</t>
    <phoneticPr fontId="2" type="noConversion"/>
  </si>
  <si>
    <t>spa_spaReplaceHistory_true_IFrame</t>
    <phoneticPr fontId="2" type="noConversion"/>
  </si>
  <si>
    <t>spa_spaReplaceHistory_false_IFrame</t>
    <phoneticPr fontId="2" type="noConversion"/>
  </si>
  <si>
    <t>IFrame 내부의 앞으로 가기 및 뒤로 가기 동작 허용.</t>
    <phoneticPr fontId="2" type="noConversion"/>
  </si>
  <si>
    <t>IFrame 내부의 History 기능 금지</t>
    <phoneticPr fontId="2" type="noConversion"/>
  </si>
  <si>
    <t>IFrame 내부의 History 기능 허용</t>
    <phoneticPr fontId="2" type="noConversion"/>
  </si>
  <si>
    <t>WFrame - resizeEvent &amp; onresize</t>
    <phoneticPr fontId="2" type="noConversion"/>
  </si>
  <si>
    <t>서브미션 상태창을 WFrame 내부에만 표시 (기본 상태창)</t>
    <phoneticPr fontId="2" type="noConversion"/>
  </si>
  <si>
    <t>서브미션 상태창을 WFrame 내부에만 표시 (커스텀 상태창)</t>
    <phoneticPr fontId="2" type="noConversion"/>
  </si>
  <si>
    <t>다운로드 상태 메시지 표시</t>
    <phoneticPr fontId="2" type="noConversion"/>
  </si>
  <si>
    <t>scope 속성 ①</t>
    <phoneticPr fontId="2" type="noConversion"/>
  </si>
  <si>
    <t>scope 속성 ②</t>
    <phoneticPr fontId="2" type="noConversion"/>
  </si>
  <si>
    <t>샘플 확인 링크 (WRE)</t>
    <phoneticPr fontId="2" type="noConversion"/>
  </si>
  <si>
    <t>샘플 확인 링크 (DOCS)</t>
    <phoneticPr fontId="2" type="noConversion"/>
  </si>
  <si>
    <t>All</t>
    <phoneticPr fontId="2" type="noConversion"/>
  </si>
  <si>
    <t>YouTube Only</t>
  </si>
  <si>
    <t>Sample Only</t>
  </si>
  <si>
    <t>/p/_General/watermark_p.pdf</t>
  </si>
  <si>
    <t>/p/PopUp/openPopup_fullscreen_p_WebSquare_util.pdf</t>
  </si>
  <si>
    <t>/p/_General/dynamicCreate_p_UDC/</t>
  </si>
  <si>
    <t>p - watermark()</t>
  </si>
  <si>
    <t>watermark_p</t>
  </si>
  <si>
    <t>p - openPopup() &amp; options.fullscreen</t>
  </si>
  <si>
    <t>openPopup_fullscreen_p_WebSquare_util</t>
  </si>
  <si>
    <t>p - executeSubmission() &amp; events</t>
  </si>
  <si>
    <t>executeSubmission_p</t>
  </si>
  <si>
    <t>p - isPopup()</t>
  </si>
  <si>
    <t>isPopUp_p</t>
  </si>
  <si>
    <t>p - isWFramePopup()</t>
  </si>
  <si>
    <t>isWFramePopUp_p</t>
  </si>
  <si>
    <t>p - openPopup &amp; options.modal</t>
  </si>
  <si>
    <t>openPopup_modal_p</t>
  </si>
  <si>
    <t>p - openPopup &amp; options.frameModal</t>
  </si>
  <si>
    <t>openPopup_frameModal_p</t>
  </si>
  <si>
    <t>frameMode_tabControl_content_openPopup_frameModal_p</t>
  </si>
  <si>
    <t>/WindowContainer/frameMode_windowContainer_window_openPopup_frameModal_p/frameMode_windowContainer_window_openPopup_frameModal_p.xml</t>
  </si>
  <si>
    <t>frameMode_windowContainer_window_openPopup_frameModal_p</t>
  </si>
  <si>
    <t>p - getEventTarget()</t>
  </si>
  <si>
    <t>getEventTarget_p_WebSquare_util</t>
  </si>
  <si>
    <t>p - openPopup() &amp; options.closeAction</t>
  </si>
  <si>
    <t>openPopup_closeAction_p</t>
  </si>
  <si>
    <t>p - executeSubmission() &amp; DataList &amp; GridView</t>
  </si>
  <si>
    <t>executeSubmission_p_DataList_GridView</t>
  </si>
  <si>
    <t>p - getSubmission() &amp; subObj.setRequestHeader()</t>
  </si>
  <si>
    <t>setRequestHeader_getSubmission_p</t>
  </si>
  <si>
    <t>p - dynamicCreate() &amp; UDC (SP5)</t>
  </si>
  <si>
    <t>dynamicCreate_p_UDC</t>
  </si>
  <si>
    <t>p - dynamicCreate()</t>
  </si>
  <si>
    <t>dynamicCreate_p</t>
  </si>
  <si>
    <t>p - getPopupWindow()</t>
  </si>
  <si>
    <t>getPopupWindow_p</t>
  </si>
  <si>
    <t>p - getPopupWindowList()</t>
  </si>
  <si>
    <t>getPopupWindowList_p</t>
  </si>
  <si>
    <t>p - getAllPopupList()</t>
  </si>
  <si>
    <t>getAllPopupList_p</t>
  </si>
  <si>
    <t>p - getAllPopupWindowList()</t>
  </si>
  <si>
    <t>getAllPopupWindowList_p</t>
  </si>
  <si>
    <t>p - openPopup() &amp; options.fixPosition</t>
  </si>
  <si>
    <t>openPopup_fixPosition_p</t>
  </si>
  <si>
    <t>p - data.create() &amp; dataList.setData() &amp; WebSquare.util.multipleDataListDownload()</t>
  </si>
  <si>
    <t>data_create_p_setData_DataList_mutipleDataListDownload_WebSquare_util</t>
  </si>
  <si>
    <t>p - openPopup()</t>
  </si>
  <si>
    <t>openPopup_p</t>
  </si>
  <si>
    <t>WFrame - setSrc() &amp; p.getParamater()</t>
  </si>
  <si>
    <t>getParameter_p_setSrc_WFrame</t>
  </si>
  <si>
    <t>p - getSubmissionList()</t>
  </si>
  <si>
    <t>getSubmissionList_p</t>
  </si>
  <si>
    <t>p - reinitialize()</t>
  </si>
  <si>
    <t>reinitialize_p</t>
  </si>
  <si>
    <t>p - executeSubmission() DataList &amp; Radio &amp; SelectBox</t>
  </si>
  <si>
    <t>executeSubmission_p_DataList_Radio_SelectBox</t>
  </si>
  <si>
    <t>p - executeSubmission() &amp; DataMap</t>
  </si>
  <si>
    <t>executeSubmission_p_DataMap</t>
  </si>
  <si>
    <t>p - executeSubmission() &amp; DataList</t>
  </si>
  <si>
    <t>executeSubmission_p_DataList</t>
  </si>
  <si>
    <t>p - openPopup() &amp; getParameter()</t>
  </si>
  <si>
    <t>getParameter_p_openPopup_p</t>
  </si>
  <si>
    <t>TabControl - addTab() &amp; p.getParamater()</t>
  </si>
  <si>
    <t>getParameter_p_addTab_TabControl</t>
  </si>
  <si>
    <t>/WindowContainer/getParameter_p_createWindow_WindowContainer/getParameter_p_createWindow_WindowContainer.xml</t>
  </si>
  <si>
    <t>WindowContainer - createWindow() &amp; p.getParamater()</t>
  </si>
  <si>
    <t>getParameter_p_createWindow_WindowContainer</t>
  </si>
  <si>
    <t>p - openPopup() &amp; pageFramePopup</t>
  </si>
  <si>
    <t>pageFramePopup_openPopup_p</t>
  </si>
  <si>
    <t>p.data - getAllDataCollection()</t>
  </si>
  <si>
    <t>getAllDataCollection_data_p</t>
  </si>
  <si>
    <t>p - openPopup() &amp; options.adaptiveFrame</t>
  </si>
  <si>
    <t>openPopup_adaptiveFrame_p</t>
  </si>
  <si>
    <t>p - openPopup( options ) &amp; options.scopeInherit</t>
  </si>
  <si>
    <t>openPopup_scopeInherit_p</t>
  </si>
  <si>
    <t>p - openPopup( options ) &amp; options.popupAutoCloseSkip</t>
  </si>
  <si>
    <t>openPopup_popupAutoCloseSkip_p</t>
  </si>
  <si>
    <t>화면 재로딩 및 브라우저 새로 고침</t>
    <phoneticPr fontId="2" type="noConversion"/>
  </si>
  <si>
    <t>이벤트가 발생한 컴포넌트 정보 반환</t>
    <phoneticPr fontId="2" type="noConversion"/>
  </si>
  <si>
    <t>모달 팝업 생성</t>
    <phoneticPr fontId="2" type="noConversion"/>
  </si>
  <si>
    <t>WFrame 팝업 여부 확인</t>
    <phoneticPr fontId="2" type="noConversion"/>
  </si>
  <si>
    <t>전체 팝업 객체 반환</t>
    <phoneticPr fontId="2" type="noConversion"/>
  </si>
  <si>
    <t>전체 DataCollection ID 혹은 객체를 반환</t>
    <phoneticPr fontId="2" type="noConversion"/>
  </si>
  <si>
    <t>Submission 헤더 설정</t>
    <phoneticPr fontId="2" type="noConversion"/>
  </si>
  <si>
    <t>전체 Submission 객체 반환</t>
    <phoneticPr fontId="2" type="noConversion"/>
  </si>
  <si>
    <t>DataList에 데이터를 로딩하여 BindItemList로 바인딩된 컴포넌트에 데이터를 표시</t>
    <phoneticPr fontId="2" type="noConversion"/>
  </si>
  <si>
    <t>DataMap에 데이터를 로딩하여 ref로 바인딩된 컴포넌트에 데이터를 표시</t>
    <phoneticPr fontId="2" type="noConversion"/>
  </si>
  <si>
    <t>Submission 생성 및 실행 (1)</t>
    <phoneticPr fontId="2" type="noConversion"/>
  </si>
  <si>
    <t>Submission 생성 및 실행 (2)</t>
    <phoneticPr fontId="2" type="noConversion"/>
  </si>
  <si>
    <t>팝업 위치 고정</t>
    <phoneticPr fontId="2" type="noConversion"/>
  </si>
  <si>
    <t>이벤트 - submit &amp; submitdone &amp; submiterror</t>
    <phoneticPr fontId="2" type="noConversion"/>
  </si>
  <si>
    <t>팝업 닫기 함수 지정</t>
    <phoneticPr fontId="2" type="noConversion"/>
  </si>
  <si>
    <t>팝업 여부 확인</t>
    <phoneticPr fontId="2" type="noConversion"/>
  </si>
  <si>
    <t>전체 팝업 윈도우 반환 및 접근 (브라우저 팝업 포함)</t>
    <phoneticPr fontId="2" type="noConversion"/>
  </si>
  <si>
    <t>/_config_xml/exceptEmptyValue_config_xml/exceptEmptyValue_config_xml.xml</t>
    <phoneticPr fontId="2" type="noConversion"/>
  </si>
  <si>
    <t>/_config_xml/popup_lazyPopup_config_xml/popup_lazyPopup_config_xml.xml</t>
    <phoneticPr fontId="2" type="noConversion"/>
  </si>
  <si>
    <t>/_config_xml/warningSync_config_xml/warningSync_config_xml.xml</t>
    <phoneticPr fontId="2" type="noConversion"/>
  </si>
  <si>
    <t>/_DataCollection/DataList/ondataload_DataList/ondataload_DataList.xml</t>
    <phoneticPr fontId="2" type="noConversion"/>
  </si>
  <si>
    <t>/_DataCollection/DataList/onbeforecelldatachange_DataList/onbeforecelldatachange_DataList.xml</t>
    <phoneticPr fontId="2" type="noConversion"/>
  </si>
  <si>
    <t>/_DataCollection/DataList/getRowCount_DataList/getRowCount_DataList.xml</t>
    <phoneticPr fontId="2" type="noConversion"/>
  </si>
  <si>
    <t>/_DataCollection/DataList/getCellData_DataList/getCellData_DataList.xml</t>
    <phoneticPr fontId="2" type="noConversion"/>
  </si>
  <si>
    <t>/_DataCollection/DataList/setJSON_DataList/setJSON_DataList.xml</t>
    <phoneticPr fontId="2" type="noConversion"/>
  </si>
  <si>
    <t>/_Debugging/Menus_Debugging/Menus_Debugging.xml</t>
    <phoneticPr fontId="2" type="noConversion"/>
  </si>
  <si>
    <t>/_Debugging/View_Submission_Debugging/View_Submission_Debugging.xml</t>
    <phoneticPr fontId="2" type="noConversion"/>
  </si>
  <si>
    <t>/_Multi-Language/useLocale_localeRef_Multi_language/useLocale_localeRef_Multi_language.xml</t>
    <phoneticPr fontId="2" type="noConversion"/>
  </si>
  <si>
    <t>/_Multi-Language/useLocale_useItemLocale_Multi_language/useLocale_useItemLocale_Multi_language.xml</t>
    <phoneticPr fontId="2" type="noConversion"/>
  </si>
  <si>
    <t>/_Multi-Language/useLocale_useItemLocale_chooseOption_chooseOptionLabelLocaleRef_Multi_language/useLocale_useItemLocale_chooseOption_chooseOptionLabelLocaleRef_Multi_language.xml</t>
    <phoneticPr fontId="2" type="noConversion"/>
  </si>
  <si>
    <t>/_Multi-Language/useLocale_tooltipLocaleRef_Multi_language/useLocale_tooltipLocaleRef_Multi_language.xml</t>
    <phoneticPr fontId="2" type="noConversion"/>
  </si>
  <si>
    <t>/_Multi-language/useLocale_useDefaultLabel_Multi_language/useLocale_useDefaultLabel_Multi_language.xml</t>
    <phoneticPr fontId="2" type="noConversion"/>
  </si>
  <si>
    <t>/_Page/onbeforepageunload_body_Page/onbeforepageunload_body_Page.xml</t>
    <phoneticPr fontId="2" type="noConversion"/>
  </si>
  <si>
    <t>/_Page/initScript_Page/</t>
    <phoneticPr fontId="2" type="noConversion"/>
  </si>
  <si>
    <t>/_Page/postScript_Page/</t>
    <phoneticPr fontId="2" type="noConversion"/>
  </si>
  <si>
    <t>/_Page/script_execution_sequence_Page/script_execution_sequence_Page.xml</t>
    <phoneticPr fontId="2" type="noConversion"/>
  </si>
  <si>
    <t>가이드 샘플</t>
    <phoneticPr fontId="2" type="noConversion"/>
  </si>
  <si>
    <t>/__sample/user_info.xml</t>
    <phoneticPr fontId="2" type="noConversion"/>
  </si>
  <si>
    <t>sample</t>
    <phoneticPr fontId="2" type="noConversion"/>
  </si>
  <si>
    <t>화면 개발 예제</t>
    <phoneticPr fontId="2" type="noConversion"/>
  </si>
  <si>
    <t>전체 팝업 윈도우 반환 및 접근 (브라우저 팝업 제외)</t>
    <phoneticPr fontId="2" type="noConversion"/>
  </si>
  <si>
    <t xml:space="preserve">현재 열려 있는 browserPopup 타입을 제오한 팝업 윈도우 목록을 반환하고 각 팝업에 접근. </t>
    <phoneticPr fontId="2" type="noConversion"/>
  </si>
  <si>
    <t>개별 팝업 윈도우 반환 및 접근</t>
    <phoneticPr fontId="2" type="noConversion"/>
  </si>
  <si>
    <t>컴포넌트 동적 생성</t>
    <phoneticPr fontId="2" type="noConversion"/>
  </si>
  <si>
    <t>DataList 동적 생성 및 Excel 파일로 다운로드</t>
    <phoneticPr fontId="2" type="noConversion"/>
  </si>
  <si>
    <t>팝업 생성 시 파라미터 전달</t>
    <phoneticPr fontId="2" type="noConversion"/>
  </si>
  <si>
    <t>null 값과 공백 구분</t>
    <phoneticPr fontId="2" type="noConversion"/>
  </si>
  <si>
    <t>페이지가 닫히기 전에 해당 페이지의 body 부분에서 발생.</t>
    <phoneticPr fontId="2" type="noConversion"/>
  </si>
  <si>
    <t>이벤트 - onpageload &amp; onbeforepageunload</t>
    <phoneticPr fontId="2" type="noConversion"/>
  </si>
  <si>
    <t>이벤트 - onbeforecelldatachange</t>
    <phoneticPr fontId="2" type="noConversion"/>
  </si>
  <si>
    <t>행 상태(rowStatus)를 제외한 DataList 데이터를 JSON 형식으로 반환</t>
    <phoneticPr fontId="2" type="noConversion"/>
  </si>
  <si>
    <t>프레임이 중첩된 경우 페이지 로딩 순서</t>
    <phoneticPr fontId="2" type="noConversion"/>
  </si>
  <si>
    <t>필터링된 데이터만 JSON 형식으로 반환</t>
    <phoneticPr fontId="2" type="noConversion"/>
  </si>
  <si>
    <t>필터링 후의 컬럼 데이터만 반환</t>
    <phoneticPr fontId="2" type="noConversion"/>
  </si>
  <si>
    <t>디버깅 메뉴를 사용한 DataList 확인</t>
    <phoneticPr fontId="2" type="noConversion"/>
  </si>
  <si>
    <t>DataList 행 추가 및 삭제</t>
    <phoneticPr fontId="2" type="noConversion"/>
  </si>
  <si>
    <t>셀 데이터 반환</t>
    <phoneticPr fontId="2" type="noConversion"/>
  </si>
  <si>
    <t>사용자 정의 필터 저장 후 다시 로딩</t>
    <phoneticPr fontId="2" type="noConversion"/>
  </si>
  <si>
    <t>현재 표시된 행 수 반환</t>
    <phoneticPr fontId="2" type="noConversion"/>
  </si>
  <si>
    <t>이벤트 - ondataload</t>
    <phoneticPr fontId="2" type="noConversion"/>
  </si>
  <si>
    <t>DataList에 JSON 데이터 설정</t>
    <phoneticPr fontId="2" type="noConversion"/>
  </si>
  <si>
    <t>함수를 통한 특정 컬럼의 데이터 변경</t>
    <phoneticPr fontId="2" type="noConversion"/>
  </si>
  <si>
    <t>동적으로 필터링 적용</t>
    <phoneticPr fontId="2" type="noConversion"/>
  </si>
  <si>
    <t>DataList 데이터 설정</t>
    <phoneticPr fontId="2" type="noConversion"/>
  </si>
  <si>
    <t>DataList의 userData 속성 값 설정 및 확인</t>
    <phoneticPr fontId="2" type="noConversion"/>
  </si>
  <si>
    <t>이벤트 - onkeyset</t>
    <phoneticPr fontId="2" type="noConversion"/>
  </si>
  <si>
    <t>/_DataCollection/LinkedDataList/setColumnFilter_LinkedDataList/setColumnFilter_LinkedDataList.xml</t>
    <phoneticPr fontId="2" type="noConversion"/>
  </si>
  <si>
    <t>LinkedDataList 생성</t>
    <phoneticPr fontId="2" type="noConversion"/>
  </si>
  <si>
    <t>/Calendar/displayDayType_Calendar.xml</t>
    <phoneticPr fontId="2" type="noConversion"/>
  </si>
  <si>
    <t>/_DataCollection/DataList/setUserData_getUserData_DataList.xml</t>
    <phoneticPr fontId="2" type="noConversion"/>
  </si>
  <si>
    <t>/_DataCollection/dataList_dataMap_linkedDataList.xml</t>
    <phoneticPr fontId="2" type="noConversion"/>
  </si>
  <si>
    <t>/GridView/_General/copyOption_GridView.xml</t>
    <phoneticPr fontId="2" type="noConversion"/>
  </si>
  <si>
    <t>/GridView/Merge/mergeExcludeValue_GridView.xml</t>
    <phoneticPr fontId="2" type="noConversion"/>
  </si>
  <si>
    <t>이벤트 - onbeforemodelchange</t>
    <phoneticPr fontId="2" type="noConversion"/>
  </si>
  <si>
    <t>/_p/Submission/executeSubmission_p/executeSubmission_p.xml</t>
  </si>
  <si>
    <t>/_p/_General/dynamicCreate_p.xml</t>
  </si>
  <si>
    <t>/_p/PopUp/isWFramePopUp_p/isWFramePopUp_p.xml</t>
  </si>
  <si>
    <t>/_p/PopUp/openPopup_modal_p/openPopup_modal_p.xml</t>
  </si>
  <si>
    <t>/_p/PopUp/openPopup_frameModal_p/openPopup_frameModal_p.xml</t>
  </si>
  <si>
    <t>/_p/_General/getEventTarget_p_WebSquare_util.xml</t>
  </si>
  <si>
    <t>/_p/Submission/setRequestHeader_getSubmission_p/setRequestHeader_getSubmission_p.xml</t>
  </si>
  <si>
    <t>/_p/PopUp/getPopupWindow_p/getPopupWindow_p.xml</t>
  </si>
  <si>
    <t>/_p/PopUp/getAllPopupList_p/getAllPopupList_p.xml</t>
  </si>
  <si>
    <t>/_p/PopUp/openPopup_fixPosition_p.xml</t>
  </si>
  <si>
    <t>/_p/PopUp/openPopup_p/openPopup_p.xml</t>
  </si>
  <si>
    <t>/_p/Submission/executeSubmission_p_DataList_Radio_SelectBox/executeSubmission_p_DataList_Radio_SelectBox.xml</t>
  </si>
  <si>
    <t>/_p/Submission/executeSubmission_p_DataMap/executeSubmission_p_DataMap.xml</t>
  </si>
  <si>
    <t>/_p/PopUp/getParameter_p_openPopup_p/getParameter_p_openPopup_p.xml</t>
  </si>
  <si>
    <t>/_p/PopUp/pageFramePopup_openPopup_p/pageFramePopup_openPopup_p.xml</t>
  </si>
  <si>
    <t>/_p/data/getAllDataCollection_data_p/getAllDataCollection_data_p.xml</t>
  </si>
  <si>
    <t>/_p/PopUp/openPopup_adaptiveFrame_p/openPopup_adaptiveFrame_p.xml</t>
  </si>
  <si>
    <t>/_p/PopUp/openPopup_popupAutoCloseSkip_p/openPopup_popupAutoCloseSkip_p.xml</t>
  </si>
  <si>
    <t>/_DataCollection/DataList/getAllJSON_DataList/getAllJSON_DataList.xml</t>
    <phoneticPr fontId="2" type="noConversion"/>
  </si>
  <si>
    <t>/GridView/_General/rowNumVisible_rowNumHeaderValue_rowNumWidth_rowNumBackgroundColor_GridView.xml</t>
    <phoneticPr fontId="2" type="noConversion"/>
  </si>
  <si>
    <t>부모 팝업만 닫기</t>
    <phoneticPr fontId="2" type="noConversion"/>
  </si>
  <si>
    <t>부모의 Scope 상속</t>
    <phoneticPr fontId="2" type="noConversion"/>
  </si>
  <si>
    <t>팝업 크기 기반 적응형 디자인 적용</t>
    <phoneticPr fontId="2" type="noConversion"/>
  </si>
  <si>
    <t>DataList에서 number 타입 데이터를 string 타입으로 설정</t>
    <phoneticPr fontId="2" type="noConversion"/>
  </si>
  <si>
    <t>DataList에서 string 타입 데이터를 number 타입으로 설정</t>
    <phoneticPr fontId="2" type="noConversion"/>
  </si>
  <si>
    <t>공백 데이터 처리 방법 설정</t>
    <phoneticPr fontId="2" type="noConversion"/>
  </si>
  <si>
    <t>AliasDataMap 생성</t>
    <phoneticPr fontId="2" type="noConversion"/>
  </si>
  <si>
    <t>DataMap과 바인딩된 컴포넌트의 ID 반환</t>
    <phoneticPr fontId="2" type="noConversion"/>
  </si>
  <si>
    <t>DataMap에서 number 타입 데이터를 string 타입으로 설정</t>
    <phoneticPr fontId="2" type="noConversion"/>
  </si>
  <si>
    <t>DataMap에서 string 타입 데이터를 number 타입으로 설정</t>
    <phoneticPr fontId="2" type="noConversion"/>
  </si>
  <si>
    <t>DataList의 rowPosition에 해당하는 행을 포커싱</t>
    <phoneticPr fontId="2" type="noConversion"/>
  </si>
  <si>
    <t>툴팁을 표시하지 않을 컬럼 지정</t>
    <phoneticPr fontId="2" type="noConversion"/>
  </si>
  <si>
    <t>틀 고정 컬럼 이동 허용 및 방지</t>
    <phoneticPr fontId="2" type="noConversion"/>
  </si>
  <si>
    <t>텍스트와 이미지 표시 순서 지정</t>
    <phoneticPr fontId="2" type="noConversion"/>
  </si>
  <si>
    <t>이벤트 - onbeforetoggleclick</t>
    <phoneticPr fontId="2" type="noConversion"/>
  </si>
  <si>
    <t>전체 체크 박스 선택 및 해제</t>
    <phoneticPr fontId="2" type="noConversion"/>
  </si>
  <si>
    <t>병합 해제</t>
    <phoneticPr fontId="2" type="noConversion"/>
  </si>
  <si>
    <t>왼쪽 컬럼 기준 병합</t>
    <phoneticPr fontId="2" type="noConversion"/>
  </si>
  <si>
    <t>윗행 기준 병합</t>
    <phoneticPr fontId="2" type="noConversion"/>
  </si>
  <si>
    <t>컬럼 기준 병합</t>
    <phoneticPr fontId="2" type="noConversion"/>
  </si>
  <si>
    <t>컬럼 기준 병합 후, 행 기준 병합</t>
    <phoneticPr fontId="2" type="noConversion"/>
  </si>
  <si>
    <t>행 기준 병합</t>
    <phoneticPr fontId="2" type="noConversion"/>
  </si>
  <si>
    <t>행 기준 병합 후, 컬럼 기준 병합</t>
    <phoneticPr fontId="2" type="noConversion"/>
  </si>
  <si>
    <t>마우스-오버된 행에 적용할 스타일 설정</t>
    <phoneticPr fontId="2" type="noConversion"/>
  </si>
  <si>
    <t>텍스트 정렬 설정</t>
    <phoneticPr fontId="2" type="noConversion"/>
  </si>
  <si>
    <t>Page Component의 메소드 사용</t>
    <phoneticPr fontId="2" type="noConversion"/>
  </si>
  <si>
    <t>반응형 디자인 지원</t>
    <phoneticPr fontId="2" type="noConversion"/>
  </si>
  <si>
    <t>PageFrame 탭 생성</t>
    <phoneticPr fontId="2" type="noConversion"/>
  </si>
  <si>
    <t>적응형 디자인 적용</t>
    <phoneticPr fontId="2" type="noConversion"/>
  </si>
  <si>
    <t>탭 닫기 버튼 표시</t>
    <phoneticPr fontId="2" type="noConversion"/>
  </si>
  <si>
    <t>이벤트 - onresize</t>
    <phoneticPr fontId="2" type="noConversion"/>
  </si>
  <si>
    <t>PageFrame 윈도우 생성</t>
    <phoneticPr fontId="2" type="noConversion"/>
  </si>
  <si>
    <t>화면의 Submission 객체 확인</t>
    <phoneticPr fontId="2" type="noConversion"/>
  </si>
  <si>
    <t>컴포넌트 그룹 동적 생성</t>
    <phoneticPr fontId="2" type="noConversion"/>
  </si>
  <si>
    <t>화면의 DataCollection 객체 확인</t>
    <phoneticPr fontId="2" type="noConversion"/>
  </si>
  <si>
    <t>LinkedDataList 권장 사용법</t>
    <phoneticPr fontId="2" type="noConversion"/>
  </si>
  <si>
    <t>/_p/Submission/executeSubmission_p_DataList/executeSubmission_p_DataList.xml</t>
    <phoneticPr fontId="2" type="noConversion"/>
  </si>
  <si>
    <t>/_p/Submission/executeSubmission_p_DataList_GridView/executeSubmission_p_DataList_GridView.xml</t>
    <phoneticPr fontId="2" type="noConversion"/>
  </si>
  <si>
    <t>/_p/Submission/getSubmissionList_p/getSubmissionList_p.xml</t>
    <phoneticPr fontId="2" type="noConversion"/>
  </si>
  <si>
    <t>/_p/data/data_create_p_setData_DataList_mutipleDataListDownload_WebSquare_util.xml</t>
    <phoneticPr fontId="2" type="noConversion"/>
  </si>
  <si>
    <t>LinkedDataList 필터 설정</t>
    <phoneticPr fontId="2" type="noConversion"/>
  </si>
  <si>
    <t>LinkedDataList 조건 설정</t>
    <phoneticPr fontId="2" type="noConversion"/>
  </si>
  <si>
    <t>https://youtu.be/ZQtSdorGgBk</t>
    <phoneticPr fontId="2" type="noConversion"/>
  </si>
  <si>
    <t>https://youtu.be/zLzBjz4tYac</t>
    <phoneticPr fontId="2" type="noConversion"/>
  </si>
  <si>
    <t>https://youtu.be/0h_YVjGznJg</t>
    <phoneticPr fontId="2" type="noConversion"/>
  </si>
  <si>
    <t>https://youtu.be/X2kMVMJEarw</t>
    <phoneticPr fontId="2" type="noConversion"/>
  </si>
  <si>
    <t>https://youtu.be/7gFGWg2RdVY</t>
    <phoneticPr fontId="2" type="noConversion"/>
  </si>
  <si>
    <t>https://youtu.be/o9Rc0rjzixc</t>
    <phoneticPr fontId="2" type="noConversion"/>
  </si>
  <si>
    <t>https://youtu.be/cmcqLapaPwk</t>
    <phoneticPr fontId="2" type="noConversion"/>
  </si>
  <si>
    <t>https://youtu.be/N6bmaCLL__I</t>
    <phoneticPr fontId="2" type="noConversion"/>
  </si>
  <si>
    <t>https://youtu.be/h36vNjn5Xbs</t>
    <phoneticPr fontId="2" type="noConversion"/>
  </si>
  <si>
    <t>https://youtu.be/TBJCxgTBo7c</t>
    <phoneticPr fontId="2" type="noConversion"/>
  </si>
  <si>
    <t>/_p/_General/reinitialize_p/reinitialize_p.xml</t>
    <phoneticPr fontId="2" type="noConversion"/>
  </si>
  <si>
    <t>/TabControl/getParameter_p_addTab_TabControl/getParameter_p_addTab_TabControl.xml</t>
    <phoneticPr fontId="2" type="noConversion"/>
  </si>
  <si>
    <t>/TabControl/frameMode_tabControl_content_openPopup_frameModal_p/frameMode_tabControl_content_openPopup_frameModal_p.xml</t>
    <phoneticPr fontId="2" type="noConversion"/>
  </si>
  <si>
    <t>/WFrame/getParameter_p_setSrc_WFrame/getParameter_p_setSrc_WFrame.xml</t>
    <phoneticPr fontId="2" type="noConversion"/>
  </si>
  <si>
    <t>https://youtu.be/5NzApu6W4kA</t>
    <phoneticPr fontId="2" type="noConversion"/>
  </si>
  <si>
    <t>https://youtu.be/57_mj1K0qy0</t>
    <phoneticPr fontId="2" type="noConversion"/>
  </si>
  <si>
    <t>고정된 윈도우를 네임 레이어의 최앞단으로 이동</t>
    <phoneticPr fontId="2" type="noConversion"/>
  </si>
  <si>
    <t>탭 내부에서 프레임 기반 모달 팝업 생성</t>
    <phoneticPr fontId="2" type="noConversion"/>
  </si>
  <si>
    <t>윈도우 내부에서 프레임 기반 모달 팝업 생성</t>
    <phoneticPr fontId="2" type="noConversion"/>
  </si>
  <si>
    <t>팝업 생성 (PageFrame, WFrame, IFrame, 브라우저 팝업)</t>
    <phoneticPr fontId="2" type="noConversion"/>
  </si>
  <si>
    <t>PageFrame 팝업 활용</t>
    <phoneticPr fontId="2" type="noConversion"/>
  </si>
  <si>
    <t>/_p/PopUp/isPopUp_p/isPopUp_p.xml</t>
    <phoneticPr fontId="2" type="noConversion"/>
  </si>
  <si>
    <t>/_p/PopUp/openPopup_scopeInherit_p/openPopup_scopeInherit_p.xml</t>
    <phoneticPr fontId="2" type="noConversion"/>
  </si>
  <si>
    <t>/_p/PopUp/getPopupWindowList_p/getPopupWindowList_p.xml</t>
    <phoneticPr fontId="2" type="noConversion"/>
  </si>
  <si>
    <t>/_p/PopUp/getAllPopupWindowList_p/getAllPopupWindowList_p.xml</t>
    <phoneticPr fontId="2" type="noConversion"/>
  </si>
  <si>
    <t>/_p/PopUp/openPopup_closeAction_p.xml</t>
    <phoneticPr fontId="2" type="noConversion"/>
  </si>
  <si>
    <t>이벤트 - onitemclick &amp; onselected</t>
    <phoneticPr fontId="2" type="noConversion"/>
  </si>
  <si>
    <t>드래깅 및 Shift 키를 통한 셀 선택 및 데이터 삭제</t>
    <phoneticPr fontId="2" type="noConversion"/>
  </si>
  <si>
    <t>/GridView/Dragging/ctrlShiftKey_GridView.xml</t>
    <phoneticPr fontId="2" type="noConversion"/>
  </si>
  <si>
    <t>셀 편집 모드로 진입하기 위한 방향키 지정</t>
    <phoneticPr fontId="2" type="noConversion"/>
  </si>
  <si>
    <t>Sample Only - 제외</t>
    <phoneticPr fontId="2" type="noConversion"/>
  </si>
  <si>
    <t>Excel 파일에서의 데이터 표시 형식 설정</t>
    <phoneticPr fontId="2" type="noConversion"/>
  </si>
  <si>
    <t>Excel 파일에서의 데이터 형식 설정 (속성 이용)</t>
    <phoneticPr fontId="2" type="noConversion"/>
  </si>
  <si>
    <t>Excel 파일에서의 데이터 형식 설정 (함수 이용)</t>
    <phoneticPr fontId="2" type="noConversion"/>
  </si>
  <si>
    <t>Excel 수식을 사용하여 셀 추가</t>
    <phoneticPr fontId="2" type="noConversion"/>
  </si>
  <si>
    <t>여러 GridView 데이터를 하나의 Excel 파일로 다운로드</t>
    <phoneticPr fontId="2" type="noConversion"/>
  </si>
  <si>
    <t>여러 DataList를 Excel 파일로 다운로드</t>
    <phoneticPr fontId="2" type="noConversion"/>
  </si>
  <si>
    <t>Excel 업로드 창 커스터마이징</t>
    <phoneticPr fontId="2" type="noConversion"/>
  </si>
  <si>
    <t>CSV 업로드 창 커스터마이징</t>
    <phoneticPr fontId="2" type="noConversion"/>
  </si>
  <si>
    <t>달력 푸터에 버튼 추가</t>
    <phoneticPr fontId="2" type="noConversion"/>
  </si>
  <si>
    <r>
      <rPr>
        <sz val="10"/>
        <color theme="1"/>
        <rFont val="맑은 고딕"/>
        <family val="3"/>
        <charset val="129"/>
      </rPr>
      <t>헤더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툴바에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표시할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선택</t>
    </r>
    <phoneticPr fontId="2" type="noConversion"/>
  </si>
  <si>
    <r>
      <rPr>
        <sz val="10"/>
        <color theme="1"/>
        <rFont val="맑은 고딕"/>
        <family val="3"/>
        <charset val="129"/>
      </rPr>
      <t>달력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헤더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툴바의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표시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숨김</t>
    </r>
    <phoneticPr fontId="2" type="noConversion"/>
  </si>
  <si>
    <t>스케줄의 타이틀 변환</t>
    <phoneticPr fontId="2" type="noConversion"/>
  </si>
  <si>
    <t>마우스 드래깅을 통한 스케줄 날짜 변경</t>
    <phoneticPr fontId="2" type="noConversion"/>
  </si>
  <si>
    <t>스케줄 종료 기준 설정</t>
    <phoneticPr fontId="2" type="noConversion"/>
  </si>
  <si>
    <t>onaddschedule_onmoveschedule_ScheduleCalendar</t>
    <phoneticPr fontId="2" type="noConversion"/>
  </si>
  <si>
    <t>이벤트 - onaddschedule &amp; onmoveschedule</t>
    <phoneticPr fontId="2" type="noConversion"/>
  </si>
  <si>
    <t>스케줄 등록창 커스터마이징</t>
    <phoneticPr fontId="2" type="noConversion"/>
  </si>
  <si>
    <t>마우스 클릭 혹은 드래깅을 통한 스케줄 등록</t>
    <phoneticPr fontId="2" type="noConversion"/>
  </si>
  <si>
    <t>스케줄의 시간 표시 형식 지정</t>
    <phoneticPr fontId="2" type="noConversion"/>
  </si>
  <si>
    <t>DOCS 링크</t>
    <phoneticPr fontId="2" type="noConversion"/>
  </si>
  <si>
    <t>https://docs.inswave.com/websquare/websquare.html?w2xPath=/support/api/guide</t>
    <phoneticPr fontId="2" type="noConversion"/>
  </si>
  <si>
    <t>/_DataCollection/LinkedDataList/setCondition_LinkedDataList_Radio/setCondition_LinkedDataList_Radio.xml</t>
    <phoneticPr fontId="2" type="noConversion"/>
  </si>
  <si>
    <t>Sample Only</t>
    <phoneticPr fontId="2" type="noConversion"/>
  </si>
  <si>
    <t>All - YouTube만 사용</t>
    <phoneticPr fontId="2" type="noConversion"/>
  </si>
  <si>
    <t>UDC 동적 생성</t>
    <phoneticPr fontId="2" type="noConversion"/>
  </si>
  <si>
    <t>모든 패널을 열린 상태로 로딩</t>
    <phoneticPr fontId="2" type="noConversion"/>
  </si>
  <si>
    <t>HTML의 title 태그 지원</t>
    <phoneticPr fontId="2" type="noConversion"/>
  </si>
  <si>
    <t>inputType="spinner" 컬럼에 아이콘 표시</t>
    <phoneticPr fontId="2" type="noConversion"/>
  </si>
  <si>
    <t>모바일에서 셀 터치로 드릴다운 목록 열고 닫기</t>
    <phoneticPr fontId="2" type="noConversion"/>
  </si>
  <si>
    <t>컬럼에 datatType='date' 설정하기</t>
    <phoneticPr fontId="2" type="noConversion"/>
  </si>
  <si>
    <t>'데이터 없음' 메시지 표시</t>
    <phoneticPr fontId="2" type="noConversion"/>
  </si>
  <si>
    <t>inputType='drilldown' 컬럼</t>
    <phoneticPr fontId="2" type="noConversion"/>
  </si>
  <si>
    <t>inputType='select' 컬럼</t>
    <phoneticPr fontId="2" type="noConversion"/>
  </si>
  <si>
    <t>선택 항목에 없는 값 동적 설정 (inputType='select')</t>
  </si>
  <si>
    <t>inputType='custom' 셀의 Excel 연산 지원</t>
  </si>
  <si>
    <t>inputType='autoComplete' 컬럼</t>
  </si>
  <si>
    <t>inputType='checkbox' 및 inputType='select' 컬럼</t>
  </si>
  <si>
    <t>inputType='checkcombobox' 컬럼</t>
  </si>
  <si>
    <t>'오늘' 버튼 표시하기/숨기기</t>
    <phoneticPr fontId="2" type="noConversion"/>
  </si>
  <si>
    <t>선택 항목에 없는 값 동적 설정 (inputType='autoComplete')</t>
  </si>
  <si>
    <t>달력 요일을 텍스트 또는 이미지로 표시</t>
    <phoneticPr fontId="2" type="noConversion"/>
  </si>
  <si>
    <t>DataCollection/DataList</t>
    <phoneticPr fontId="2" type="noConversion"/>
  </si>
  <si>
    <t>/_DataCollection/DataList/clearFilter_setColumnFilter_DataList.xml</t>
    <phoneticPr fontId="2" type="noConversion"/>
  </si>
  <si>
    <t>필터링과 정렬 후 다시 필터링 적용</t>
    <phoneticPr fontId="2" type="noConversion"/>
  </si>
  <si>
    <t>DataList - setColumnFilter() &amp; options.clearFilter</t>
    <phoneticPr fontId="2" type="noConversion"/>
  </si>
  <si>
    <t>clearFilter_setColumnFilter_DataList</t>
    <phoneticPr fontId="2" type="noConversion"/>
  </si>
  <si>
    <t>필터링과 정렬을 수행한 후, 다시 필터링을 적용할 때 이전 필터링과 정렬 유지 여부를 설정.</t>
    <phoneticPr fontId="2" type="noConversion"/>
  </si>
  <si>
    <t>setColumnFilter()
options.clearFilter</t>
    <phoneticPr fontId="2" type="noConversion"/>
  </si>
  <si>
    <t>1/1/2026</t>
    <phoneticPr fontId="2" type="noConversion"/>
  </si>
  <si>
    <t>/_DataCollection/DataList/insertJSON_DataList.xml</t>
    <phoneticPr fontId="2" type="noConversion"/>
  </si>
  <si>
    <t>/_DataCollection/DataList/initialColumnId_dataList_column.xml</t>
    <phoneticPr fontId="2" type="noConversion"/>
  </si>
  <si>
    <t>DataList - insertJSON()</t>
    <phoneticPr fontId="2" type="noConversion"/>
  </si>
  <si>
    <t>dataList.column - initialColumnId</t>
    <phoneticPr fontId="2" type="noConversion"/>
  </si>
  <si>
    <t>/AutoComplete/searchTargetItemColumns_AutoComplete.xml</t>
    <phoneticPr fontId="2" type="noConversion"/>
  </si>
  <si>
    <t>AutoComplete - searchTargetItemColumns</t>
    <phoneticPr fontId="2" type="noConversion"/>
  </si>
  <si>
    <t>insertJSON_DataList</t>
    <phoneticPr fontId="2" type="noConversion"/>
  </si>
  <si>
    <t>initialColumnId_dataList_column</t>
    <phoneticPr fontId="2" type="noConversion"/>
  </si>
  <si>
    <t>searchTargetItemColumns_AutoComplete</t>
    <phoneticPr fontId="2" type="noConversion"/>
  </si>
  <si>
    <t>GridViewItemset과 바인딩 시 여러 컬럼의 검색 지원</t>
    <phoneticPr fontId="2" type="noConversion"/>
  </si>
  <si>
    <t>DataList 컬럼의 초기 값 지정</t>
    <phoneticPr fontId="2" type="noConversion"/>
  </si>
  <si>
    <t>스크롤을 고정한 채로 데이터 추가</t>
    <phoneticPr fontId="2" type="noConversion"/>
  </si>
  <si>
    <t>/AutoComplete/valueNotInList_AutoComplete.xml</t>
    <phoneticPr fontId="2" type="noConversion"/>
  </si>
  <si>
    <t>AutoComplete - valueNotInList</t>
    <phoneticPr fontId="2" type="noConversion"/>
  </si>
  <si>
    <t>valueNotInList_AutoComplete</t>
    <phoneticPr fontId="2" type="noConversion"/>
  </si>
  <si>
    <t>GridView - headerFilter &amp; defaultShowHeaderFilter</t>
    <phoneticPr fontId="2" type="noConversion"/>
  </si>
  <si>
    <t>defaultShowHeaderFilter_headerFilter_GridView</t>
    <phoneticPr fontId="2" type="noConversion"/>
  </si>
  <si>
    <t>GridView - advancedExcelDownload() &amp; options.useValueAttribute</t>
    <phoneticPr fontId="2" type="noConversion"/>
  </si>
  <si>
    <t>GridView - mergedCellVerticalAlign</t>
    <phoneticPr fontId="2" type="noConversion"/>
  </si>
  <si>
    <t>GridView - setFocusedCell()</t>
    <phoneticPr fontId="2" type="noConversion"/>
  </si>
  <si>
    <t>컬럼의 value 속성 값도 다운로드</t>
    <phoneticPr fontId="2" type="noConversion"/>
  </si>
  <si>
    <t>헤더 필터</t>
    <phoneticPr fontId="2" type="noConversion"/>
  </si>
  <si>
    <t>/GridView/Excel/advancedExcelDownload_excelExpression_GridView.xml</t>
    <phoneticPr fontId="2" type="noConversion"/>
  </si>
  <si>
    <t>/GridView/Excel/advancedExcelDownload_useValueAttribute_GridView.xml</t>
    <phoneticPr fontId="2" type="noConversion"/>
  </si>
  <si>
    <t>컬럼 기준으로 병합할 경우 텍스트 위치 설정</t>
    <phoneticPr fontId="2" type="noConversion"/>
  </si>
  <si>
    <t>컬럼 기준으로 병합된 셀들의 텍스트 위치를 설정</t>
    <phoneticPr fontId="2" type="noConversion"/>
  </si>
  <si>
    <t>inputType="select" 컬럼의 셀에 포커스를 줄 때 SelectBox의 목록을 펼치지 않도록 설정</t>
    <phoneticPr fontId="2" type="noConversion"/>
  </si>
  <si>
    <t>/GridView/_General/setFocusedCell_GridView.xml</t>
    <phoneticPr fontId="2" type="noConversion"/>
  </si>
  <si>
    <t>푸터 셀에 포커스를 주고 포커스된 푸터 셀의 컬럼 ID를 확인</t>
    <phoneticPr fontId="2" type="noConversion"/>
  </si>
  <si>
    <t>MultSelect</t>
    <phoneticPr fontId="2" type="noConversion"/>
  </si>
  <si>
    <t>PageFrame</t>
    <phoneticPr fontId="2" type="noConversion"/>
  </si>
  <si>
    <t>ProgressBar</t>
    <phoneticPr fontId="2" type="noConversion"/>
  </si>
  <si>
    <t>GridView - focusFooter</t>
    <phoneticPr fontId="2" type="noConversion"/>
  </si>
  <si>
    <t>GridView - getFocusedFooterCell()</t>
  </si>
  <si>
    <t>GridView - getFocusedFooterID()</t>
    <phoneticPr fontId="2" type="noConversion"/>
  </si>
  <si>
    <t>GridView - getFocusedFooterIndex()</t>
    <phoneticPr fontId="2" type="noConversion"/>
  </si>
  <si>
    <t>푸터 셀에 포커스 허용</t>
    <phoneticPr fontId="2" type="noConversion"/>
  </si>
  <si>
    <t>푸터 셀에 포커스를 줄 수 있도록 허용</t>
    <phoneticPr fontId="2" type="noConversion"/>
  </si>
  <si>
    <t>푸터 셀(들)을 포커스하고 셀 정보 확인</t>
    <phoneticPr fontId="2" type="noConversion"/>
  </si>
  <si>
    <t>푸터 셀에 포커스를 주고 포커스된 푸터 셀의 정보를 확인</t>
    <phoneticPr fontId="2" type="noConversion"/>
  </si>
  <si>
    <t>푸터 셀에 포커스를 주고 포커스된 푸터 셀의 컬럼 인덱스를 확인</t>
    <phoneticPr fontId="2" type="noConversion"/>
  </si>
  <si>
    <t>focusFooter_GridView</t>
    <phoneticPr fontId="2" type="noConversion"/>
  </si>
  <si>
    <t>getFocusedFooterID_GridView</t>
    <phoneticPr fontId="2" type="noConversion"/>
  </si>
  <si>
    <t>getFocusedFooterIndex_GridView</t>
    <phoneticPr fontId="2" type="noConversion"/>
  </si>
  <si>
    <t>getFocusedFooterCell_GridView</t>
    <phoneticPr fontId="2" type="noConversion"/>
  </si>
  <si>
    <t>푸터 드래깅이 종료될 때 실행할 함수 지정</t>
    <phoneticPr fontId="2" type="noConversion"/>
  </si>
  <si>
    <t>푸터 드래깅을 종료할 때 실행할 함수의 이름을 설정 (해당 함수는 직접 구현)</t>
    <phoneticPr fontId="2" type="noConversion"/>
  </si>
  <si>
    <t>GridView - onfooterclick</t>
    <phoneticPr fontId="2" type="noConversion"/>
  </si>
  <si>
    <t>푸터를 클릭할 때 발생.</t>
    <phoneticPr fontId="2" type="noConversion"/>
  </si>
  <si>
    <t>이벤트 - onfooterclick</t>
    <phoneticPr fontId="2" type="noConversion"/>
  </si>
  <si>
    <t>onfooterclick_GridView</t>
    <phoneticPr fontId="2" type="noConversion"/>
  </si>
  <si>
    <t>왼쪽에 위치한 컬럼 중 지정한 컬럼을 기준으로만 셀들을 병합</t>
    <phoneticPr fontId="2" type="noConversion"/>
  </si>
  <si>
    <t>지정한 왼쪽 컬럼만을 기준으로 병합</t>
    <phoneticPr fontId="2" type="noConversion"/>
  </si>
  <si>
    <t>한 개의 항목만 선택하도록 제한</t>
    <phoneticPr fontId="2" type="noConversion"/>
  </si>
  <si>
    <t>값 표시 형식 설정</t>
    <phoneticPr fontId="2" type="noConversion"/>
  </si>
  <si>
    <t>/GridView/Filtering/defaultShowHeaderFilter_headerFilter_GridView/defaultShowHeaderFilter_headerFilter_GridView.xml</t>
    <phoneticPr fontId="2" type="noConversion"/>
  </si>
  <si>
    <t>/GridView/Merge/mergedCellVerticalAlign_GridView.xml</t>
    <phoneticPr fontId="2" type="noConversion"/>
  </si>
  <si>
    <t>SelectBox 목록을 펼치지 않고 inputType='select' 셀에 포커스 주기</t>
    <phoneticPr fontId="2" type="noConversion"/>
  </si>
  <si>
    <t>/GridView/inputType/skipOption_setFocusedCell_GridView.xml</t>
    <phoneticPr fontId="2" type="noConversion"/>
  </si>
  <si>
    <t>/GridView/Merge/bycolupper_mergeCells_GridView.xml</t>
    <phoneticPr fontId="2" type="noConversion"/>
  </si>
  <si>
    <t>/GridView/inputType/inputType_spinner_increment_gridView_column.xml</t>
    <phoneticPr fontId="2" type="noConversion"/>
  </si>
  <si>
    <t>inputType='spinner' 컬럼의 증감 단위 설정 및 확인</t>
    <phoneticPr fontId="2" type="noConversion"/>
  </si>
  <si>
    <t>/MultiSelect/singleSelect_MultiSelect.xml</t>
    <phoneticPr fontId="2" type="noConversion"/>
  </si>
  <si>
    <t>/PageFrame/onresize_PageFrame/onresize_PageFrame.xml</t>
    <phoneticPr fontId="2" type="noConversion"/>
  </si>
  <si>
    <t>/ProgressBar/displayFormat_displayFormatter_ProgressBar.xml</t>
    <phoneticPr fontId="2" type="noConversion"/>
  </si>
  <si>
    <t>GridView - mergeCells="bycolupper"</t>
    <phoneticPr fontId="2" type="noConversion"/>
  </si>
  <si>
    <t>gridView.column - increment &amp; setColumnIncrement() &amp; getColumnIncrement</t>
    <phoneticPr fontId="2" type="noConversion"/>
  </si>
  <si>
    <t>/GridView/footer/focusFooter_GridView.xml</t>
    <phoneticPr fontId="2" type="noConversion"/>
  </si>
  <si>
    <t>/GridView/footer/footerDragEndFunction_GridView.xml</t>
    <phoneticPr fontId="2" type="noConversion"/>
  </si>
  <si>
    <t>푸터 셀(들)을 포커스하고 (푸터 기준) 컬럼 ID 확인</t>
    <phoneticPr fontId="2" type="noConversion"/>
  </si>
  <si>
    <t>/GridView/footer/getFocusedFooterID_GridView.xml</t>
    <phoneticPr fontId="2" type="noConversion"/>
  </si>
  <si>
    <t>/GridView/footer/getFocusedFooterCell_GridView.xml</t>
    <phoneticPr fontId="2" type="noConversion"/>
  </si>
  <si>
    <t>푸터 셀(들)을 포커스하고 (푸터 기준) 컬럼 인덱스 확인</t>
    <phoneticPr fontId="2" type="noConversion"/>
  </si>
  <si>
    <t>/GridView/footer/getFocusedFooterIndex_GridView.xml</t>
    <phoneticPr fontId="2" type="noConversion"/>
  </si>
  <si>
    <t>/GridView/footer/onfooterclick_GridView.xml</t>
    <phoneticPr fontId="2" type="noConversion"/>
  </si>
  <si>
    <t>/__sample/intro.xml</t>
    <phoneticPr fontId="2" type="noConversion"/>
  </si>
  <si>
    <t>가이드 샘플 다운로드 페이지</t>
    <phoneticPr fontId="2" type="noConversion"/>
  </si>
  <si>
    <t>sample download</t>
    <phoneticPr fontId="2" type="noConversion"/>
  </si>
  <si>
    <t>insertJSON()</t>
    <phoneticPr fontId="2" type="noConversion"/>
  </si>
  <si>
    <t>initialColumnId</t>
    <phoneticPr fontId="2" type="noConversion"/>
  </si>
  <si>
    <t>searchTargetItemColumns</t>
    <phoneticPr fontId="2" type="noConversion"/>
  </si>
  <si>
    <t>valueNotInList</t>
    <phoneticPr fontId="2" type="noConversion"/>
  </si>
  <si>
    <t>headerFilter 
defaultShowHeaderFilter</t>
    <phoneticPr fontId="2" type="noConversion"/>
  </si>
  <si>
    <t>advancedExcelDownload()
options.useValueAttribute</t>
    <phoneticPr fontId="2" type="noConversion"/>
  </si>
  <si>
    <t>mergedCellVerticalAlign</t>
    <phoneticPr fontId="2" type="noConversion"/>
  </si>
  <si>
    <t>footerDragEndFunction</t>
  </si>
  <si>
    <t>setFocusedCell()</t>
    <phoneticPr fontId="2" type="noConversion"/>
  </si>
  <si>
    <t>GridView - footerDragEndFunction</t>
    <phoneticPr fontId="2" type="noConversion"/>
  </si>
  <si>
    <t>mergeCells="bycolupper"</t>
  </si>
  <si>
    <t>increment 
setColumnIncrement() 
getColumnIncrement()</t>
    <phoneticPr fontId="2" type="noConversion"/>
  </si>
  <si>
    <t>MultiSelect - singleSelect</t>
    <phoneticPr fontId="2" type="noConversion"/>
  </si>
  <si>
    <t>PageFrame - onresize</t>
    <phoneticPr fontId="2" type="noConversion"/>
  </si>
  <si>
    <t>ProgressBar - displayFormat &amp; displayFormatter</t>
    <phoneticPr fontId="2" type="noConversion"/>
  </si>
  <si>
    <t>singleSelect</t>
  </si>
  <si>
    <t>displayFormat 
displayFormatter</t>
    <phoneticPr fontId="2" type="noConversion"/>
  </si>
  <si>
    <t>inputType='spinner' 컬럼의 증감 단위를 정적/동적으로 설정하고, 현재 설정된 증감 단위를 확인</t>
    <phoneticPr fontId="2" type="noConversion"/>
  </si>
  <si>
    <t>한 개의 항목만 선택할 수 있도록 제한</t>
    <phoneticPr fontId="2" type="noConversion"/>
  </si>
  <si>
    <t>PageFrame 크기가 변경될 때 발생</t>
    <phoneticPr fontId="2" type="noConversion"/>
  </si>
  <si>
    <t>onresize
resizeEvent</t>
    <phoneticPr fontId="2" type="noConversion"/>
  </si>
  <si>
    <t>값 표시 형식을 동적/정적으로 설정</t>
    <phoneticPr fontId="2" type="noConversion"/>
  </si>
  <si>
    <t>advancedExcelDownload_useValueAttribute_GridView</t>
    <phoneticPr fontId="2" type="noConversion"/>
  </si>
  <si>
    <t>mergedCellVerticalAlign_GridView</t>
    <phoneticPr fontId="2" type="noConversion"/>
  </si>
  <si>
    <t>skipOption_setFocusedCell_GridView</t>
    <phoneticPr fontId="2" type="noConversion"/>
  </si>
  <si>
    <t>footerDragEndFunction_GridView</t>
    <phoneticPr fontId="2" type="noConversion"/>
  </si>
  <si>
    <t>bycolupper_mergeCells_GridView</t>
    <phoneticPr fontId="2" type="noConversion"/>
  </si>
  <si>
    <t>inputType_spinner_increment_gridView_column</t>
    <phoneticPr fontId="2" type="noConversion"/>
  </si>
  <si>
    <t>singleSelect_MultiSelect</t>
    <phoneticPr fontId="2" type="noConversion"/>
  </si>
  <si>
    <t>onresize_PageFrame</t>
    <phoneticPr fontId="2" type="noConversion"/>
  </si>
  <si>
    <t>displayFormat_displayFormatter_ProgressBa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</si>
</sst>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1"/>
      <color rgb="FF000000"/>
      <name val="돋움"/>
      <family val="3"/>
      <charset val="129"/>
    </font>
    <font>
      <sz val="11"/>
      <color rgb="FF0D0D0D"/>
      <name val="Arial"/>
      <family val="2"/>
    </font>
    <font>
      <sz val="11"/>
      <color rgb="FF0D0D0D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1" applyFill="1" applyBorder="1" applyAlignment="1">
      <alignment horizontal="justify" vertical="center"/>
    </xf>
    <xf numFmtId="0" fontId="0" fillId="0" borderId="3" xfId="0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4" fillId="0" borderId="0" xfId="1" applyNumberFormat="1" applyFill="1" applyBorder="1" applyAlignment="1">
      <alignment horizontal="justify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4" fillId="0" borderId="0" xfId="1" applyNumberFormat="1" applyFill="1" applyBorder="1" applyAlignment="1">
      <alignment horizontal="left" vertical="center"/>
    </xf>
    <xf numFmtId="49" fontId="4" fillId="0" borderId="0" xfId="1" applyNumberFormat="1" applyFill="1" applyBorder="1" applyAlignment="1">
      <alignment horizontal="justify" vertical="center" wrapText="1"/>
    </xf>
    <xf numFmtId="49" fontId="4" fillId="0" borderId="0" xfId="1" applyNumberFormat="1" applyFill="1" applyBorder="1" applyAlignment="1">
      <alignment vertical="center"/>
    </xf>
    <xf numFmtId="49" fontId="0" fillId="0" borderId="0" xfId="0" applyNumberFormat="1" applyAlignment="1">
      <alignment horizontal="justify" vertical="center"/>
    </xf>
    <xf numFmtId="0" fontId="3" fillId="2" borderId="0" xfId="0" applyFont="1" applyFill="1" applyAlignment="1">
      <alignment horizontal="justify" vertical="center"/>
    </xf>
    <xf numFmtId="0" fontId="4" fillId="0" borderId="0" xfId="1" applyNumberFormat="1" applyFill="1" applyBorder="1" applyAlignment="1">
      <alignment horizontal="center" vertical="center"/>
    </xf>
    <xf numFmtId="0" fontId="4" fillId="0" borderId="0" xfId="1" applyFill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justify" vertical="center"/>
    </xf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justify" vertical="center"/>
    </xf>
    <xf numFmtId="0" fontId="0" fillId="3" borderId="0" xfId="0" applyFill="1" applyAlignment="1">
      <alignment horizontal="center" vertical="center" wrapText="1"/>
    </xf>
    <xf numFmtId="0" fontId="4" fillId="3" borderId="0" xfId="1" applyFill="1" applyAlignment="1">
      <alignment horizontal="justify" vertical="center"/>
    </xf>
    <xf numFmtId="0" fontId="4" fillId="3" borderId="0" xfId="1" applyFill="1" applyBorder="1" applyAlignment="1">
      <alignment horizontal="justify" vertical="center"/>
    </xf>
    <xf numFmtId="0" fontId="5" fillId="3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justify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justify" vertical="center" wrapText="1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4" fillId="0" borderId="0" xfId="1" applyFill="1" applyAlignment="1">
      <alignment horizontal="justify" vertical="center"/>
    </xf>
    <xf numFmtId="0" fontId="5" fillId="0" borderId="0" xfId="0" applyFont="1" applyFill="1" applyAlignment="1">
      <alignment horizontal="justify" vertical="center" wrapText="1"/>
    </xf>
    <xf numFmtId="49" fontId="0" fillId="0" borderId="0" xfId="0" applyNumberForma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2" fillId="0" borderId="0" xfId="0" applyFont="1" applyFill="1" applyAlignment="1">
      <alignment wrapText="1"/>
    </xf>
    <xf numFmtId="0" fontId="12" fillId="0" borderId="0" xfId="0" applyFont="1" applyFill="1">
      <alignment vertical="center"/>
    </xf>
    <xf numFmtId="0" fontId="9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vertical="center" wrapText="1"/>
    </xf>
    <xf numFmtId="0" fontId="5" fillId="0" borderId="0" xfId="0" quotePrefix="1" applyFont="1" applyFill="1" applyAlignment="1">
      <alignment vertical="center" wrapText="1"/>
    </xf>
    <xf numFmtId="49" fontId="0" fillId="0" borderId="0" xfId="0" applyNumberFormat="1" applyFill="1" applyAlignment="1">
      <alignment horizontal="justify" vertical="center"/>
    </xf>
    <xf numFmtId="0" fontId="1" fillId="0" borderId="0" xfId="0" applyFont="1" applyFill="1" applyAlignment="1">
      <alignment horizontal="justify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justify" vertical="center" wrapText="1"/>
    </xf>
    <xf numFmtId="0" fontId="6" fillId="0" borderId="0" xfId="0" applyFont="1" applyFill="1" applyAlignment="1">
      <alignment horizontal="justify" vertical="center"/>
    </xf>
    <xf numFmtId="49" fontId="1" fillId="0" borderId="0" xfId="0" applyNumberFormat="1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4" fillId="0" borderId="0" xfId="0" applyFont="1" applyFill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3" borderId="0" xfId="0" applyFill="1" applyBorder="1" applyAlignment="1">
      <alignment horizontal="justify" vertical="center"/>
    </xf>
    <xf numFmtId="0" fontId="0" fillId="0" borderId="3" xfId="0" applyFill="1" applyBorder="1" applyAlignment="1">
      <alignment horizontal="justify" vertical="center" wrapText="1"/>
    </xf>
    <xf numFmtId="0" fontId="0" fillId="3" borderId="0" xfId="0" applyFill="1" applyBorder="1" applyAlignment="1">
      <alignment horizontal="justify" vertical="center" wrapText="1"/>
    </xf>
    <xf numFmtId="0" fontId="0" fillId="0" borderId="3" xfId="0" applyFill="1" applyBorder="1" applyAlignment="1">
      <alignment horizontal="justify" vertical="center"/>
    </xf>
    <xf numFmtId="0" fontId="0" fillId="3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vGa9ayKAHtc" TargetMode="External"/><Relationship Id="rId671" Type="http://schemas.openxmlformats.org/officeDocument/2006/relationships/hyperlink" Target="https://inswave01.atlassian.net/wiki/download/attachments/1245431/tabScroll_tabPosition_TabControl.zip?version=2&amp;modificationDate=1758776952650&amp;cacheVersion=1&amp;api=v2" TargetMode="External"/><Relationship Id="rId21" Type="http://schemas.openxmlformats.org/officeDocument/2006/relationships/hyperlink" Target="https://youtu.be/8Hx2sBDwxRE" TargetMode="External"/><Relationship Id="rId324" Type="http://schemas.openxmlformats.org/officeDocument/2006/relationships/hyperlink" Target="https://youtu.be/DPxCM7q6kNQ" TargetMode="External"/><Relationship Id="rId531" Type="http://schemas.openxmlformats.org/officeDocument/2006/relationships/hyperlink" Target="https://inswave01.atlassian.net/wiki/download/attachments/1245385/openPopup_frameModal_$p.zip?version=1&amp;modificationDate=1637132197000&amp;cacheVersion=1&amp;api=v2" TargetMode="External"/><Relationship Id="rId629" Type="http://schemas.openxmlformats.org/officeDocument/2006/relationships/hyperlink" Target="https://inswave01.atlassian.net/wiki/download/attachments/1245393/scope_aliasDataMap.zip?version=1&amp;modificationDate=1731299280726&amp;cacheVersion=1&amp;api=v2" TargetMode="External"/><Relationship Id="rId170" Type="http://schemas.openxmlformats.org/officeDocument/2006/relationships/hyperlink" Target="https://youtu.be/LQhmpFKq9tA" TargetMode="External"/><Relationship Id="rId268" Type="http://schemas.openxmlformats.org/officeDocument/2006/relationships/hyperlink" Target="https://youtu.be/T8EQL5WLlT8" TargetMode="External"/><Relationship Id="rId475" Type="http://schemas.openxmlformats.org/officeDocument/2006/relationships/hyperlink" Target="https://youtu.be/E1P78YjB7c8" TargetMode="External"/><Relationship Id="rId32" Type="http://schemas.openxmlformats.org/officeDocument/2006/relationships/hyperlink" Target="https://youtu.be/bl6q791x12U" TargetMode="External"/><Relationship Id="rId128" Type="http://schemas.openxmlformats.org/officeDocument/2006/relationships/hyperlink" Target="https://youtu.be/QwmMkijoymM" TargetMode="External"/><Relationship Id="rId335" Type="http://schemas.openxmlformats.org/officeDocument/2006/relationships/hyperlink" Target="https://youtu.be/p-hZGP4YOak" TargetMode="External"/><Relationship Id="rId542" Type="http://schemas.openxmlformats.org/officeDocument/2006/relationships/hyperlink" Target="https://inswave01.atlassian.net/wiki/download/attachments/1245518/getHTML_Editor.xml?version=1&amp;modificationDate=1704956074000&amp;cacheVersion=1&amp;api=v2" TargetMode="External"/><Relationship Id="rId181" Type="http://schemas.openxmlformats.org/officeDocument/2006/relationships/hyperlink" Target="https://youtu.be/PUwerF67bzs" TargetMode="External"/><Relationship Id="rId402" Type="http://schemas.openxmlformats.org/officeDocument/2006/relationships/hyperlink" Target="https://youtu.be/VtKnRjGQ-hI" TargetMode="External"/><Relationship Id="rId279" Type="http://schemas.openxmlformats.org/officeDocument/2006/relationships/hyperlink" Target="https://youtu.be/-94hPYMv8bc" TargetMode="External"/><Relationship Id="rId486" Type="http://schemas.openxmlformats.org/officeDocument/2006/relationships/hyperlink" Target="https://youtu.be/Jdev6Y5Xmg8" TargetMode="External"/><Relationship Id="rId43" Type="http://schemas.openxmlformats.org/officeDocument/2006/relationships/hyperlink" Target="https://youtu.be/OsS9j06q5ME" TargetMode="External"/><Relationship Id="rId139" Type="http://schemas.openxmlformats.org/officeDocument/2006/relationships/hyperlink" Target="https://youtu.be/Ya0q1szvXgo" TargetMode="External"/><Relationship Id="rId346" Type="http://schemas.openxmlformats.org/officeDocument/2006/relationships/hyperlink" Target="https://youtu.be/BT4_i12AfvQ" TargetMode="External"/><Relationship Id="rId553" Type="http://schemas.openxmlformats.org/officeDocument/2006/relationships/hyperlink" Target="https://inswave01.atlassian.net/wiki/download/attachments/1245465/setDisplayMode_GridView.xml?version=1&amp;modificationDate=1677220805000&amp;cacheVersion=1&amp;api=v2" TargetMode="External"/><Relationship Id="rId192" Type="http://schemas.openxmlformats.org/officeDocument/2006/relationships/hyperlink" Target="https://youtu.be/5DPn3dtn-vw" TargetMode="External"/><Relationship Id="rId206" Type="http://schemas.openxmlformats.org/officeDocument/2006/relationships/hyperlink" Target="https://youtu.be/qbWFtdeni_s" TargetMode="External"/><Relationship Id="rId413" Type="http://schemas.openxmlformats.org/officeDocument/2006/relationships/hyperlink" Target="https://youtu.be/QCcRWMtbYlA" TargetMode="External"/><Relationship Id="rId497" Type="http://schemas.openxmlformats.org/officeDocument/2006/relationships/hyperlink" Target="https://youtu.be/kNXNkiRxhWs" TargetMode="External"/><Relationship Id="rId620" Type="http://schemas.openxmlformats.org/officeDocument/2006/relationships/hyperlink" Target="https://inswave01.atlassian.net/wiki/download/attachments/1245487/imageAlign_gridView_column.zip?version=1&amp;modificationDate=1727066968857&amp;cacheVersion=1&amp;api=v2" TargetMode="External"/><Relationship Id="rId357" Type="http://schemas.openxmlformats.org/officeDocument/2006/relationships/hyperlink" Target="https://youtu.be/DyKCvK4hAxc" TargetMode="External"/><Relationship Id="rId54" Type="http://schemas.openxmlformats.org/officeDocument/2006/relationships/hyperlink" Target="https://youtu.be/oQNBP6TfFAU" TargetMode="External"/><Relationship Id="rId217" Type="http://schemas.openxmlformats.org/officeDocument/2006/relationships/hyperlink" Target="https://youtu.be/08K5gCovQcc" TargetMode="External"/><Relationship Id="rId564" Type="http://schemas.openxmlformats.org/officeDocument/2006/relationships/hyperlink" Target="https://inswave01.atlassian.net/wiki/download/attachments/1245393/getAllFilteredJSON_DataList.xml?version=1&amp;modificationDate=1704690942000&amp;cacheVersion=1&amp;api=v2" TargetMode="External"/><Relationship Id="rId424" Type="http://schemas.openxmlformats.org/officeDocument/2006/relationships/hyperlink" Target="https://youtu.be/eVVuQtrCb0I" TargetMode="External"/><Relationship Id="rId631" Type="http://schemas.openxmlformats.org/officeDocument/2006/relationships/hyperlink" Target="https://youtu.be/v9fKLoRsxE0" TargetMode="External"/><Relationship Id="rId270" Type="http://schemas.openxmlformats.org/officeDocument/2006/relationships/hyperlink" Target="https://youtu.be/HiwlzUYeX7Y" TargetMode="External"/><Relationship Id="rId65" Type="http://schemas.openxmlformats.org/officeDocument/2006/relationships/hyperlink" Target="https://youtu.be/vFo-uXLpHbs" TargetMode="External"/><Relationship Id="rId130" Type="http://schemas.openxmlformats.org/officeDocument/2006/relationships/hyperlink" Target="https://youtu.be/Vna1V_cJrc8" TargetMode="External"/><Relationship Id="rId368" Type="http://schemas.openxmlformats.org/officeDocument/2006/relationships/hyperlink" Target="https://youtu.be/CZBajC9oYm8" TargetMode="External"/><Relationship Id="rId575" Type="http://schemas.openxmlformats.org/officeDocument/2006/relationships/hyperlink" Target="https://inswave01.atlassian.net/wiki/download/attachments/1245397/selectable_noUsePrompt_ScheduleCalendar.xml?version=1&amp;modificationDate=1719281410217&amp;cacheVersion=1&amp;api=v2" TargetMode="External"/><Relationship Id="rId228" Type="http://schemas.openxmlformats.org/officeDocument/2006/relationships/hyperlink" Target="https://youtu.be/Jl3g8DH0qN0" TargetMode="External"/><Relationship Id="rId435" Type="http://schemas.openxmlformats.org/officeDocument/2006/relationships/hyperlink" Target="https://youtu.be/JCY4DR0ciHk" TargetMode="External"/><Relationship Id="rId642" Type="http://schemas.openxmlformats.org/officeDocument/2006/relationships/hyperlink" Target="https://youtu.be/bjXdUUifNlw" TargetMode="External"/><Relationship Id="rId281" Type="http://schemas.openxmlformats.org/officeDocument/2006/relationships/hyperlink" Target="https://youtu.be/Le8l7iXXt0I" TargetMode="External"/><Relationship Id="rId502" Type="http://schemas.openxmlformats.org/officeDocument/2006/relationships/hyperlink" Target="https://youtu.be/8PUCBzRhGHg" TargetMode="External"/><Relationship Id="rId76" Type="http://schemas.openxmlformats.org/officeDocument/2006/relationships/hyperlink" Target="https://youtu.be/FObIC3iWy_4" TargetMode="External"/><Relationship Id="rId141" Type="http://schemas.openxmlformats.org/officeDocument/2006/relationships/hyperlink" Target="https://youtu.be/hGZhEpgzH0s" TargetMode="External"/><Relationship Id="rId379" Type="http://schemas.openxmlformats.org/officeDocument/2006/relationships/hyperlink" Target="https://youtu.be/kPsmX28mhUE" TargetMode="External"/><Relationship Id="rId586" Type="http://schemas.openxmlformats.org/officeDocument/2006/relationships/hyperlink" Target="https://inswave01.atlassian.net/wiki/download/attachments/1245451/Event_Debugging.xml?version=1&amp;modificationDate=1675659758000&amp;cacheVersion=1&amp;api=v2" TargetMode="External"/><Relationship Id="rId7" Type="http://schemas.openxmlformats.org/officeDocument/2006/relationships/hyperlink" Target="https://youtu.be/7jJ8zEbhz3M" TargetMode="External"/><Relationship Id="rId239" Type="http://schemas.openxmlformats.org/officeDocument/2006/relationships/hyperlink" Target="https://youtu.be/Sw4DU7GlCK4" TargetMode="External"/><Relationship Id="rId446" Type="http://schemas.openxmlformats.org/officeDocument/2006/relationships/hyperlink" Target="https://youtu.be/f3-ihvQ7SPo" TargetMode="External"/><Relationship Id="rId653" Type="http://schemas.openxmlformats.org/officeDocument/2006/relationships/hyperlink" Target="https://youtu.be/ClwsiP_mhyU" TargetMode="External"/><Relationship Id="rId292" Type="http://schemas.openxmlformats.org/officeDocument/2006/relationships/hyperlink" Target="https://youtu.be/SksWosghgOc" TargetMode="External"/><Relationship Id="rId306" Type="http://schemas.openxmlformats.org/officeDocument/2006/relationships/hyperlink" Target="https://youtu.be/Cs-DeBICs6s" TargetMode="External"/><Relationship Id="rId87" Type="http://schemas.openxmlformats.org/officeDocument/2006/relationships/hyperlink" Target="https://youtu.be/LzioAerK1g0" TargetMode="External"/><Relationship Id="rId513" Type="http://schemas.openxmlformats.org/officeDocument/2006/relationships/hyperlink" Target="https://youtu.be/RpgpUeBIo40" TargetMode="External"/><Relationship Id="rId597" Type="http://schemas.openxmlformats.org/officeDocument/2006/relationships/hyperlink" Target="https://inswave01.atlassian.net/wiki/download/attachments/1245417/appearance_AutoComplete.xml?version=1&amp;modificationDate=1724108886493&amp;cacheVersion=1&amp;api=v2" TargetMode="External"/><Relationship Id="rId152" Type="http://schemas.openxmlformats.org/officeDocument/2006/relationships/hyperlink" Target="https://youtu.be/AwDMAuK3H7c" TargetMode="External"/><Relationship Id="rId457" Type="http://schemas.openxmlformats.org/officeDocument/2006/relationships/hyperlink" Target="https://youtu.be/6ft57Ht88Ok" TargetMode="External"/><Relationship Id="rId664" Type="http://schemas.openxmlformats.org/officeDocument/2006/relationships/hyperlink" Target="https://inswave01.atlassian.net/wiki/download/attachments/1245423/displayMode_delimiter_CheckComboBox.xml?version=1&amp;modificationDate=1652062258000&amp;cacheVersion=1&amp;api=v2" TargetMode="External"/><Relationship Id="rId14" Type="http://schemas.openxmlformats.org/officeDocument/2006/relationships/hyperlink" Target="https://youtu.be/Cnp_VCf7WN8" TargetMode="External"/><Relationship Id="rId317" Type="http://schemas.openxmlformats.org/officeDocument/2006/relationships/hyperlink" Target="https://youtu.be/0rb9R-itwAQ" TargetMode="External"/><Relationship Id="rId524" Type="http://schemas.openxmlformats.org/officeDocument/2006/relationships/hyperlink" Target="https://inswave01.atlassian.net/wiki/download/attachments/1245385/getAllPopupList_$p.mp4?version=2&amp;modificationDate=1672898919000&amp;cacheVersion=1&amp;api=v2" TargetMode="External"/><Relationship Id="rId98" Type="http://schemas.openxmlformats.org/officeDocument/2006/relationships/hyperlink" Target="https://youtu.be/8QHBOsQZ4VQ" TargetMode="External"/><Relationship Id="rId163" Type="http://schemas.openxmlformats.org/officeDocument/2006/relationships/hyperlink" Target="https://youtu.be/WGoQwiYj9ZM" TargetMode="External"/><Relationship Id="rId370" Type="http://schemas.openxmlformats.org/officeDocument/2006/relationships/hyperlink" Target="https://youtu.be/Sf3n416Lk4k" TargetMode="External"/><Relationship Id="rId230" Type="http://schemas.openxmlformats.org/officeDocument/2006/relationships/hyperlink" Target="https://youtu.be/x9bKnWeS3OA" TargetMode="External"/><Relationship Id="rId468" Type="http://schemas.openxmlformats.org/officeDocument/2006/relationships/hyperlink" Target="https://youtu.be/TBJCxgTBo7c" TargetMode="External"/><Relationship Id="rId675" Type="http://schemas.openxmlformats.org/officeDocument/2006/relationships/hyperlink" Target="https://youtu.be/bGIxYMKQlCA" TargetMode="External"/><Relationship Id="rId25" Type="http://schemas.openxmlformats.org/officeDocument/2006/relationships/hyperlink" Target="https://youtu.be/vXsMm4ydtY4" TargetMode="External"/><Relationship Id="rId328" Type="http://schemas.openxmlformats.org/officeDocument/2006/relationships/hyperlink" Target="https://youtu.be/9xsDR6xp0NU" TargetMode="External"/><Relationship Id="rId535" Type="http://schemas.openxmlformats.org/officeDocument/2006/relationships/hyperlink" Target="https://inswave01.atlassian.net/wiki/download/attachments/1245385/pageFramePopup_openPopup_$p.zip?version=1&amp;modificationDate=1717122157000&amp;cacheVersion=1&amp;api=v2" TargetMode="External"/><Relationship Id="rId174" Type="http://schemas.openxmlformats.org/officeDocument/2006/relationships/hyperlink" Target="https://youtu.be/IEJiQnLUlxQ" TargetMode="External"/><Relationship Id="rId381" Type="http://schemas.openxmlformats.org/officeDocument/2006/relationships/hyperlink" Target="https://youtu.be/NSicuP53ywk" TargetMode="External"/><Relationship Id="rId602" Type="http://schemas.openxmlformats.org/officeDocument/2006/relationships/hyperlink" Target="https://inswave01.atlassian.net/wiki/download/attachments/119275521/getCurrentGridStyle_setGridStyle_GridView.xml?version=1&amp;modificationDate=1724111317681&amp;cacheVersion=1&amp;api=v2" TargetMode="External"/><Relationship Id="rId241" Type="http://schemas.openxmlformats.org/officeDocument/2006/relationships/hyperlink" Target="https://youtu.be/dhRGB_CQnAw" TargetMode="External"/><Relationship Id="rId479" Type="http://schemas.openxmlformats.org/officeDocument/2006/relationships/hyperlink" Target="https://youtu.be/67v1qXsv2Rw" TargetMode="External"/><Relationship Id="rId36" Type="http://schemas.openxmlformats.org/officeDocument/2006/relationships/hyperlink" Target="https://youtu.be/O6z8sjzHfbc" TargetMode="External"/><Relationship Id="rId339" Type="http://schemas.openxmlformats.org/officeDocument/2006/relationships/hyperlink" Target="https://youtu.be/_w0u0yvnkug" TargetMode="External"/><Relationship Id="rId546" Type="http://schemas.openxmlformats.org/officeDocument/2006/relationships/hyperlink" Target="https://inswave01.atlassian.net/wiki/download/attachments/1245461/useNoResultMessageURL_noResultMessageURL_message.zip?version=1&amp;modificationDate=1706493431000&amp;cacheVersion=1&amp;api=v2" TargetMode="External"/><Relationship Id="rId101" Type="http://schemas.openxmlformats.org/officeDocument/2006/relationships/hyperlink" Target="https://youtu.be/-qWrX0UwPnE" TargetMode="External"/><Relationship Id="rId185" Type="http://schemas.openxmlformats.org/officeDocument/2006/relationships/hyperlink" Target="https://youtu.be/usyyZnkL6xM" TargetMode="External"/><Relationship Id="rId406" Type="http://schemas.openxmlformats.org/officeDocument/2006/relationships/hyperlink" Target="https://youtu.be/PzislJWBh4I" TargetMode="External"/><Relationship Id="rId392" Type="http://schemas.openxmlformats.org/officeDocument/2006/relationships/hyperlink" Target="https://youtu.be/xiPsLhJgKrU" TargetMode="External"/><Relationship Id="rId613" Type="http://schemas.openxmlformats.org/officeDocument/2006/relationships/hyperlink" Target="https://inswave01.atlassian.net/wiki/download/attachments/1245397/setHeaderBtn_ScheduleCalendar.xml?version=1&amp;modificationDate=1725238654636&amp;cacheVersion=1&amp;api=v2" TargetMode="External"/><Relationship Id="rId252" Type="http://schemas.openxmlformats.org/officeDocument/2006/relationships/hyperlink" Target="https://youtu.be/4rPJJ1M_rhc" TargetMode="External"/><Relationship Id="rId47" Type="http://schemas.openxmlformats.org/officeDocument/2006/relationships/hyperlink" Target="https://youtu.be/_hxZ7iKLy5o" TargetMode="External"/><Relationship Id="rId112" Type="http://schemas.openxmlformats.org/officeDocument/2006/relationships/hyperlink" Target="https://youtu.be/Ch-k_-Vo8Kk" TargetMode="External"/><Relationship Id="rId557" Type="http://schemas.openxmlformats.org/officeDocument/2006/relationships/hyperlink" Target="https://inswave01.atlassian.net/wiki/download/attachments/1245473/mergeExcludeValue_GridView.xml?version=1&amp;modificationDate=1687764301000&amp;cacheVersion=1&amp;api=v2" TargetMode="External"/><Relationship Id="rId196" Type="http://schemas.openxmlformats.org/officeDocument/2006/relationships/hyperlink" Target="https://youtu.be/L1GGULl6cFA" TargetMode="External"/><Relationship Id="rId417" Type="http://schemas.openxmlformats.org/officeDocument/2006/relationships/hyperlink" Target="https://youtu.be/xYWDzyqORV8" TargetMode="External"/><Relationship Id="rId624" Type="http://schemas.openxmlformats.org/officeDocument/2006/relationships/hyperlink" Target="https://youtu.be/ZwOzIKH8X5w" TargetMode="External"/><Relationship Id="rId263" Type="http://schemas.openxmlformats.org/officeDocument/2006/relationships/hyperlink" Target="https://youtu.be/fC1l-5e1vhc" TargetMode="External"/><Relationship Id="rId470" Type="http://schemas.openxmlformats.org/officeDocument/2006/relationships/hyperlink" Target="https://youtu.be/Z2Mrdxt2uws" TargetMode="External"/><Relationship Id="rId58" Type="http://schemas.openxmlformats.org/officeDocument/2006/relationships/hyperlink" Target="https://youtu.be/Jcjnt96eANc" TargetMode="External"/><Relationship Id="rId123" Type="http://schemas.openxmlformats.org/officeDocument/2006/relationships/hyperlink" Target="https://youtu.be/jS5FuFdu7eo" TargetMode="External"/><Relationship Id="rId330" Type="http://schemas.openxmlformats.org/officeDocument/2006/relationships/hyperlink" Target="https://youtu.be/e9pyaRENWO0" TargetMode="External"/><Relationship Id="rId568" Type="http://schemas.openxmlformats.org/officeDocument/2006/relationships/hyperlink" Target="https://inswave01.atlassian.net/wiki/download/attachments/1245483/onheadermouseover_onheadermouseout_GridView.xml?version=1&amp;modificationDate=1710228203000&amp;cacheVersion=1&amp;api=v2" TargetMode="External"/><Relationship Id="rId428" Type="http://schemas.openxmlformats.org/officeDocument/2006/relationships/hyperlink" Target="https://youtu.be/MrfVKex3yE4" TargetMode="External"/><Relationship Id="rId635" Type="http://schemas.openxmlformats.org/officeDocument/2006/relationships/hyperlink" Target="https://inswave01.atlassian.net/wiki/download/attachments/1245473/mergeCells_mergeByColRec_GridView.xml?version=1&amp;modificationDate=1732149201034&amp;cacheVersion=1&amp;api=v2" TargetMode="External"/><Relationship Id="rId274" Type="http://schemas.openxmlformats.org/officeDocument/2006/relationships/hyperlink" Target="https://youtu.be/W8AuO1d5E_o" TargetMode="External"/><Relationship Id="rId481" Type="http://schemas.openxmlformats.org/officeDocument/2006/relationships/hyperlink" Target="https://youtu.be/0sXLZTHPR9E" TargetMode="External"/><Relationship Id="rId69" Type="http://schemas.openxmlformats.org/officeDocument/2006/relationships/hyperlink" Target="https://youtu.be/PlMxvfTZ55o" TargetMode="External"/><Relationship Id="rId134" Type="http://schemas.openxmlformats.org/officeDocument/2006/relationships/hyperlink" Target="https://youtu.be/HlxA08cFll4" TargetMode="External"/><Relationship Id="rId579" Type="http://schemas.openxmlformats.org/officeDocument/2006/relationships/hyperlink" Target="https://inswave01.atlassian.net/wiki/download/attachments/1245393/introduction_DataList.xml?version=1&amp;modificationDate=1651797434000&amp;cacheVersion=1&amp;api=v2" TargetMode="External"/><Relationship Id="rId341" Type="http://schemas.openxmlformats.org/officeDocument/2006/relationships/hyperlink" Target="https://youtu.be/QIBmgFv5pho" TargetMode="External"/><Relationship Id="rId439" Type="http://schemas.openxmlformats.org/officeDocument/2006/relationships/hyperlink" Target="https://youtu.be/wKSARWUQoI4" TargetMode="External"/><Relationship Id="rId646" Type="http://schemas.openxmlformats.org/officeDocument/2006/relationships/hyperlink" Target="https://youtu.be/NCAJNV0oRJs" TargetMode="External"/><Relationship Id="rId201" Type="http://schemas.openxmlformats.org/officeDocument/2006/relationships/hyperlink" Target="https://youtu.be/vftrJvR2tT8" TargetMode="External"/><Relationship Id="rId243" Type="http://schemas.openxmlformats.org/officeDocument/2006/relationships/hyperlink" Target="https://youtu.be/CcE_1CQpaq4" TargetMode="External"/><Relationship Id="rId285" Type="http://schemas.openxmlformats.org/officeDocument/2006/relationships/hyperlink" Target="https://youtu.be/gobAwLOYX1I" TargetMode="External"/><Relationship Id="rId450" Type="http://schemas.openxmlformats.org/officeDocument/2006/relationships/hyperlink" Target="https://youtu.be/5NzApu6W4kA" TargetMode="External"/><Relationship Id="rId506" Type="http://schemas.openxmlformats.org/officeDocument/2006/relationships/hyperlink" Target="https://youtu.be/Fri9OfVgPDQ" TargetMode="External"/><Relationship Id="rId38" Type="http://schemas.openxmlformats.org/officeDocument/2006/relationships/hyperlink" Target="https://youtu.be/2Fzwxj5d7SU" TargetMode="External"/><Relationship Id="rId103" Type="http://schemas.openxmlformats.org/officeDocument/2006/relationships/hyperlink" Target="https://youtu.be/JvQNnEjHWzc" TargetMode="External"/><Relationship Id="rId310" Type="http://schemas.openxmlformats.org/officeDocument/2006/relationships/hyperlink" Target="https://youtu.be/8xNf3eVmV84" TargetMode="External"/><Relationship Id="rId492" Type="http://schemas.openxmlformats.org/officeDocument/2006/relationships/hyperlink" Target="https://youtu.be/mshwMU5eCQ4" TargetMode="External"/><Relationship Id="rId548" Type="http://schemas.openxmlformats.org/officeDocument/2006/relationships/hyperlink" Target="https://inswave01.atlassian.net/wiki/download/attachments/1245461/fixedColumn_columnMove_fixedColumnNoMove_GridView.xml?version=1&amp;modificationDate=1715644102000&amp;cacheVersion=1&amp;api=v2" TargetMode="External"/><Relationship Id="rId91" Type="http://schemas.openxmlformats.org/officeDocument/2006/relationships/hyperlink" Target="https://youtu.be/Mycybcw6kZ4" TargetMode="External"/><Relationship Id="rId145" Type="http://schemas.openxmlformats.org/officeDocument/2006/relationships/hyperlink" Target="https://youtu.be/456lXCr-O0Y" TargetMode="External"/><Relationship Id="rId187" Type="http://schemas.openxmlformats.org/officeDocument/2006/relationships/hyperlink" Target="https://youtu.be/rHG-CO9T2eI" TargetMode="External"/><Relationship Id="rId352" Type="http://schemas.openxmlformats.org/officeDocument/2006/relationships/hyperlink" Target="https://youtu.be/OX2SjjkP-2s" TargetMode="External"/><Relationship Id="rId394" Type="http://schemas.openxmlformats.org/officeDocument/2006/relationships/hyperlink" Target="https://youtu.be/P-vOAmfu4mw" TargetMode="External"/><Relationship Id="rId408" Type="http://schemas.openxmlformats.org/officeDocument/2006/relationships/hyperlink" Target="https://youtu.be/A--6TD6vDCM" TargetMode="External"/><Relationship Id="rId615" Type="http://schemas.openxmlformats.org/officeDocument/2006/relationships/hyperlink" Target="https://inswave01.atlassian.net/wiki/download/attachments/1245397/setDayNameStyle_ScheduleCalendar.xml?version=1&amp;modificationDate=1725260153054&amp;cacheVersion=1&amp;api=v2" TargetMode="External"/><Relationship Id="rId212" Type="http://schemas.openxmlformats.org/officeDocument/2006/relationships/hyperlink" Target="https://youtu.be/iqsNUcLaBIU" TargetMode="External"/><Relationship Id="rId254" Type="http://schemas.openxmlformats.org/officeDocument/2006/relationships/hyperlink" Target="https://youtu.be/pGqUHCFEVoo" TargetMode="External"/><Relationship Id="rId657" Type="http://schemas.openxmlformats.org/officeDocument/2006/relationships/hyperlink" Target="https://youtu.be/crqRrjPWwP8" TargetMode="External"/><Relationship Id="rId49" Type="http://schemas.openxmlformats.org/officeDocument/2006/relationships/hyperlink" Target="https://youtu.be/x40RQUFAS3c" TargetMode="External"/><Relationship Id="rId114" Type="http://schemas.openxmlformats.org/officeDocument/2006/relationships/hyperlink" Target="https://youtu.be/OT_ps7WMpz4" TargetMode="External"/><Relationship Id="rId296" Type="http://schemas.openxmlformats.org/officeDocument/2006/relationships/hyperlink" Target="https://youtu.be/qH62eyFsngM" TargetMode="External"/><Relationship Id="rId461" Type="http://schemas.openxmlformats.org/officeDocument/2006/relationships/hyperlink" Target="https://youtu.be/uwM_6AqWc9Q" TargetMode="External"/><Relationship Id="rId517" Type="http://schemas.openxmlformats.org/officeDocument/2006/relationships/hyperlink" Target="https://youtu.be/q5B8xYNWFJA" TargetMode="External"/><Relationship Id="rId559" Type="http://schemas.openxmlformats.org/officeDocument/2006/relationships/hyperlink" Target="https://inswave01.atlassian.net/wiki/download/attachments/1245536/method_Page_Component.zip?version=1&amp;modificationDate=1716529408000&amp;cacheVersion=1&amp;api=v2" TargetMode="External"/><Relationship Id="rId60" Type="http://schemas.openxmlformats.org/officeDocument/2006/relationships/hyperlink" Target="https://youtu.be/BA_jfVX_whE" TargetMode="External"/><Relationship Id="rId156" Type="http://schemas.openxmlformats.org/officeDocument/2006/relationships/hyperlink" Target="https://youtu.be/tw5OYIVIRHQ" TargetMode="External"/><Relationship Id="rId198" Type="http://schemas.openxmlformats.org/officeDocument/2006/relationships/hyperlink" Target="https://youtu.be/GQtn0YSOPmc" TargetMode="External"/><Relationship Id="rId321" Type="http://schemas.openxmlformats.org/officeDocument/2006/relationships/hyperlink" Target="https://youtu.be/GXJI2Es0vLA" TargetMode="External"/><Relationship Id="rId363" Type="http://schemas.openxmlformats.org/officeDocument/2006/relationships/hyperlink" Target="https://youtu.be/6tF7LMesjgM" TargetMode="External"/><Relationship Id="rId419" Type="http://schemas.openxmlformats.org/officeDocument/2006/relationships/hyperlink" Target="https://youtu.be/cC8x3EOvoEM" TargetMode="External"/><Relationship Id="rId570" Type="http://schemas.openxmlformats.org/officeDocument/2006/relationships/hyperlink" Target="https://inswave01.atlassian.net/wiki/download/attachments/11665409/onpageframeload_onbeforepageframeunload_PageFrame.zip?version=1&amp;modificationDate=1718677204697&amp;cacheVersion=1&amp;api=v2" TargetMode="External"/><Relationship Id="rId626" Type="http://schemas.openxmlformats.org/officeDocument/2006/relationships/hyperlink" Target="https://inswave01.atlassian.net/wiki/download/attachments/1245393/getRefComponent_DataMap.xml?version=1&amp;modificationDate=1730938638016&amp;cacheVersion=1&amp;api=v2" TargetMode="External"/><Relationship Id="rId223" Type="http://schemas.openxmlformats.org/officeDocument/2006/relationships/hyperlink" Target="https://youtu.be/-_7Mjl_BPdg" TargetMode="External"/><Relationship Id="rId430" Type="http://schemas.openxmlformats.org/officeDocument/2006/relationships/hyperlink" Target="https://youtu.be/ghQHUfvTGEc" TargetMode="External"/><Relationship Id="rId668" Type="http://schemas.openxmlformats.org/officeDocument/2006/relationships/hyperlink" Target="https://inswave01.atlassian.net/wiki/download/attachments/1245453/executeSubmission_$p_DataList_GridView.zip?version=1&amp;modificationDate=1652235109000&amp;cacheVersion=1&amp;api=v2" TargetMode="External"/><Relationship Id="rId18" Type="http://schemas.openxmlformats.org/officeDocument/2006/relationships/hyperlink" Target="https://youtu.be/PfhoJKm7BPU" TargetMode="External"/><Relationship Id="rId265" Type="http://schemas.openxmlformats.org/officeDocument/2006/relationships/hyperlink" Target="https://youtu.be/Qcdc1Xg2Gx8" TargetMode="External"/><Relationship Id="rId472" Type="http://schemas.openxmlformats.org/officeDocument/2006/relationships/hyperlink" Target="https://youtu.be/FFOc-jYbgEw" TargetMode="External"/><Relationship Id="rId528" Type="http://schemas.openxmlformats.org/officeDocument/2006/relationships/hyperlink" Target="https://inswave01.atlassian.net/wiki/download/attachments/1245385/2021%20-%2007%20$p%20(isPopUp).zip?version=1&amp;modificationDate=1625539263000&amp;cacheVersion=1&amp;api=v2" TargetMode="External"/><Relationship Id="rId125" Type="http://schemas.openxmlformats.org/officeDocument/2006/relationships/hyperlink" Target="https://youtu.be/r3KLpDW8US0" TargetMode="External"/><Relationship Id="rId167" Type="http://schemas.openxmlformats.org/officeDocument/2006/relationships/hyperlink" Target="https://youtu.be/ydxGwxMrdzw" TargetMode="External"/><Relationship Id="rId332" Type="http://schemas.openxmlformats.org/officeDocument/2006/relationships/hyperlink" Target="https://youtu.be/f0wjJ7mRjsM" TargetMode="External"/><Relationship Id="rId374" Type="http://schemas.openxmlformats.org/officeDocument/2006/relationships/hyperlink" Target="https://youtu.be/0TGGOtcwl-Q" TargetMode="External"/><Relationship Id="rId581" Type="http://schemas.openxmlformats.org/officeDocument/2006/relationships/hyperlink" Target="https://inswave01.atlassian.net/wiki/download/attachments/1245391/setMaxByteLength_InputBox.xml?version=1&amp;modificationDate=1696893363000&amp;cacheVersion=1&amp;api=v2" TargetMode="External"/><Relationship Id="rId71" Type="http://schemas.openxmlformats.org/officeDocument/2006/relationships/hyperlink" Target="https://youtu.be/QyALhNlbbWk" TargetMode="External"/><Relationship Id="rId234" Type="http://schemas.openxmlformats.org/officeDocument/2006/relationships/hyperlink" Target="https://youtu.be/54iqywe5iF0" TargetMode="External"/><Relationship Id="rId637" Type="http://schemas.openxmlformats.org/officeDocument/2006/relationships/hyperlink" Target="https://youtu.be/Lsv70-rBMMg" TargetMode="External"/><Relationship Id="rId2" Type="http://schemas.openxmlformats.org/officeDocument/2006/relationships/hyperlink" Target="https://youtu.be/2ifAe7gA_28" TargetMode="External"/><Relationship Id="rId29" Type="http://schemas.openxmlformats.org/officeDocument/2006/relationships/hyperlink" Target="https://youtu.be/xQi_mH-rcXs" TargetMode="External"/><Relationship Id="rId276" Type="http://schemas.openxmlformats.org/officeDocument/2006/relationships/hyperlink" Target="https://youtu.be/7qlRlBlOwko" TargetMode="External"/><Relationship Id="rId441" Type="http://schemas.openxmlformats.org/officeDocument/2006/relationships/hyperlink" Target="https://youtu.be/diWw0lLhNCs" TargetMode="External"/><Relationship Id="rId483" Type="http://schemas.openxmlformats.org/officeDocument/2006/relationships/hyperlink" Target="https://youtu.be/pSTt1MH9vAY" TargetMode="External"/><Relationship Id="rId539" Type="http://schemas.openxmlformats.org/officeDocument/2006/relationships/hyperlink" Target="https://inswave01.atlassian.net/wiki/download/attachments/1245423/columnEllipsis_CheckComboBox.xml?version=1&amp;modificationDate=1709857872000&amp;cacheVersion=1&amp;api=v2" TargetMode="External"/><Relationship Id="rId40" Type="http://schemas.openxmlformats.org/officeDocument/2006/relationships/hyperlink" Target="https://youtu.be/xbtkTRYbHq4" TargetMode="External"/><Relationship Id="rId136" Type="http://schemas.openxmlformats.org/officeDocument/2006/relationships/hyperlink" Target="https://youtu.be/woovMy277dg" TargetMode="External"/><Relationship Id="rId178" Type="http://schemas.openxmlformats.org/officeDocument/2006/relationships/hyperlink" Target="https://youtu.be/k6mRK45a-2I" TargetMode="External"/><Relationship Id="rId301" Type="http://schemas.openxmlformats.org/officeDocument/2006/relationships/hyperlink" Target="https://youtu.be/kyAnzuh-0fc" TargetMode="External"/><Relationship Id="rId343" Type="http://schemas.openxmlformats.org/officeDocument/2006/relationships/hyperlink" Target="https://youtu.be/v65iVnWntpk" TargetMode="External"/><Relationship Id="rId550" Type="http://schemas.openxmlformats.org/officeDocument/2006/relationships/hyperlink" Target="https://inswave01.atlassian.net/wiki/download/attachments/1245461/setFocusedCell_GridView.xml?version=1&amp;modificationDate=1711061985000&amp;cacheVersion=1&amp;api=v2" TargetMode="External"/><Relationship Id="rId82" Type="http://schemas.openxmlformats.org/officeDocument/2006/relationships/hyperlink" Target="https://youtu.be/rvPiBK7qh2o" TargetMode="External"/><Relationship Id="rId203" Type="http://schemas.openxmlformats.org/officeDocument/2006/relationships/hyperlink" Target="https://youtu.be/wC8QoEawA0Y" TargetMode="External"/><Relationship Id="rId385" Type="http://schemas.openxmlformats.org/officeDocument/2006/relationships/hyperlink" Target="https://youtu.be/-URZvBoXkI4" TargetMode="External"/><Relationship Id="rId592" Type="http://schemas.openxmlformats.org/officeDocument/2006/relationships/hyperlink" Target="https://youtu.be/G8l864qjL6M" TargetMode="External"/><Relationship Id="rId606" Type="http://schemas.openxmlformats.org/officeDocument/2006/relationships/hyperlink" Target="https://inswave01.atlassian.net/wiki/download/attachments/119275521/setCellClass_GridView.xml?version=1&amp;modificationDate=1724111357486&amp;cacheVersion=1&amp;api=v2" TargetMode="External"/><Relationship Id="rId648" Type="http://schemas.openxmlformats.org/officeDocument/2006/relationships/hyperlink" Target="https://inswave01.atlassian.net/wiki/download/attachments/299925505/getAllDataCollection_data_$p.zip?version=1&amp;modificationDate=1733113693806&amp;cacheVersion=1&amp;api=v2" TargetMode="External"/><Relationship Id="rId245" Type="http://schemas.openxmlformats.org/officeDocument/2006/relationships/hyperlink" Target="https://youtu.be/yWgZuaPL_JQ" TargetMode="External"/><Relationship Id="rId287" Type="http://schemas.openxmlformats.org/officeDocument/2006/relationships/hyperlink" Target="https://youtu.be/Hqf9A7mc2JQ" TargetMode="External"/><Relationship Id="rId410" Type="http://schemas.openxmlformats.org/officeDocument/2006/relationships/hyperlink" Target="https://youtu.be/EnBiNklDR9U" TargetMode="External"/><Relationship Id="rId452" Type="http://schemas.openxmlformats.org/officeDocument/2006/relationships/hyperlink" Target="https://youtu.be/_TfJtScLtoQ" TargetMode="External"/><Relationship Id="rId494" Type="http://schemas.openxmlformats.org/officeDocument/2006/relationships/hyperlink" Target="https://youtu.be/scCOCdn5lLU" TargetMode="External"/><Relationship Id="rId508" Type="http://schemas.openxmlformats.org/officeDocument/2006/relationships/hyperlink" Target="https://youtu.be/z39Up6VLbnY" TargetMode="External"/><Relationship Id="rId105" Type="http://schemas.openxmlformats.org/officeDocument/2006/relationships/hyperlink" Target="https://youtu.be/9iG--eshvBI" TargetMode="External"/><Relationship Id="rId147" Type="http://schemas.openxmlformats.org/officeDocument/2006/relationships/hyperlink" Target="https://youtu.be/l8O6aKN-NwQ" TargetMode="External"/><Relationship Id="rId312" Type="http://schemas.openxmlformats.org/officeDocument/2006/relationships/hyperlink" Target="https://youtu.be/hsqXcU-qWNY" TargetMode="External"/><Relationship Id="rId354" Type="http://schemas.openxmlformats.org/officeDocument/2006/relationships/hyperlink" Target="https://youtu.be/zs1aRFTlUHc" TargetMode="External"/><Relationship Id="rId51" Type="http://schemas.openxmlformats.org/officeDocument/2006/relationships/hyperlink" Target="https://youtu.be/Kk7D_8F6kOY" TargetMode="External"/><Relationship Id="rId93" Type="http://schemas.openxmlformats.org/officeDocument/2006/relationships/hyperlink" Target="https://youtu.be/7DGZtipfrf0" TargetMode="External"/><Relationship Id="rId189" Type="http://schemas.openxmlformats.org/officeDocument/2006/relationships/hyperlink" Target="https://youtu.be/nt3DExi4iTs" TargetMode="External"/><Relationship Id="rId396" Type="http://schemas.openxmlformats.org/officeDocument/2006/relationships/hyperlink" Target="https://youtu.be/E_fmzz4D0Zo" TargetMode="External"/><Relationship Id="rId561" Type="http://schemas.openxmlformats.org/officeDocument/2006/relationships/hyperlink" Target="https://inswave01.atlassian.net/wiki/download/attachments/1245419/visibleRowNum_setVisibleRowNum_SelectBox.xml?version=1&amp;modificationDate=1717544722000&amp;cacheVersion=1&amp;api=v2" TargetMode="External"/><Relationship Id="rId617" Type="http://schemas.openxmlformats.org/officeDocument/2006/relationships/hyperlink" Target="https://inswave01.atlassian.net/wiki/download/attachments/1245461/hideDeletedRow_GridView.xml?version=1&amp;modificationDate=1725414275819&amp;cacheVersion=1&amp;api=v2" TargetMode="External"/><Relationship Id="rId659" Type="http://schemas.openxmlformats.org/officeDocument/2006/relationships/hyperlink" Target="https://youtu.be/C26EtlEj9ZY" TargetMode="External"/><Relationship Id="rId214" Type="http://schemas.openxmlformats.org/officeDocument/2006/relationships/hyperlink" Target="https://youtu.be/5lO3ZLmhBHc" TargetMode="External"/><Relationship Id="rId256" Type="http://schemas.openxmlformats.org/officeDocument/2006/relationships/hyperlink" Target="https://youtu.be/Ggkkn42zZMU" TargetMode="External"/><Relationship Id="rId298" Type="http://schemas.openxmlformats.org/officeDocument/2006/relationships/hyperlink" Target="https://youtu.be/UF44Y8TMKOs" TargetMode="External"/><Relationship Id="rId421" Type="http://schemas.openxmlformats.org/officeDocument/2006/relationships/hyperlink" Target="https://youtu.be/QBhIlGbTAFE" TargetMode="External"/><Relationship Id="rId463" Type="http://schemas.openxmlformats.org/officeDocument/2006/relationships/hyperlink" Target="https://youtu.be/vf18BZmGuoQ" TargetMode="External"/><Relationship Id="rId519" Type="http://schemas.openxmlformats.org/officeDocument/2006/relationships/hyperlink" Target="https://inswave01.atlassian.net/wiki/download/attachments/1245441/textAlign_MultiSelect.xml?version=1&amp;modificationDate=1718584037574&amp;cacheVersion=1&amp;api=v2" TargetMode="External"/><Relationship Id="rId670" Type="http://schemas.openxmlformats.org/officeDocument/2006/relationships/hyperlink" Target="https://inswave01.atlassian.net/wiki/download/attachments/1245431/tabScroll_tabScrollAuto_TabControl.zip?version=2&amp;modificationDate=1758777020130&amp;cacheVersion=1&amp;api=v2" TargetMode="External"/><Relationship Id="rId116" Type="http://schemas.openxmlformats.org/officeDocument/2006/relationships/hyperlink" Target="https://youtu.be/AteLPAoIYK8" TargetMode="External"/><Relationship Id="rId158" Type="http://schemas.openxmlformats.org/officeDocument/2006/relationships/hyperlink" Target="https://youtu.be/0IybbS4LnxU" TargetMode="External"/><Relationship Id="rId323" Type="http://schemas.openxmlformats.org/officeDocument/2006/relationships/hyperlink" Target="https://youtu.be/vt8qnfyYq4k" TargetMode="External"/><Relationship Id="rId530" Type="http://schemas.openxmlformats.org/officeDocument/2006/relationships/hyperlink" Target="https://inswave01.atlassian.net/wiki/download/attachments/1245385/openPopup_$p.zip?version=1&amp;modificationDate=1654844550000&amp;cacheVersion=1&amp;api=v2" TargetMode="External"/><Relationship Id="rId20" Type="http://schemas.openxmlformats.org/officeDocument/2006/relationships/hyperlink" Target="https://youtu.be/iWo8SKPH_-0" TargetMode="External"/><Relationship Id="rId62" Type="http://schemas.openxmlformats.org/officeDocument/2006/relationships/hyperlink" Target="https://youtu.be/z8XAjzKVfDw" TargetMode="External"/><Relationship Id="rId365" Type="http://schemas.openxmlformats.org/officeDocument/2006/relationships/hyperlink" Target="https://youtu.be/BcEO_wVyTc8" TargetMode="External"/><Relationship Id="rId572" Type="http://schemas.openxmlformats.org/officeDocument/2006/relationships/hyperlink" Target="https://youtu.be/552eX01PYpo" TargetMode="External"/><Relationship Id="rId628" Type="http://schemas.openxmlformats.org/officeDocument/2006/relationships/hyperlink" Target="https://youtu.be/j1AdS2AJ5kY" TargetMode="External"/><Relationship Id="rId225" Type="http://schemas.openxmlformats.org/officeDocument/2006/relationships/hyperlink" Target="https://youtu.be/nGZQwuYFjkg" TargetMode="External"/><Relationship Id="rId267" Type="http://schemas.openxmlformats.org/officeDocument/2006/relationships/hyperlink" Target="https://youtu.be/Hz_tUrOeOsY" TargetMode="External"/><Relationship Id="rId432" Type="http://schemas.openxmlformats.org/officeDocument/2006/relationships/hyperlink" Target="https://youtu.be/zLzBjz4tYac" TargetMode="External"/><Relationship Id="rId474" Type="http://schemas.openxmlformats.org/officeDocument/2006/relationships/hyperlink" Target="https://youtu.be/xwjp0Oc0Cns" TargetMode="External"/><Relationship Id="rId127" Type="http://schemas.openxmlformats.org/officeDocument/2006/relationships/hyperlink" Target="https://youtu.be/VcJP7qwDR3k" TargetMode="External"/><Relationship Id="rId31" Type="http://schemas.openxmlformats.org/officeDocument/2006/relationships/hyperlink" Target="https://youtu.be/mq_Zq0H_K9c" TargetMode="External"/><Relationship Id="rId73" Type="http://schemas.openxmlformats.org/officeDocument/2006/relationships/hyperlink" Target="https://youtu.be/CH5iy7atQh0" TargetMode="External"/><Relationship Id="rId169" Type="http://schemas.openxmlformats.org/officeDocument/2006/relationships/hyperlink" Target="https://youtu.be/1WYG-PFPrWA" TargetMode="External"/><Relationship Id="rId334" Type="http://schemas.openxmlformats.org/officeDocument/2006/relationships/hyperlink" Target="https://youtu.be/zLYqYH7B1Ic" TargetMode="External"/><Relationship Id="rId376" Type="http://schemas.openxmlformats.org/officeDocument/2006/relationships/hyperlink" Target="https://youtu.be/brUpez4WXvc" TargetMode="External"/><Relationship Id="rId541" Type="http://schemas.openxmlformats.org/officeDocument/2006/relationships/hyperlink" Target="https://inswave01.atlassian.net/wiki/download/attachments/1245423/visibleRowNum_setVisibleRowNum_CheckComboBox.xml?version=1&amp;modificationDate=1716181590000&amp;cacheVersion=1&amp;api=v2" TargetMode="External"/><Relationship Id="rId583" Type="http://schemas.openxmlformats.org/officeDocument/2006/relationships/hyperlink" Target="https://inswave01.atlassian.net/wiki/download/attachments/1245421/validate_displaymessage_invalidMessage_invalidMessageFunc_Secret.xml?version=1&amp;modificationDate=1653458402000&amp;cacheVersion=1&amp;api=v2" TargetMode="External"/><Relationship Id="rId639" Type="http://schemas.openxmlformats.org/officeDocument/2006/relationships/hyperlink" Target="https://youtu.be/CkW9YXR0w7g" TargetMode="External"/><Relationship Id="rId4" Type="http://schemas.openxmlformats.org/officeDocument/2006/relationships/hyperlink" Target="https://youtu.be/pCpFEoC7Rm8" TargetMode="External"/><Relationship Id="rId180" Type="http://schemas.openxmlformats.org/officeDocument/2006/relationships/hyperlink" Target="https://youtu.be/pk816oMqbBg" TargetMode="External"/><Relationship Id="rId236" Type="http://schemas.openxmlformats.org/officeDocument/2006/relationships/hyperlink" Target="https://youtu.be/81mP-CegE6k" TargetMode="External"/><Relationship Id="rId278" Type="http://schemas.openxmlformats.org/officeDocument/2006/relationships/hyperlink" Target="https://youtu.be/PBOW9xKzEpM" TargetMode="External"/><Relationship Id="rId401" Type="http://schemas.openxmlformats.org/officeDocument/2006/relationships/hyperlink" Target="https://youtu.be/yPEr8hbp158" TargetMode="External"/><Relationship Id="rId443" Type="http://schemas.openxmlformats.org/officeDocument/2006/relationships/hyperlink" Target="https://youtu.be/Wty0OZuJkK4" TargetMode="External"/><Relationship Id="rId650" Type="http://schemas.openxmlformats.org/officeDocument/2006/relationships/hyperlink" Target="https://inswave01.atlassian.net/wiki/download/attachments/1245431/closable_alwaysShowCloseBtn_TabControl%20.xml?version=1&amp;modificationDate=1733202747909&amp;cacheVersion=1&amp;api=v2" TargetMode="External"/><Relationship Id="rId303" Type="http://schemas.openxmlformats.org/officeDocument/2006/relationships/hyperlink" Target="https://youtu.be/Vxrj5-Wmzjk" TargetMode="External"/><Relationship Id="rId485" Type="http://schemas.openxmlformats.org/officeDocument/2006/relationships/hyperlink" Target="https://youtu.be/OZehI_ObKQE" TargetMode="External"/><Relationship Id="rId42" Type="http://schemas.openxmlformats.org/officeDocument/2006/relationships/hyperlink" Target="https://youtu.be/BuRyN4ZxtfY" TargetMode="External"/><Relationship Id="rId84" Type="http://schemas.openxmlformats.org/officeDocument/2006/relationships/hyperlink" Target="https://youtu.be/wXujNpIOb7Q" TargetMode="External"/><Relationship Id="rId138" Type="http://schemas.openxmlformats.org/officeDocument/2006/relationships/hyperlink" Target="https://youtu.be/YvEkki38gz8" TargetMode="External"/><Relationship Id="rId345" Type="http://schemas.openxmlformats.org/officeDocument/2006/relationships/hyperlink" Target="https://youtu.be/S0G_wQvhRNI" TargetMode="External"/><Relationship Id="rId387" Type="http://schemas.openxmlformats.org/officeDocument/2006/relationships/hyperlink" Target="https://youtu.be/CTF5kjlN10k" TargetMode="External"/><Relationship Id="rId510" Type="http://schemas.openxmlformats.org/officeDocument/2006/relationships/hyperlink" Target="https://youtu.be/g2DnSjLK56k" TargetMode="External"/><Relationship Id="rId552" Type="http://schemas.openxmlformats.org/officeDocument/2006/relationships/hyperlink" Target="https://inswave01.atlassian.net/wiki/download/attachments/1245461/setRowVisible_clearRowVisible_GridView.zip?version=1&amp;modificationDate=1654561522000&amp;cacheVersion=1&amp;api=v2" TargetMode="External"/><Relationship Id="rId594" Type="http://schemas.openxmlformats.org/officeDocument/2006/relationships/hyperlink" Target="https://inswave01.atlassian.net/wiki/download/attachments/1245393/preserveType_DataMap.xml?version=1&amp;modificationDate=1723183259217&amp;cacheVersion=1&amp;api=v2" TargetMode="External"/><Relationship Id="rId608" Type="http://schemas.openxmlformats.org/officeDocument/2006/relationships/hyperlink" Target="https://inswave01.atlassian.net/wiki/download/attachments/119275521/setCellStyle_GridView.xml?version=1&amp;modificationDate=1724111324684&amp;cacheVersion=1&amp;api=v2" TargetMode="External"/><Relationship Id="rId191" Type="http://schemas.openxmlformats.org/officeDocument/2006/relationships/hyperlink" Target="https://youtu.be/eJTTpnbLIeY" TargetMode="External"/><Relationship Id="rId205" Type="http://schemas.openxmlformats.org/officeDocument/2006/relationships/hyperlink" Target="https://youtu.be/dxBR0tn6hs0" TargetMode="External"/><Relationship Id="rId247" Type="http://schemas.openxmlformats.org/officeDocument/2006/relationships/hyperlink" Target="https://youtu.be/bVHR842dBRQ" TargetMode="External"/><Relationship Id="rId412" Type="http://schemas.openxmlformats.org/officeDocument/2006/relationships/hyperlink" Target="https://youtu.be/p0th8QQ66B4" TargetMode="External"/><Relationship Id="rId107" Type="http://schemas.openxmlformats.org/officeDocument/2006/relationships/hyperlink" Target="https://youtu.be/R2pEQDkH6Yw" TargetMode="External"/><Relationship Id="rId289" Type="http://schemas.openxmlformats.org/officeDocument/2006/relationships/hyperlink" Target="https://youtu.be/8rBgo85KGMY" TargetMode="External"/><Relationship Id="rId454" Type="http://schemas.openxmlformats.org/officeDocument/2006/relationships/hyperlink" Target="https://youtu.be/ErLyI5k1OGs" TargetMode="External"/><Relationship Id="rId496" Type="http://schemas.openxmlformats.org/officeDocument/2006/relationships/hyperlink" Target="https://youtu.be/gWexCY9D70Y" TargetMode="External"/><Relationship Id="rId661" Type="http://schemas.openxmlformats.org/officeDocument/2006/relationships/hyperlink" Target="https://youtu.be/CdnZZKNvhYk" TargetMode="External"/><Relationship Id="rId11" Type="http://schemas.openxmlformats.org/officeDocument/2006/relationships/hyperlink" Target="https://youtu.be/ZVnDEldLee0" TargetMode="External"/><Relationship Id="rId53" Type="http://schemas.openxmlformats.org/officeDocument/2006/relationships/hyperlink" Target="https://youtu.be/dPBccNsVIGg" TargetMode="External"/><Relationship Id="rId149" Type="http://schemas.openxmlformats.org/officeDocument/2006/relationships/hyperlink" Target="https://youtu.be/bhtHwu1yiOQ" TargetMode="External"/><Relationship Id="rId314" Type="http://schemas.openxmlformats.org/officeDocument/2006/relationships/hyperlink" Target="https://youtu.be/T6Jz2O14CKo" TargetMode="External"/><Relationship Id="rId356" Type="http://schemas.openxmlformats.org/officeDocument/2006/relationships/hyperlink" Target="https://youtu.be/N6bmaCLL__I" TargetMode="External"/><Relationship Id="rId398" Type="http://schemas.openxmlformats.org/officeDocument/2006/relationships/hyperlink" Target="https://youtu.be/boSQiWkQzAM" TargetMode="External"/><Relationship Id="rId521" Type="http://schemas.openxmlformats.org/officeDocument/2006/relationships/hyperlink" Target="https://inswave01.atlassian.net/wiki/download/attachments/1245459/dynamicCreate_$p_UDC.zip?version=1&amp;modificationDate=1663548551000&amp;cacheVersion=1&amp;api=v2" TargetMode="External"/><Relationship Id="rId563" Type="http://schemas.openxmlformats.org/officeDocument/2006/relationships/hyperlink" Target="https://inswave01.atlassian.net/wiki/download/attachments/1245443/setNodeClass_removeNodeClass_TreeView.xml?version=1&amp;modificationDate=1710467964000&amp;cacheVersion=1&amp;api=v2" TargetMode="External"/><Relationship Id="rId619" Type="http://schemas.openxmlformats.org/officeDocument/2006/relationships/hyperlink" Target="https://youtu.be/tmJwhCkyO_g" TargetMode="External"/><Relationship Id="rId95" Type="http://schemas.openxmlformats.org/officeDocument/2006/relationships/hyperlink" Target="https://youtu.be/1THvU4kuA5Y" TargetMode="External"/><Relationship Id="rId160" Type="http://schemas.openxmlformats.org/officeDocument/2006/relationships/hyperlink" Target="https://youtu.be/ldOW5p20Bn8" TargetMode="External"/><Relationship Id="rId216" Type="http://schemas.openxmlformats.org/officeDocument/2006/relationships/hyperlink" Target="https://youtu.be/VtwE8p1ALfc" TargetMode="External"/><Relationship Id="rId423" Type="http://schemas.openxmlformats.org/officeDocument/2006/relationships/hyperlink" Target="https://youtu.be/JLiEwelGx04" TargetMode="External"/><Relationship Id="rId258" Type="http://schemas.openxmlformats.org/officeDocument/2006/relationships/hyperlink" Target="https://youtu.be/eTRv-LKnm4M" TargetMode="External"/><Relationship Id="rId465" Type="http://schemas.openxmlformats.org/officeDocument/2006/relationships/hyperlink" Target="https://youtu.be/VzIe7dhYnCs" TargetMode="External"/><Relationship Id="rId630" Type="http://schemas.openxmlformats.org/officeDocument/2006/relationships/hyperlink" Target="https://youtu.be/VOn4wsIrBTA" TargetMode="External"/><Relationship Id="rId672" Type="http://schemas.openxmlformats.org/officeDocument/2006/relationships/hyperlink" Target="https://inswave01.atlassian.net/wiki/download/attachments/1245433/2021%20-%2007%20config.xml%20(exceptEmptyValue).zip?version=1&amp;modificationDate=1625126735000&amp;cacheVersion=1&amp;api=v2" TargetMode="External"/><Relationship Id="rId22" Type="http://schemas.openxmlformats.org/officeDocument/2006/relationships/hyperlink" Target="https://youtu.be/BRcjBZ6xNeg" TargetMode="External"/><Relationship Id="rId64" Type="http://schemas.openxmlformats.org/officeDocument/2006/relationships/hyperlink" Target="https://youtu.be/C1t_972BIrU" TargetMode="External"/><Relationship Id="rId118" Type="http://schemas.openxmlformats.org/officeDocument/2006/relationships/hyperlink" Target="https://youtu.be/_Hh63KhRaII" TargetMode="External"/><Relationship Id="rId325" Type="http://schemas.openxmlformats.org/officeDocument/2006/relationships/hyperlink" Target="https://youtu.be/qYy9EjFJVbA" TargetMode="External"/><Relationship Id="rId367" Type="http://schemas.openxmlformats.org/officeDocument/2006/relationships/hyperlink" Target="https://youtu.be/TRBw-YldeMY" TargetMode="External"/><Relationship Id="rId532" Type="http://schemas.openxmlformats.org/officeDocument/2006/relationships/hyperlink" Target="https://inswave01.atlassian.net/wiki/download/attachments/1245385/openPopup__modal_$p.zip?version=1&amp;modificationDate=1637129135000&amp;cacheVersion=1&amp;api=v2" TargetMode="External"/><Relationship Id="rId574" Type="http://schemas.openxmlformats.org/officeDocument/2006/relationships/hyperlink" Target="https://inswave01.atlassian.net/wiki/download/attachments/1245397/useFooterToolbar_customButtonText_customButtonClickFunction_ScheduleCalendar.xml?version=1&amp;modificationDate=1719281448485&amp;cacheVersion=1&amp;api=v2" TargetMode="External"/><Relationship Id="rId171" Type="http://schemas.openxmlformats.org/officeDocument/2006/relationships/hyperlink" Target="https://youtu.be/xkCOJdnZXVo" TargetMode="External"/><Relationship Id="rId227" Type="http://schemas.openxmlformats.org/officeDocument/2006/relationships/hyperlink" Target="https://youtu.be/1fSpSevuwGA" TargetMode="External"/><Relationship Id="rId269" Type="http://schemas.openxmlformats.org/officeDocument/2006/relationships/hyperlink" Target="https://youtu.be/h9GJfv6sopE" TargetMode="External"/><Relationship Id="rId434" Type="http://schemas.openxmlformats.org/officeDocument/2006/relationships/hyperlink" Target="https://youtu.be/57_mj1K0qy0" TargetMode="External"/><Relationship Id="rId476" Type="http://schemas.openxmlformats.org/officeDocument/2006/relationships/hyperlink" Target="https://youtu.be/CaUt7NoNdqM" TargetMode="External"/><Relationship Id="rId641" Type="http://schemas.openxmlformats.org/officeDocument/2006/relationships/hyperlink" Target="https://inswave01.atlassian.net/wiki/download/attachments/1245473/mergeClear_GridView.xml?version=1&amp;modificationDate=1732583334288&amp;cacheVersion=1&amp;api=v2" TargetMode="External"/><Relationship Id="rId33" Type="http://schemas.openxmlformats.org/officeDocument/2006/relationships/hyperlink" Target="https://youtu.be/TCRq5oo_wxw" TargetMode="External"/><Relationship Id="rId129" Type="http://schemas.openxmlformats.org/officeDocument/2006/relationships/hyperlink" Target="https://youtu.be/MCExudmdnnI" TargetMode="External"/><Relationship Id="rId280" Type="http://schemas.openxmlformats.org/officeDocument/2006/relationships/hyperlink" Target="https://youtu.be/SpqJO02AA0M" TargetMode="External"/><Relationship Id="rId336" Type="http://schemas.openxmlformats.org/officeDocument/2006/relationships/hyperlink" Target="https://youtu.be/T-qhSZ7K3Tk" TargetMode="External"/><Relationship Id="rId501" Type="http://schemas.openxmlformats.org/officeDocument/2006/relationships/hyperlink" Target="https://youtu.be/nWohH0g2gzY" TargetMode="External"/><Relationship Id="rId543" Type="http://schemas.openxmlformats.org/officeDocument/2006/relationships/hyperlink" Target="https://inswave01.atlassian.net/wiki/download/attachments/1245518/getInnerText_Editor.xml?version=1&amp;modificationDate=1704345257000&amp;cacheVersion=1&amp;api=v2" TargetMode="External"/><Relationship Id="rId75" Type="http://schemas.openxmlformats.org/officeDocument/2006/relationships/hyperlink" Target="https://youtu.be/mV2H51EV_iw" TargetMode="External"/><Relationship Id="rId140" Type="http://schemas.openxmlformats.org/officeDocument/2006/relationships/hyperlink" Target="https://youtu.be/5BCe5c4avtM" TargetMode="External"/><Relationship Id="rId182" Type="http://schemas.openxmlformats.org/officeDocument/2006/relationships/hyperlink" Target="https://youtu.be/JSEHOpyEmP4" TargetMode="External"/><Relationship Id="rId378" Type="http://schemas.openxmlformats.org/officeDocument/2006/relationships/hyperlink" Target="https://youtu.be/87Y_k1E1HIg" TargetMode="External"/><Relationship Id="rId403" Type="http://schemas.openxmlformats.org/officeDocument/2006/relationships/hyperlink" Target="https://youtu.be/wZQxvUCXKz0" TargetMode="External"/><Relationship Id="rId585" Type="http://schemas.openxmlformats.org/officeDocument/2006/relationships/hyperlink" Target="https://inswave01.atlassian.net/wiki/download/attachments/1245397/lang_ScheduleCalendar.xml?version=1&amp;modificationDate=1684125025000&amp;cacheVersion=1&amp;api=v2" TargetMode="External"/><Relationship Id="rId6" Type="http://schemas.openxmlformats.org/officeDocument/2006/relationships/hyperlink" Target="https://youtu.be/0Hp5G0cT1tk" TargetMode="External"/><Relationship Id="rId238" Type="http://schemas.openxmlformats.org/officeDocument/2006/relationships/hyperlink" Target="https://youtu.be/r7WapwWZoZw" TargetMode="External"/><Relationship Id="rId445" Type="http://schemas.openxmlformats.org/officeDocument/2006/relationships/hyperlink" Target="https://youtu.be/I7r84Vfxu2U" TargetMode="External"/><Relationship Id="rId487" Type="http://schemas.openxmlformats.org/officeDocument/2006/relationships/hyperlink" Target="https://youtu.be/8tWUw6h6lnY" TargetMode="External"/><Relationship Id="rId610" Type="http://schemas.openxmlformats.org/officeDocument/2006/relationships/hyperlink" Target="https://inswave01.atlassian.net/wiki/download/attachments/119275521/setColumnColor_getColumnColor_GridView.xml?version=1&amp;modificationDate=1724111313194&amp;cacheVersion=1&amp;api=v2" TargetMode="External"/><Relationship Id="rId652" Type="http://schemas.openxmlformats.org/officeDocument/2006/relationships/hyperlink" Target="https://inswave01.atlassian.net/wiki/download/attachments/1245417/onbeforeselect_AutoComplete.xml?version=1&amp;modificationDate=1733274879239&amp;cacheVersion=1&amp;api=v2" TargetMode="External"/><Relationship Id="rId291" Type="http://schemas.openxmlformats.org/officeDocument/2006/relationships/hyperlink" Target="https://youtu.be/OFpNaqnQBqg" TargetMode="External"/><Relationship Id="rId305" Type="http://schemas.openxmlformats.org/officeDocument/2006/relationships/hyperlink" Target="https://youtu.be/WsJdYLy8lcU" TargetMode="External"/><Relationship Id="rId347" Type="http://schemas.openxmlformats.org/officeDocument/2006/relationships/hyperlink" Target="https://youtu.be/5pOQlObZNfU" TargetMode="External"/><Relationship Id="rId512" Type="http://schemas.openxmlformats.org/officeDocument/2006/relationships/hyperlink" Target="https://youtu.be/2409hnwuHMU" TargetMode="External"/><Relationship Id="rId44" Type="http://schemas.openxmlformats.org/officeDocument/2006/relationships/hyperlink" Target="https://youtu.be/D1N7hJB6DeE" TargetMode="External"/><Relationship Id="rId86" Type="http://schemas.openxmlformats.org/officeDocument/2006/relationships/hyperlink" Target="https://youtu.be/VPx1BHrDEjc" TargetMode="External"/><Relationship Id="rId151" Type="http://schemas.openxmlformats.org/officeDocument/2006/relationships/hyperlink" Target="https://youtu.be/HXLexQKZUTU" TargetMode="External"/><Relationship Id="rId389" Type="http://schemas.openxmlformats.org/officeDocument/2006/relationships/hyperlink" Target="https://youtu.be/XNrc84mNr0Q" TargetMode="External"/><Relationship Id="rId554" Type="http://schemas.openxmlformats.org/officeDocument/2006/relationships/hyperlink" Target="https://inswave01.atlassian.net/wiki/download/attachments/1245465/checkAll_GridView.xml?version=1&amp;modificationDate=1716247827000&amp;cacheVersion=1&amp;api=v2" TargetMode="External"/><Relationship Id="rId596" Type="http://schemas.openxmlformats.org/officeDocument/2006/relationships/hyperlink" Target="https://youtu.be/9LetTM_qW-A" TargetMode="External"/><Relationship Id="rId193" Type="http://schemas.openxmlformats.org/officeDocument/2006/relationships/hyperlink" Target="https://youtu.be/PgsaCUWAuho" TargetMode="External"/><Relationship Id="rId207" Type="http://schemas.openxmlformats.org/officeDocument/2006/relationships/hyperlink" Target="https://youtu.be/A-F4r2LCwmI" TargetMode="External"/><Relationship Id="rId249" Type="http://schemas.openxmlformats.org/officeDocument/2006/relationships/hyperlink" Target="https://youtu.be/Ocb7gaTwXy8" TargetMode="External"/><Relationship Id="rId414" Type="http://schemas.openxmlformats.org/officeDocument/2006/relationships/hyperlink" Target="https://youtu.be/aMj0Pxyc9Tc" TargetMode="External"/><Relationship Id="rId456" Type="http://schemas.openxmlformats.org/officeDocument/2006/relationships/hyperlink" Target="https://youtu.be/-ES98SoWXIg" TargetMode="External"/><Relationship Id="rId498" Type="http://schemas.openxmlformats.org/officeDocument/2006/relationships/hyperlink" Target="https://youtu.be/1qLCx1rB4l8" TargetMode="External"/><Relationship Id="rId621" Type="http://schemas.openxmlformats.org/officeDocument/2006/relationships/hyperlink" Target="https://inswave01.atlassian.net/wiki/download/attachments/1245415/SpanDirection_SpanCount_cols_rows_Radio.xml?version=1&amp;modificationDate=1730175781782&amp;cacheVersion=1&amp;api=v2" TargetMode="External"/><Relationship Id="rId663" Type="http://schemas.openxmlformats.org/officeDocument/2006/relationships/hyperlink" Target="https://inswave01.atlassian.net/wiki/download/attachments/1245417/nextTabByEnter_nextTabID_AutoComplete.xml?version=1&amp;modificationDate=1638939703000&amp;cacheVersion=1&amp;api=v2" TargetMode="External"/><Relationship Id="rId13" Type="http://schemas.openxmlformats.org/officeDocument/2006/relationships/hyperlink" Target="https://youtu.be/KXhjWiPzx-k" TargetMode="External"/><Relationship Id="rId109" Type="http://schemas.openxmlformats.org/officeDocument/2006/relationships/hyperlink" Target="https://youtu.be/eA6lQkcBGsY" TargetMode="External"/><Relationship Id="rId260" Type="http://schemas.openxmlformats.org/officeDocument/2006/relationships/hyperlink" Target="https://youtu.be/muK8LuJO2rk" TargetMode="External"/><Relationship Id="rId316" Type="http://schemas.openxmlformats.org/officeDocument/2006/relationships/hyperlink" Target="https://youtu.be/YqLhFD72kZE" TargetMode="External"/><Relationship Id="rId523" Type="http://schemas.openxmlformats.org/officeDocument/2006/relationships/hyperlink" Target="https://inswave01.atlassian.net/wiki/download/attachments/1245459/getEventTarget_$p_WebSquare_util.xml?version=1&amp;modificationDate=1647586062000&amp;cacheVersion=1&amp;api=v2" TargetMode="External"/><Relationship Id="rId55" Type="http://schemas.openxmlformats.org/officeDocument/2006/relationships/hyperlink" Target="https://youtu.be/CcCOLLL5yMw" TargetMode="External"/><Relationship Id="rId97" Type="http://schemas.openxmlformats.org/officeDocument/2006/relationships/hyperlink" Target="https://youtu.be/ODulxBbi1hY" TargetMode="External"/><Relationship Id="rId120" Type="http://schemas.openxmlformats.org/officeDocument/2006/relationships/hyperlink" Target="https://youtu.be/lKcxqmtWcis" TargetMode="External"/><Relationship Id="rId358" Type="http://schemas.openxmlformats.org/officeDocument/2006/relationships/hyperlink" Target="https://youtu.be/VL71nUW6nck" TargetMode="External"/><Relationship Id="rId565" Type="http://schemas.openxmlformats.org/officeDocument/2006/relationships/hyperlink" Target="https://inswave01.atlassian.net/wiki/download/attachments/1245405/pageFrame_createWindow_WindowContainer.zip?version=1&amp;modificationDate=1717120385000&amp;cacheVersion=1&amp;api=v2" TargetMode="External"/><Relationship Id="rId162" Type="http://schemas.openxmlformats.org/officeDocument/2006/relationships/hyperlink" Target="https://youtu.be/by4_ET5kX0A" TargetMode="External"/><Relationship Id="rId218" Type="http://schemas.openxmlformats.org/officeDocument/2006/relationships/hyperlink" Target="https://youtu.be/hK4KZi9vA5k" TargetMode="External"/><Relationship Id="rId425" Type="http://schemas.openxmlformats.org/officeDocument/2006/relationships/hyperlink" Target="https://youtu.be/xSTHrWtyIDk" TargetMode="External"/><Relationship Id="rId467" Type="http://schemas.openxmlformats.org/officeDocument/2006/relationships/hyperlink" Target="https://youtu.be/0h_YVjGznJg" TargetMode="External"/><Relationship Id="rId632" Type="http://schemas.openxmlformats.org/officeDocument/2006/relationships/hyperlink" Target="https://inswave01.atlassian.net/wiki/download/attachments/1245461/tooltipHideInputType_GridView.xml?version=1&amp;modificationDate=1731887835250&amp;cacheVersion=1&amp;api=v2" TargetMode="External"/><Relationship Id="rId271" Type="http://schemas.openxmlformats.org/officeDocument/2006/relationships/hyperlink" Target="https://youtu.be/ebbi0EHywYE" TargetMode="External"/><Relationship Id="rId674" Type="http://schemas.openxmlformats.org/officeDocument/2006/relationships/hyperlink" Target="https://youtu.be/EPRchTEh4A0" TargetMode="External"/><Relationship Id="rId24" Type="http://schemas.openxmlformats.org/officeDocument/2006/relationships/hyperlink" Target="https://youtu.be/1Gta-JwBQNI" TargetMode="External"/><Relationship Id="rId66" Type="http://schemas.openxmlformats.org/officeDocument/2006/relationships/hyperlink" Target="https://youtu.be/jOGforAhQk4" TargetMode="External"/><Relationship Id="rId131" Type="http://schemas.openxmlformats.org/officeDocument/2006/relationships/hyperlink" Target="https://youtu.be/D8jt37CoAYY" TargetMode="External"/><Relationship Id="rId327" Type="http://schemas.openxmlformats.org/officeDocument/2006/relationships/hyperlink" Target="https://youtu.be/VNIi6KxFbV8" TargetMode="External"/><Relationship Id="rId369" Type="http://schemas.openxmlformats.org/officeDocument/2006/relationships/hyperlink" Target="https://youtu.be/ebiRwO4IaDo" TargetMode="External"/><Relationship Id="rId534" Type="http://schemas.openxmlformats.org/officeDocument/2006/relationships/hyperlink" Target="https://inswave01.atlassian.net/wiki/download/attachments/1245385/openPopup_fixPosition_$p.xml?version=1&amp;modificationDate=1676351241000&amp;cacheVersion=1&amp;api=v2" TargetMode="External"/><Relationship Id="rId576" Type="http://schemas.openxmlformats.org/officeDocument/2006/relationships/hyperlink" Target="https://youtu.be/FUQh7pQR8jw" TargetMode="External"/><Relationship Id="rId173" Type="http://schemas.openxmlformats.org/officeDocument/2006/relationships/hyperlink" Target="https://youtu.be/c0Atmug5x1U" TargetMode="External"/><Relationship Id="rId229" Type="http://schemas.openxmlformats.org/officeDocument/2006/relationships/hyperlink" Target="https://youtu.be/bXdHyR0HuJQ" TargetMode="External"/><Relationship Id="rId380" Type="http://schemas.openxmlformats.org/officeDocument/2006/relationships/hyperlink" Target="https://youtu.be/x2xa3Ptte6Y" TargetMode="External"/><Relationship Id="rId436" Type="http://schemas.openxmlformats.org/officeDocument/2006/relationships/hyperlink" Target="https://youtu.be/gqBg2j5qXPY" TargetMode="External"/><Relationship Id="rId601" Type="http://schemas.openxmlformats.org/officeDocument/2006/relationships/hyperlink" Target="https://inswave01.atlassian.net/wiki/download/attachments/119275521/focusMode_selectedCellColor_selectedRowColor_GridView.xml?version=1&amp;modificationDate=1724111361747&amp;cacheVersion=1&amp;api=v2" TargetMode="External"/><Relationship Id="rId643" Type="http://schemas.openxmlformats.org/officeDocument/2006/relationships/hyperlink" Target="https://youtu.be/pqgJWbglxlw" TargetMode="External"/><Relationship Id="rId240" Type="http://schemas.openxmlformats.org/officeDocument/2006/relationships/hyperlink" Target="https://youtu.be/FKwA33pBzYQ" TargetMode="External"/><Relationship Id="rId478" Type="http://schemas.openxmlformats.org/officeDocument/2006/relationships/hyperlink" Target="https://youtu.be/s6tb7fxCdsI" TargetMode="External"/><Relationship Id="rId35" Type="http://schemas.openxmlformats.org/officeDocument/2006/relationships/hyperlink" Target="https://youtu.be/nX4Q2K7Hvwo" TargetMode="External"/><Relationship Id="rId77" Type="http://schemas.openxmlformats.org/officeDocument/2006/relationships/hyperlink" Target="https://youtu.be/cyOfyb2seAE" TargetMode="External"/><Relationship Id="rId100" Type="http://schemas.openxmlformats.org/officeDocument/2006/relationships/hyperlink" Target="https://youtu.be/eI_9K0QEJI4" TargetMode="External"/><Relationship Id="rId282" Type="http://schemas.openxmlformats.org/officeDocument/2006/relationships/hyperlink" Target="https://youtu.be/w5hxnHSKVlk" TargetMode="External"/><Relationship Id="rId338" Type="http://schemas.openxmlformats.org/officeDocument/2006/relationships/hyperlink" Target="https://youtu.be/rLljniG8Bik" TargetMode="External"/><Relationship Id="rId503" Type="http://schemas.openxmlformats.org/officeDocument/2006/relationships/hyperlink" Target="https://youtu.be/sHSvMKUvME4" TargetMode="External"/><Relationship Id="rId545" Type="http://schemas.openxmlformats.org/officeDocument/2006/relationships/hyperlink" Target="https://inswave01.atlassian.net/wiki/download/attachments/1245522/useCloseButton_FloatingLayer.xml?version=1&amp;modificationDate=1704157721000&amp;cacheVersion=1&amp;api=v2" TargetMode="External"/><Relationship Id="rId587" Type="http://schemas.openxmlformats.org/officeDocument/2006/relationships/hyperlink" Target="https://inswave01.atlassian.net/wiki/download/attachments/1245508/groupby_showOnlyLastDepth_GridView.xml?version=1&amp;modificationDate=1673999750000&amp;cacheVersion=1&amp;api=v2" TargetMode="External"/><Relationship Id="rId8" Type="http://schemas.openxmlformats.org/officeDocument/2006/relationships/hyperlink" Target="https://youtu.be/5zGw92RBe80" TargetMode="External"/><Relationship Id="rId142" Type="http://schemas.openxmlformats.org/officeDocument/2006/relationships/hyperlink" Target="https://youtu.be/al7A8OO0dWQ" TargetMode="External"/><Relationship Id="rId184" Type="http://schemas.openxmlformats.org/officeDocument/2006/relationships/hyperlink" Target="https://youtu.be/9FebFKSN4jM" TargetMode="External"/><Relationship Id="rId391" Type="http://schemas.openxmlformats.org/officeDocument/2006/relationships/hyperlink" Target="https://youtu.be/J9zuH4HJq4Q" TargetMode="External"/><Relationship Id="rId405" Type="http://schemas.openxmlformats.org/officeDocument/2006/relationships/hyperlink" Target="https://youtu.be/iz9ZqR_0hqs" TargetMode="External"/><Relationship Id="rId447" Type="http://schemas.openxmlformats.org/officeDocument/2006/relationships/hyperlink" Target="https://youtu.be/BOpVAFxToUI" TargetMode="External"/><Relationship Id="rId612" Type="http://schemas.openxmlformats.org/officeDocument/2006/relationships/hyperlink" Target="https://inswave01.atlassian.net/wiki/download/attachments/119275521/setRowBackgroundColor_GridView.xml?version=1&amp;modificationDate=1724111354687&amp;cacheVersion=1&amp;api=v2" TargetMode="External"/><Relationship Id="rId251" Type="http://schemas.openxmlformats.org/officeDocument/2006/relationships/hyperlink" Target="https://youtu.be/1cXBGcYVSzA" TargetMode="External"/><Relationship Id="rId489" Type="http://schemas.openxmlformats.org/officeDocument/2006/relationships/hyperlink" Target="https://youtu.be/PJYOFiFrXeA" TargetMode="External"/><Relationship Id="rId654" Type="http://schemas.openxmlformats.org/officeDocument/2006/relationships/hyperlink" Target="https://inswave01.atlassian.net/wiki/download/attachments/1245385/openPopup_adaptiveFrame_$p.zip?version=1&amp;modificationDate=1733464223684&amp;cacheVersion=1&amp;api=v2" TargetMode="External"/><Relationship Id="rId46" Type="http://schemas.openxmlformats.org/officeDocument/2006/relationships/hyperlink" Target="https://youtu.be/4RTDZwFc8Ic" TargetMode="External"/><Relationship Id="rId293" Type="http://schemas.openxmlformats.org/officeDocument/2006/relationships/hyperlink" Target="https://youtu.be/KHSd1h2JA6s" TargetMode="External"/><Relationship Id="rId307" Type="http://schemas.openxmlformats.org/officeDocument/2006/relationships/hyperlink" Target="https://youtu.be/u1TYaMl_enY" TargetMode="External"/><Relationship Id="rId349" Type="http://schemas.openxmlformats.org/officeDocument/2006/relationships/hyperlink" Target="https://youtu.be/zYHD84kaN4Y" TargetMode="External"/><Relationship Id="rId514" Type="http://schemas.openxmlformats.org/officeDocument/2006/relationships/hyperlink" Target="https://youtu.be/4vfk-718Noc" TargetMode="External"/><Relationship Id="rId556" Type="http://schemas.openxmlformats.org/officeDocument/2006/relationships/hyperlink" Target="https://inswave01.atlassian.net/wiki/download/attachments/1245465/inputType_checkbox_useShiftKey_useShiftKeyCheck_GridView.xml?version=1&amp;modificationDate=1705884319000&amp;cacheVersion=1&amp;api=v2" TargetMode="External"/><Relationship Id="rId88" Type="http://schemas.openxmlformats.org/officeDocument/2006/relationships/hyperlink" Target="https://youtu.be/5S247ShXA9g" TargetMode="External"/><Relationship Id="rId111" Type="http://schemas.openxmlformats.org/officeDocument/2006/relationships/hyperlink" Target="https://youtu.be/dGoIpOaHJcA" TargetMode="External"/><Relationship Id="rId153" Type="http://schemas.openxmlformats.org/officeDocument/2006/relationships/hyperlink" Target="https://youtu.be/7jwLEOi3GY4" TargetMode="External"/><Relationship Id="rId195" Type="http://schemas.openxmlformats.org/officeDocument/2006/relationships/hyperlink" Target="https://youtu.be/ojd55iLjAOg" TargetMode="External"/><Relationship Id="rId209" Type="http://schemas.openxmlformats.org/officeDocument/2006/relationships/hyperlink" Target="https://youtu.be/ZQtSdorGgBk" TargetMode="External"/><Relationship Id="rId360" Type="http://schemas.openxmlformats.org/officeDocument/2006/relationships/hyperlink" Target="https://youtu.be/WBQp1hDkwaw" TargetMode="External"/><Relationship Id="rId416" Type="http://schemas.openxmlformats.org/officeDocument/2006/relationships/hyperlink" Target="https://youtu.be/3Awh08yofj4" TargetMode="External"/><Relationship Id="rId598" Type="http://schemas.openxmlformats.org/officeDocument/2006/relationships/hyperlink" Target="https://inswave01.atlassian.net/wiki/download/attachments/119275521/rowMouseOverClass_GridView.xml?version=1&amp;modificationDate=1724112010932&amp;cacheVersion=1&amp;api=v2" TargetMode="External"/><Relationship Id="rId220" Type="http://schemas.openxmlformats.org/officeDocument/2006/relationships/hyperlink" Target="https://youtu.be/N7kfGHs-CR4" TargetMode="External"/><Relationship Id="rId458" Type="http://schemas.openxmlformats.org/officeDocument/2006/relationships/hyperlink" Target="https://youtu.be/o8HblbrCE7Q" TargetMode="External"/><Relationship Id="rId623" Type="http://schemas.openxmlformats.org/officeDocument/2006/relationships/hyperlink" Target="https://inswave01.atlassian.net/wiki/download/attachments/1245473/mergeCells_mergeByCol_GridView.xml?version=1&amp;modificationDate=1730766226540&amp;cacheVersion=1&amp;api=v2" TargetMode="External"/><Relationship Id="rId665" Type="http://schemas.openxmlformats.org/officeDocument/2006/relationships/hyperlink" Target="https://inswave01.atlassian.net/wiki/download/attachments/1245499/clickOpenFileDialog_Upload.xml?version=1&amp;modificationDate=1664499292000&amp;cacheVersion=1&amp;api=v2" TargetMode="External"/><Relationship Id="rId15" Type="http://schemas.openxmlformats.org/officeDocument/2006/relationships/hyperlink" Target="https://youtu.be/dlKWj8jXlTY" TargetMode="External"/><Relationship Id="rId57" Type="http://schemas.openxmlformats.org/officeDocument/2006/relationships/hyperlink" Target="https://youtu.be/qLlMWSH_WwE" TargetMode="External"/><Relationship Id="rId262" Type="http://schemas.openxmlformats.org/officeDocument/2006/relationships/hyperlink" Target="https://youtu.be/adJpaP0DK_4" TargetMode="External"/><Relationship Id="rId318" Type="http://schemas.openxmlformats.org/officeDocument/2006/relationships/hyperlink" Target="https://youtu.be/I3IWomt4n7o" TargetMode="External"/><Relationship Id="rId525" Type="http://schemas.openxmlformats.org/officeDocument/2006/relationships/hyperlink" Target="https://inswave01.atlassian.net/wiki/download/attachments/1245385/getAllPopupWindowList_$p.zip?version=1&amp;modificationDate=1672902514000&amp;cacheVersion=1&amp;api=v2" TargetMode="External"/><Relationship Id="rId567" Type="http://schemas.openxmlformats.org/officeDocument/2006/relationships/hyperlink" Target="https://inswave01.atlassian.net/wiki/download/attachments/1245463/dataDragDropSelf_GridView.xml?version=1&amp;modificationDate=1705450147000&amp;cacheVersion=1&amp;api=v2" TargetMode="External"/><Relationship Id="rId99" Type="http://schemas.openxmlformats.org/officeDocument/2006/relationships/hyperlink" Target="https://youtu.be/H3h9EJvdoIk" TargetMode="External"/><Relationship Id="rId122" Type="http://schemas.openxmlformats.org/officeDocument/2006/relationships/hyperlink" Target="https://youtu.be/7I_TWRe5v5I" TargetMode="External"/><Relationship Id="rId164" Type="http://schemas.openxmlformats.org/officeDocument/2006/relationships/hyperlink" Target="https://youtu.be/zslrkyb_-gk" TargetMode="External"/><Relationship Id="rId371" Type="http://schemas.openxmlformats.org/officeDocument/2006/relationships/hyperlink" Target="https://youtu.be/Fs6piaQX3ZE" TargetMode="External"/><Relationship Id="rId427" Type="http://schemas.openxmlformats.org/officeDocument/2006/relationships/hyperlink" Target="https://youtu.be/rUBZ2EwvUpM" TargetMode="External"/><Relationship Id="rId469" Type="http://schemas.openxmlformats.org/officeDocument/2006/relationships/hyperlink" Target="https://youtu.be/WF4TOcHZCxI" TargetMode="External"/><Relationship Id="rId634" Type="http://schemas.openxmlformats.org/officeDocument/2006/relationships/hyperlink" Target="https://youtu.be/62HEXAOmUUE" TargetMode="External"/><Relationship Id="rId676" Type="http://schemas.openxmlformats.org/officeDocument/2006/relationships/printerSettings" Target="../printerSettings/printerSettings1.bin"/><Relationship Id="rId26" Type="http://schemas.openxmlformats.org/officeDocument/2006/relationships/hyperlink" Target="https://youtu.be/MKQ1c0k33bw" TargetMode="External"/><Relationship Id="rId231" Type="http://schemas.openxmlformats.org/officeDocument/2006/relationships/hyperlink" Target="https://youtu.be/VDVxknvJ8KA" TargetMode="External"/><Relationship Id="rId273" Type="http://schemas.openxmlformats.org/officeDocument/2006/relationships/hyperlink" Target="https://youtu.be/Ww-uwKEmwBg" TargetMode="External"/><Relationship Id="rId329" Type="http://schemas.openxmlformats.org/officeDocument/2006/relationships/hyperlink" Target="https://youtu.be/M4dRiLebaU8" TargetMode="External"/><Relationship Id="rId480" Type="http://schemas.openxmlformats.org/officeDocument/2006/relationships/hyperlink" Target="https://youtu.be/RpqcN6rku28" TargetMode="External"/><Relationship Id="rId536" Type="http://schemas.openxmlformats.org/officeDocument/2006/relationships/hyperlink" Target="https://inswave01.atlassian.net/wiki/download/attachments/1245385/getPopupWindowList_$p.zip?version=1&amp;modificationDate=1655447704000&amp;cacheVersion=1&amp;api=v2" TargetMode="External"/><Relationship Id="rId68" Type="http://schemas.openxmlformats.org/officeDocument/2006/relationships/hyperlink" Target="https://youtu.be/8_M6tXdgwgM" TargetMode="External"/><Relationship Id="rId133" Type="http://schemas.openxmlformats.org/officeDocument/2006/relationships/hyperlink" Target="https://youtu.be/ZuPDYmLdMM0" TargetMode="External"/><Relationship Id="rId175" Type="http://schemas.openxmlformats.org/officeDocument/2006/relationships/hyperlink" Target="https://youtu.be/4EHQtRAoEV4" TargetMode="External"/><Relationship Id="rId340" Type="http://schemas.openxmlformats.org/officeDocument/2006/relationships/hyperlink" Target="https://youtu.be/K8ACGkL6xio" TargetMode="External"/><Relationship Id="rId578" Type="http://schemas.openxmlformats.org/officeDocument/2006/relationships/hyperlink" Target="https://inswave01.atlassian.net/wiki/download/attachments/1245405/includeMinimizeWindow_WindowContainer.xml?version=1&amp;modificationDate=1705450044000&amp;cacheVersion=1&amp;api=v2" TargetMode="External"/><Relationship Id="rId200" Type="http://schemas.openxmlformats.org/officeDocument/2006/relationships/hyperlink" Target="https://youtu.be/5OYRmiYI8Cw" TargetMode="External"/><Relationship Id="rId382" Type="http://schemas.openxmlformats.org/officeDocument/2006/relationships/hyperlink" Target="https://youtu.be/J0qlR_D3pWI" TargetMode="External"/><Relationship Id="rId438" Type="http://schemas.openxmlformats.org/officeDocument/2006/relationships/hyperlink" Target="https://youtu.be/nyXDiCfCgc8" TargetMode="External"/><Relationship Id="rId603" Type="http://schemas.openxmlformats.org/officeDocument/2006/relationships/hyperlink" Target="https://inswave01.atlassian.net/wiki/download/attachments/119275521/rowNumRowMouseOverColor.xml?version=1&amp;modificationDate=1724111306198&amp;cacheVersion=1&amp;api=v2" TargetMode="External"/><Relationship Id="rId645" Type="http://schemas.openxmlformats.org/officeDocument/2006/relationships/hyperlink" Target="https://youtu.be/_PjiyUupNqQ" TargetMode="External"/><Relationship Id="rId242" Type="http://schemas.openxmlformats.org/officeDocument/2006/relationships/hyperlink" Target="https://youtu.be/7_kb6Y7Oji4" TargetMode="External"/><Relationship Id="rId284" Type="http://schemas.openxmlformats.org/officeDocument/2006/relationships/hyperlink" Target="https://youtu.be/8dowsojQFXU" TargetMode="External"/><Relationship Id="rId491" Type="http://schemas.openxmlformats.org/officeDocument/2006/relationships/hyperlink" Target="https://youtu.be/FGWFveND0Yo" TargetMode="External"/><Relationship Id="rId505" Type="http://schemas.openxmlformats.org/officeDocument/2006/relationships/hyperlink" Target="https://youtu.be/OvGCDkFFZZQ" TargetMode="External"/><Relationship Id="rId37" Type="http://schemas.openxmlformats.org/officeDocument/2006/relationships/hyperlink" Target="https://youtu.be/xBT12u0jQps" TargetMode="External"/><Relationship Id="rId79" Type="http://schemas.openxmlformats.org/officeDocument/2006/relationships/hyperlink" Target="https://youtu.be/gx3a9cI8WRg" TargetMode="External"/><Relationship Id="rId102" Type="http://schemas.openxmlformats.org/officeDocument/2006/relationships/hyperlink" Target="https://youtu.be/PuhCRu0KEmo" TargetMode="External"/><Relationship Id="rId144" Type="http://schemas.openxmlformats.org/officeDocument/2006/relationships/hyperlink" Target="https://youtu.be/UX4YEp2obi8" TargetMode="External"/><Relationship Id="rId547" Type="http://schemas.openxmlformats.org/officeDocument/2006/relationships/hyperlink" Target="https://inswave01.atlassian.net/wiki/download/attachments/1245461/autoFit_GridView.xml?version=1&amp;modificationDate=1651120054000&amp;cacheVersion=1&amp;api=v2" TargetMode="External"/><Relationship Id="rId589" Type="http://schemas.openxmlformats.org/officeDocument/2006/relationships/hyperlink" Target="https://inswave01.atlassian.net/wiki/download/attachments/1245393/keepDataType_DataList.xml?version=1&amp;modificationDate=1719961082715&amp;cacheVersion=1&amp;api=v2" TargetMode="External"/><Relationship Id="rId90" Type="http://schemas.openxmlformats.org/officeDocument/2006/relationships/hyperlink" Target="https://youtu.be/erKy4irXoBY" TargetMode="External"/><Relationship Id="rId186" Type="http://schemas.openxmlformats.org/officeDocument/2006/relationships/hyperlink" Target="https://youtu.be/L0drA0Vw6sc" TargetMode="External"/><Relationship Id="rId351" Type="http://schemas.openxmlformats.org/officeDocument/2006/relationships/hyperlink" Target="https://youtu.be/0ZQBY4xtgB8" TargetMode="External"/><Relationship Id="rId393" Type="http://schemas.openxmlformats.org/officeDocument/2006/relationships/hyperlink" Target="https://youtu.be/mgx5RrhrgsU" TargetMode="External"/><Relationship Id="rId407" Type="http://schemas.openxmlformats.org/officeDocument/2006/relationships/hyperlink" Target="https://youtu.be/nQ-JJe8ku9U" TargetMode="External"/><Relationship Id="rId449" Type="http://schemas.openxmlformats.org/officeDocument/2006/relationships/hyperlink" Target="https://youtu.be/eccEEjoAVnc" TargetMode="External"/><Relationship Id="rId614" Type="http://schemas.openxmlformats.org/officeDocument/2006/relationships/hyperlink" Target="https://youtu.be/drTC63wusbY" TargetMode="External"/><Relationship Id="rId656" Type="http://schemas.openxmlformats.org/officeDocument/2006/relationships/hyperlink" Target="https://inswave01.atlassian.net/wiki/download/attachments/1245401/resizeEvent_onresize_WFrame.zip?version=1&amp;modificationDate=1733464592585&amp;cacheVersion=1&amp;api=v2" TargetMode="External"/><Relationship Id="rId211" Type="http://schemas.openxmlformats.org/officeDocument/2006/relationships/hyperlink" Target="https://youtu.be/AF3KgtSROwc" TargetMode="External"/><Relationship Id="rId253" Type="http://schemas.openxmlformats.org/officeDocument/2006/relationships/hyperlink" Target="https://youtu.be/YxHHnoGnweA" TargetMode="External"/><Relationship Id="rId295" Type="http://schemas.openxmlformats.org/officeDocument/2006/relationships/hyperlink" Target="https://youtu.be/_CkuXLhoAnE" TargetMode="External"/><Relationship Id="rId309" Type="http://schemas.openxmlformats.org/officeDocument/2006/relationships/hyperlink" Target="https://youtu.be/_Y7BYZg4fUg" TargetMode="External"/><Relationship Id="rId460" Type="http://schemas.openxmlformats.org/officeDocument/2006/relationships/hyperlink" Target="https://youtu.be/mpAilOETc0U" TargetMode="External"/><Relationship Id="rId516" Type="http://schemas.openxmlformats.org/officeDocument/2006/relationships/hyperlink" Target="https://youtu.be/yZ9l510_fec" TargetMode="External"/><Relationship Id="rId48" Type="http://schemas.openxmlformats.org/officeDocument/2006/relationships/hyperlink" Target="https://youtu.be/U--QTIHu6SQ" TargetMode="External"/><Relationship Id="rId113" Type="http://schemas.openxmlformats.org/officeDocument/2006/relationships/hyperlink" Target="https://youtu.be/ChiZeVzrJY4" TargetMode="External"/><Relationship Id="rId320" Type="http://schemas.openxmlformats.org/officeDocument/2006/relationships/hyperlink" Target="https://youtu.be/rpAfKJRLKqA" TargetMode="External"/><Relationship Id="rId558" Type="http://schemas.openxmlformats.org/officeDocument/2006/relationships/hyperlink" Target="https://inswave01.atlassian.net/wiki/download/attachments/1245395/cancelButtonHide_InputCalendar.xml?version=1&amp;modificationDate=1694493434000&amp;cacheVersion=1&amp;api=v2" TargetMode="External"/><Relationship Id="rId155" Type="http://schemas.openxmlformats.org/officeDocument/2006/relationships/hyperlink" Target="https://youtu.be/XjwoYsUlGLs" TargetMode="External"/><Relationship Id="rId197" Type="http://schemas.openxmlformats.org/officeDocument/2006/relationships/hyperlink" Target="https://youtu.be/kq_mC97YZeI" TargetMode="External"/><Relationship Id="rId362" Type="http://schemas.openxmlformats.org/officeDocument/2006/relationships/hyperlink" Target="https://youtu.be/lmR6qWDyeqQ" TargetMode="External"/><Relationship Id="rId418" Type="http://schemas.openxmlformats.org/officeDocument/2006/relationships/hyperlink" Target="https://youtu.be/3oD-HTt34Hw" TargetMode="External"/><Relationship Id="rId625" Type="http://schemas.openxmlformats.org/officeDocument/2006/relationships/hyperlink" Target="https://inswave01.atlassian.net/wiki/download/attachments/1245522/layerMoveType_FloatingLayer.zip?version=1&amp;modificationDate=1730781947280&amp;cacheVersion=1&amp;api=v2" TargetMode="External"/><Relationship Id="rId222" Type="http://schemas.openxmlformats.org/officeDocument/2006/relationships/hyperlink" Target="https://youtu.be/q8tQ06AF3G8" TargetMode="External"/><Relationship Id="rId264" Type="http://schemas.openxmlformats.org/officeDocument/2006/relationships/hyperlink" Target="https://youtu.be/rY_cNEi3exY" TargetMode="External"/><Relationship Id="rId471" Type="http://schemas.openxmlformats.org/officeDocument/2006/relationships/hyperlink" Target="https://youtu.be/XYuqgVugfEo" TargetMode="External"/><Relationship Id="rId667" Type="http://schemas.openxmlformats.org/officeDocument/2006/relationships/hyperlink" Target="https://inswave01.atlassian.net/wiki/download/attachments/1245508/getGroupbyData_GridView.xml?version=1&amp;modificationDate=1738797173100&amp;cacheVersion=1&amp;api=v2" TargetMode="External"/><Relationship Id="rId17" Type="http://schemas.openxmlformats.org/officeDocument/2006/relationships/hyperlink" Target="https://youtu.be/hfi2sQqtKsU" TargetMode="External"/><Relationship Id="rId59" Type="http://schemas.openxmlformats.org/officeDocument/2006/relationships/hyperlink" Target="https://youtu.be/VHDKqxpuCzk" TargetMode="External"/><Relationship Id="rId124" Type="http://schemas.openxmlformats.org/officeDocument/2006/relationships/hyperlink" Target="https://youtu.be/kgEMTm3MJG8" TargetMode="External"/><Relationship Id="rId527" Type="http://schemas.openxmlformats.org/officeDocument/2006/relationships/hyperlink" Target="https://inswave01.atlassian.net/wiki/download/attachments/1245385/getPopupWindow_$p.zip?version=1&amp;modificationDate=1655446662000&amp;cacheVersion=1&amp;api=v2" TargetMode="External"/><Relationship Id="rId569" Type="http://schemas.openxmlformats.org/officeDocument/2006/relationships/hyperlink" Target="https://inswave01.atlassian.net/wiki/download/attachments/1245467/advancedExcelDownload_headerRowHeight_GridView.xml?version=1&amp;modificationDate=1717980361000&amp;cacheVersion=1&amp;api=v2" TargetMode="External"/><Relationship Id="rId70" Type="http://schemas.openxmlformats.org/officeDocument/2006/relationships/hyperlink" Target="https://youtu.be/3AzVyG6XZ6k" TargetMode="External"/><Relationship Id="rId166" Type="http://schemas.openxmlformats.org/officeDocument/2006/relationships/hyperlink" Target="https://youtu.be/5d-Jtl7wl_4" TargetMode="External"/><Relationship Id="rId331" Type="http://schemas.openxmlformats.org/officeDocument/2006/relationships/hyperlink" Target="https://youtu.be/Noawlm0IjXQ" TargetMode="External"/><Relationship Id="rId373" Type="http://schemas.openxmlformats.org/officeDocument/2006/relationships/hyperlink" Target="https://youtu.be/8pmqZSebcz8" TargetMode="External"/><Relationship Id="rId429" Type="http://schemas.openxmlformats.org/officeDocument/2006/relationships/hyperlink" Target="https://youtu.be/cmcqLapaPwk" TargetMode="External"/><Relationship Id="rId580" Type="http://schemas.openxmlformats.org/officeDocument/2006/relationships/hyperlink" Target="https://inswave01.atlassian.net/wiki/download/attachments/1245397/nextDayThreshold_ScheduleCalendar.xml?version=1&amp;modificationDate=1652857315000&amp;cacheVersion=1&amp;api=v2" TargetMode="External"/><Relationship Id="rId636" Type="http://schemas.openxmlformats.org/officeDocument/2006/relationships/hyperlink" Target="https://inswave01.atlassian.net/wiki/download/attachments/1245473/mergeCells_mergeByRowRec_GridView.xml?version=1&amp;modificationDate=1732493405135&amp;cacheVersion=1&amp;api=v2" TargetMode="External"/><Relationship Id="rId1" Type="http://schemas.openxmlformats.org/officeDocument/2006/relationships/hyperlink" Target="https://youtu.be/UPplWg8kuXM" TargetMode="External"/><Relationship Id="rId233" Type="http://schemas.openxmlformats.org/officeDocument/2006/relationships/hyperlink" Target="https://youtu.be/S87KThzT_SY" TargetMode="External"/><Relationship Id="rId440" Type="http://schemas.openxmlformats.org/officeDocument/2006/relationships/hyperlink" Target="https://youtu.be/v9XqrXxDW60" TargetMode="External"/><Relationship Id="rId28" Type="http://schemas.openxmlformats.org/officeDocument/2006/relationships/hyperlink" Target="https://youtu.be/b62m9Ppr710" TargetMode="External"/><Relationship Id="rId275" Type="http://schemas.openxmlformats.org/officeDocument/2006/relationships/hyperlink" Target="https://youtu.be/r84IR-bECaI" TargetMode="External"/><Relationship Id="rId300" Type="http://schemas.openxmlformats.org/officeDocument/2006/relationships/hyperlink" Target="https://youtu.be/tqulgI92fOU" TargetMode="External"/><Relationship Id="rId482" Type="http://schemas.openxmlformats.org/officeDocument/2006/relationships/hyperlink" Target="https://youtu.be/i5NXh_Ymgx8" TargetMode="External"/><Relationship Id="rId538" Type="http://schemas.openxmlformats.org/officeDocument/2006/relationships/hyperlink" Target="https://inswave01.atlassian.net/wiki/download/attachments/1245453/executeSubmission_$p_DataList.zip?version=1&amp;modificationDate=1652683901000&amp;cacheVersion=1&amp;api=v2" TargetMode="External"/><Relationship Id="rId81" Type="http://schemas.openxmlformats.org/officeDocument/2006/relationships/hyperlink" Target="https://youtu.be/QguEZwvqZRI" TargetMode="External"/><Relationship Id="rId135" Type="http://schemas.openxmlformats.org/officeDocument/2006/relationships/hyperlink" Target="https://youtu.be/5VsjK7ob3qI" TargetMode="External"/><Relationship Id="rId177" Type="http://schemas.openxmlformats.org/officeDocument/2006/relationships/hyperlink" Target="https://youtu.be/WEkPBLOgshE" TargetMode="External"/><Relationship Id="rId342" Type="http://schemas.openxmlformats.org/officeDocument/2006/relationships/hyperlink" Target="https://youtu.be/igtLcV9vBbY" TargetMode="External"/><Relationship Id="rId384" Type="http://schemas.openxmlformats.org/officeDocument/2006/relationships/hyperlink" Target="https://youtu.be/RRYtExw8mC4" TargetMode="External"/><Relationship Id="rId591" Type="http://schemas.openxmlformats.org/officeDocument/2006/relationships/hyperlink" Target="https://youtu.be/FRxRJ6jawyg" TargetMode="External"/><Relationship Id="rId605" Type="http://schemas.openxmlformats.org/officeDocument/2006/relationships/hyperlink" Target="https://inswave01.atlassian.net/wiki/download/attachments/119275521/setCellBackgroundColor_GridView.xml?version=1&amp;modificationDate=1724111355112&amp;cacheVersion=1&amp;api=v2" TargetMode="External"/><Relationship Id="rId202" Type="http://schemas.openxmlformats.org/officeDocument/2006/relationships/hyperlink" Target="https://youtu.be/ryTUYKFiHx8" TargetMode="External"/><Relationship Id="rId244" Type="http://schemas.openxmlformats.org/officeDocument/2006/relationships/hyperlink" Target="https://youtu.be/AAwd4cM5MmY" TargetMode="External"/><Relationship Id="rId647" Type="http://schemas.openxmlformats.org/officeDocument/2006/relationships/hyperlink" Target="https://inswave01.atlassian.net/wiki/download/attachments/299925505/data_create_$p_setData_DataList_mutipleDataListDownload_WebSquare_util.xml?version=1&amp;modificationDate=1733094493438&amp;cacheVersion=1&amp;api=v2" TargetMode="External"/><Relationship Id="rId39" Type="http://schemas.openxmlformats.org/officeDocument/2006/relationships/hyperlink" Target="https://youtu.be/aaB2U-mlFXA" TargetMode="External"/><Relationship Id="rId286" Type="http://schemas.openxmlformats.org/officeDocument/2006/relationships/hyperlink" Target="https://youtu.be/D3PiExLa9X4" TargetMode="External"/><Relationship Id="rId451" Type="http://schemas.openxmlformats.org/officeDocument/2006/relationships/hyperlink" Target="https://youtu.be/kiyeMLD5PNs" TargetMode="External"/><Relationship Id="rId493" Type="http://schemas.openxmlformats.org/officeDocument/2006/relationships/hyperlink" Target="https://youtu.be/zF4H-9lkg20" TargetMode="External"/><Relationship Id="rId507" Type="http://schemas.openxmlformats.org/officeDocument/2006/relationships/hyperlink" Target="https://youtu.be/m5nhn7-4_Vg" TargetMode="External"/><Relationship Id="rId549" Type="http://schemas.openxmlformats.org/officeDocument/2006/relationships/hyperlink" Target="https://inswave01.atlassian.net/wiki/download/attachments/1245461/setDataType_date_GridView.xml?version=1&amp;modificationDate=1710462206000&amp;cacheVersion=1&amp;api=v2" TargetMode="External"/><Relationship Id="rId50" Type="http://schemas.openxmlformats.org/officeDocument/2006/relationships/hyperlink" Target="https://youtu.be/oWlUmnfkBeA" TargetMode="External"/><Relationship Id="rId104" Type="http://schemas.openxmlformats.org/officeDocument/2006/relationships/hyperlink" Target="https://youtu.be/GaGi7q3_Lps" TargetMode="External"/><Relationship Id="rId146" Type="http://schemas.openxmlformats.org/officeDocument/2006/relationships/hyperlink" Target="https://youtu.be/G2NKZg9n_eM" TargetMode="External"/><Relationship Id="rId188" Type="http://schemas.openxmlformats.org/officeDocument/2006/relationships/hyperlink" Target="https://youtu.be/OaPwYvixkpA" TargetMode="External"/><Relationship Id="rId311" Type="http://schemas.openxmlformats.org/officeDocument/2006/relationships/hyperlink" Target="https://youtu.be/Q7pDyJzoClY" TargetMode="External"/><Relationship Id="rId353" Type="http://schemas.openxmlformats.org/officeDocument/2006/relationships/hyperlink" Target="https://youtu.be/i6isWpeG4Bg" TargetMode="External"/><Relationship Id="rId395" Type="http://schemas.openxmlformats.org/officeDocument/2006/relationships/hyperlink" Target="https://youtu.be/_wk3gTOxPt4" TargetMode="External"/><Relationship Id="rId409" Type="http://schemas.openxmlformats.org/officeDocument/2006/relationships/hyperlink" Target="https://youtu.be/bTU7Ug8-lwc" TargetMode="External"/><Relationship Id="rId560" Type="http://schemas.openxmlformats.org/officeDocument/2006/relationships/hyperlink" Target="https://inswave01.atlassian.net/wiki/download/attachments/1245419/depthColumnShowPath_depthColumnPathDelimiter_SelectBox.xml?version=1&amp;modificationDate=1673939489000&amp;cacheVersion=1&amp;api=v2" TargetMode="External"/><Relationship Id="rId92" Type="http://schemas.openxmlformats.org/officeDocument/2006/relationships/hyperlink" Target="https://youtu.be/CAh0xUkNLts" TargetMode="External"/><Relationship Id="rId213" Type="http://schemas.openxmlformats.org/officeDocument/2006/relationships/hyperlink" Target="https://youtu.be/WpGLtdALi3U" TargetMode="External"/><Relationship Id="rId420" Type="http://schemas.openxmlformats.org/officeDocument/2006/relationships/hyperlink" Target="https://youtu.be/PTQJSjjumi4" TargetMode="External"/><Relationship Id="rId616" Type="http://schemas.openxmlformats.org/officeDocument/2006/relationships/hyperlink" Target="https://youtu.be/kf64NaYvI2c" TargetMode="External"/><Relationship Id="rId658" Type="http://schemas.openxmlformats.org/officeDocument/2006/relationships/hyperlink" Target="https://youtu.be/fFm-oDSJxxk" TargetMode="External"/><Relationship Id="rId255" Type="http://schemas.openxmlformats.org/officeDocument/2006/relationships/hyperlink" Target="https://youtu.be/rpn_YyAgUeg" TargetMode="External"/><Relationship Id="rId297" Type="http://schemas.openxmlformats.org/officeDocument/2006/relationships/hyperlink" Target="https://youtu.be/BB5eDivmrw4" TargetMode="External"/><Relationship Id="rId462" Type="http://schemas.openxmlformats.org/officeDocument/2006/relationships/hyperlink" Target="https://youtu.be/GlYQxaAXA2k" TargetMode="External"/><Relationship Id="rId518" Type="http://schemas.openxmlformats.org/officeDocument/2006/relationships/hyperlink" Target="https://youtu.be/X-G338ffiQw" TargetMode="External"/><Relationship Id="rId115" Type="http://schemas.openxmlformats.org/officeDocument/2006/relationships/hyperlink" Target="https://youtu.be/wtetKx3tna0" TargetMode="External"/><Relationship Id="rId157" Type="http://schemas.openxmlformats.org/officeDocument/2006/relationships/hyperlink" Target="https://youtu.be/hhX3_IvDYow" TargetMode="External"/><Relationship Id="rId322" Type="http://schemas.openxmlformats.org/officeDocument/2006/relationships/hyperlink" Target="https://youtu.be/Fm05Vd261Eg" TargetMode="External"/><Relationship Id="rId364" Type="http://schemas.openxmlformats.org/officeDocument/2006/relationships/hyperlink" Target="https://youtu.be/XH8obZkSyEo" TargetMode="External"/><Relationship Id="rId61" Type="http://schemas.openxmlformats.org/officeDocument/2006/relationships/hyperlink" Target="https://youtu.be/SeI-m3AHLpM" TargetMode="External"/><Relationship Id="rId199" Type="http://schemas.openxmlformats.org/officeDocument/2006/relationships/hyperlink" Target="https://youtu.be/mdRM__Fl_zA" TargetMode="External"/><Relationship Id="rId571" Type="http://schemas.openxmlformats.org/officeDocument/2006/relationships/hyperlink" Target="https://youtu.be/uA8I2aZDZM8" TargetMode="External"/><Relationship Id="rId627" Type="http://schemas.openxmlformats.org/officeDocument/2006/relationships/hyperlink" Target="https://youtu.be/DahV6Ymncl4" TargetMode="External"/><Relationship Id="rId669" Type="http://schemas.openxmlformats.org/officeDocument/2006/relationships/hyperlink" Target="https://inswave01.atlassian.net/wiki/download/attachments/1245495/tooltipShowPositionX_tooltipShowPositionY_Trigger.xml?version=1&amp;modificationDate=1662441382000&amp;cacheVersion=1&amp;api=v2" TargetMode="External"/><Relationship Id="rId19" Type="http://schemas.openxmlformats.org/officeDocument/2006/relationships/hyperlink" Target="https://youtu.be/T87T6hOuU7o" TargetMode="External"/><Relationship Id="rId224" Type="http://schemas.openxmlformats.org/officeDocument/2006/relationships/hyperlink" Target="https://youtu.be/K7FZqdsSXro" TargetMode="External"/><Relationship Id="rId266" Type="http://schemas.openxmlformats.org/officeDocument/2006/relationships/hyperlink" Target="https://youtu.be/u7Ec_e0rooE" TargetMode="External"/><Relationship Id="rId431" Type="http://schemas.openxmlformats.org/officeDocument/2006/relationships/hyperlink" Target="https://youtu.be/CfSolomJuKI" TargetMode="External"/><Relationship Id="rId473" Type="http://schemas.openxmlformats.org/officeDocument/2006/relationships/hyperlink" Target="https://youtu.be/oWfHc9LwxGQ" TargetMode="External"/><Relationship Id="rId529" Type="http://schemas.openxmlformats.org/officeDocument/2006/relationships/hyperlink" Target="https://inswave01.atlassian.net/wiki/download/attachments/1245385/2021%20-%2007%20$p%20(isWFramePopUp).zip?version=1&amp;modificationDate=1625554467000&amp;cacheVersion=1&amp;api=v2" TargetMode="External"/><Relationship Id="rId30" Type="http://schemas.openxmlformats.org/officeDocument/2006/relationships/hyperlink" Target="https://youtu.be/BpLQJUrDebY" TargetMode="External"/><Relationship Id="rId126" Type="http://schemas.openxmlformats.org/officeDocument/2006/relationships/hyperlink" Target="https://youtu.be/F6d6zU6mmtU" TargetMode="External"/><Relationship Id="rId168" Type="http://schemas.openxmlformats.org/officeDocument/2006/relationships/hyperlink" Target="https://youtu.be/p3FQLMpBe1g" TargetMode="External"/><Relationship Id="rId333" Type="http://schemas.openxmlformats.org/officeDocument/2006/relationships/hyperlink" Target="https://youtu.be/t6ENhJNOeas" TargetMode="External"/><Relationship Id="rId540" Type="http://schemas.openxmlformats.org/officeDocument/2006/relationships/hyperlink" Target="https://inswave01.atlassian.net/wiki/download/attachments/1245423/submenuSize_CheckComboBox.xml?version=1&amp;modificationDate=1709857972000&amp;cacheVersion=1&amp;api=v2" TargetMode="External"/><Relationship Id="rId72" Type="http://schemas.openxmlformats.org/officeDocument/2006/relationships/hyperlink" Target="https://youtu.be/ekYGymLlQCM" TargetMode="External"/><Relationship Id="rId375" Type="http://schemas.openxmlformats.org/officeDocument/2006/relationships/hyperlink" Target="https://youtu.be/rzhAmSBddS4" TargetMode="External"/><Relationship Id="rId582" Type="http://schemas.openxmlformats.org/officeDocument/2006/relationships/hyperlink" Target="https://inswave01.atlassian.net/wiki/download/attachments/1245393/getFilteredColData_getColData_DataList.xml?version=1&amp;modificationDate=1652939679000&amp;cacheVersion=1&amp;api=v2" TargetMode="External"/><Relationship Id="rId638" Type="http://schemas.openxmlformats.org/officeDocument/2006/relationships/hyperlink" Target="https://inswave01.atlassian.net/wiki/download/attachments/1245473/mergeCells_mergeByRestricRow_GridView.xml?version=1&amp;modificationDate=1732516113944&amp;cacheVersion=1&amp;api=v2" TargetMode="External"/><Relationship Id="rId3" Type="http://schemas.openxmlformats.org/officeDocument/2006/relationships/hyperlink" Target="https://youtu.be/rdDGRo2gF8I" TargetMode="External"/><Relationship Id="rId235" Type="http://schemas.openxmlformats.org/officeDocument/2006/relationships/hyperlink" Target="https://youtu.be/ruLrqseKaNs" TargetMode="External"/><Relationship Id="rId277" Type="http://schemas.openxmlformats.org/officeDocument/2006/relationships/hyperlink" Target="https://youtu.be/-2yFh9y4rcQ" TargetMode="External"/><Relationship Id="rId400" Type="http://schemas.openxmlformats.org/officeDocument/2006/relationships/hyperlink" Target="https://youtu.be/I-eHy0fIXIA" TargetMode="External"/><Relationship Id="rId442" Type="http://schemas.openxmlformats.org/officeDocument/2006/relationships/hyperlink" Target="https://youtu.be/P7KKscs83Jo" TargetMode="External"/><Relationship Id="rId484" Type="http://schemas.openxmlformats.org/officeDocument/2006/relationships/hyperlink" Target="https://youtu.be/Wp3dO7_7RkE" TargetMode="External"/><Relationship Id="rId137" Type="http://schemas.openxmlformats.org/officeDocument/2006/relationships/hyperlink" Target="https://youtu.be/f55tYpVFWxc" TargetMode="External"/><Relationship Id="rId302" Type="http://schemas.openxmlformats.org/officeDocument/2006/relationships/hyperlink" Target="https://youtu.be/2vzPY0QLCok" TargetMode="External"/><Relationship Id="rId344" Type="http://schemas.openxmlformats.org/officeDocument/2006/relationships/hyperlink" Target="https://youtu.be/0EKW1ten_ps" TargetMode="External"/><Relationship Id="rId41" Type="http://schemas.openxmlformats.org/officeDocument/2006/relationships/hyperlink" Target="https://youtu.be/ijYnYvNdlSE" TargetMode="External"/><Relationship Id="rId83" Type="http://schemas.openxmlformats.org/officeDocument/2006/relationships/hyperlink" Target="https://youtu.be/IOQuojUp1IU" TargetMode="External"/><Relationship Id="rId179" Type="http://schemas.openxmlformats.org/officeDocument/2006/relationships/hyperlink" Target="https://youtu.be/dwEVjSMhvvg" TargetMode="External"/><Relationship Id="rId386" Type="http://schemas.openxmlformats.org/officeDocument/2006/relationships/hyperlink" Target="https://youtu.be/hvxhjZoPsts" TargetMode="External"/><Relationship Id="rId551" Type="http://schemas.openxmlformats.org/officeDocument/2006/relationships/hyperlink" Target="https://inswave01.atlassian.net/wiki/download/attachments/1245461/setReadOnly_GridView.xml?version=1&amp;modificationDate=1704688923000&amp;cacheVersion=1&amp;api=v2" TargetMode="External"/><Relationship Id="rId593" Type="http://schemas.openxmlformats.org/officeDocument/2006/relationships/hyperlink" Target="https://inswave01.atlassian.net/wiki/download/attachments/1245393/preserveType_DataList.xml?version=1&amp;modificationDate=1723183235697&amp;cacheVersion=1&amp;api=v2" TargetMode="External"/><Relationship Id="rId607" Type="http://schemas.openxmlformats.org/officeDocument/2006/relationships/hyperlink" Target="https://inswave01.atlassian.net/wiki/download/attachments/119275521/setCellColor_getCellColor_GridView.xml?version=1&amp;modificationDate=1724111314462&amp;cacheVersion=1&amp;api=v2" TargetMode="External"/><Relationship Id="rId649" Type="http://schemas.openxmlformats.org/officeDocument/2006/relationships/hyperlink" Target="https://youtu.be/FgGmBvEv5q4" TargetMode="External"/><Relationship Id="rId190" Type="http://schemas.openxmlformats.org/officeDocument/2006/relationships/hyperlink" Target="https://youtu.be/J086xJbf7Wg" TargetMode="External"/><Relationship Id="rId204" Type="http://schemas.openxmlformats.org/officeDocument/2006/relationships/hyperlink" Target="https://youtu.be/Pd_QBd2xCPc" TargetMode="External"/><Relationship Id="rId246" Type="http://schemas.openxmlformats.org/officeDocument/2006/relationships/hyperlink" Target="https://youtu.be/1O4RTyEfGwg" TargetMode="External"/><Relationship Id="rId288" Type="http://schemas.openxmlformats.org/officeDocument/2006/relationships/hyperlink" Target="https://youtu.be/mLJnDEBfavc" TargetMode="External"/><Relationship Id="rId411" Type="http://schemas.openxmlformats.org/officeDocument/2006/relationships/hyperlink" Target="https://youtu.be/2WxgLVxA4Qs" TargetMode="External"/><Relationship Id="rId453" Type="http://schemas.openxmlformats.org/officeDocument/2006/relationships/hyperlink" Target="https://youtu.be/3HiSk4YkkT4" TargetMode="External"/><Relationship Id="rId509" Type="http://schemas.openxmlformats.org/officeDocument/2006/relationships/hyperlink" Target="https://youtu.be/CHgj4fpmYEQ" TargetMode="External"/><Relationship Id="rId660" Type="http://schemas.openxmlformats.org/officeDocument/2006/relationships/hyperlink" Target="https://inswave01.atlassian.net/wiki/download/attachments/1245457/onpanelload_onpanelunload_Accordion.xml?version=1&amp;modificationDate=1734389110777&amp;cacheVersion=1&amp;api=v2" TargetMode="External"/><Relationship Id="rId106" Type="http://schemas.openxmlformats.org/officeDocument/2006/relationships/hyperlink" Target="https://youtu.be/keVnrnMaRO8" TargetMode="External"/><Relationship Id="rId313" Type="http://schemas.openxmlformats.org/officeDocument/2006/relationships/hyperlink" Target="https://youtu.be/HWMIfBt6MOw" TargetMode="External"/><Relationship Id="rId495" Type="http://schemas.openxmlformats.org/officeDocument/2006/relationships/hyperlink" Target="https://youtu.be/fOV1CcG-ohE" TargetMode="External"/><Relationship Id="rId10" Type="http://schemas.openxmlformats.org/officeDocument/2006/relationships/hyperlink" Target="https://youtu.be/60Az2lCc_10" TargetMode="External"/><Relationship Id="rId52" Type="http://schemas.openxmlformats.org/officeDocument/2006/relationships/hyperlink" Target="https://youtu.be/j7CPUsTpO-c" TargetMode="External"/><Relationship Id="rId94" Type="http://schemas.openxmlformats.org/officeDocument/2006/relationships/hyperlink" Target="https://youtu.be/IwIiNZJvo1c" TargetMode="External"/><Relationship Id="rId148" Type="http://schemas.openxmlformats.org/officeDocument/2006/relationships/hyperlink" Target="https://youtu.be/icJ1TWyaIt0" TargetMode="External"/><Relationship Id="rId355" Type="http://schemas.openxmlformats.org/officeDocument/2006/relationships/hyperlink" Target="https://youtu.be/h36vNjn5Xbs" TargetMode="External"/><Relationship Id="rId397" Type="http://schemas.openxmlformats.org/officeDocument/2006/relationships/hyperlink" Target="https://youtu.be/1K7Imek4BuA" TargetMode="External"/><Relationship Id="rId520" Type="http://schemas.openxmlformats.org/officeDocument/2006/relationships/hyperlink" Target="https://inswave01.atlassian.net/wiki/download/attachments/1245459/reinitialize_$p.zip?version=1&amp;modificationDate=1689723346000&amp;cacheVersion=1&amp;api=v2" TargetMode="External"/><Relationship Id="rId562" Type="http://schemas.openxmlformats.org/officeDocument/2006/relationships/hyperlink" Target="https://inswave01.atlassian.net/wiki/download/attachments/1245431/pageFrame_addTab_TabControl.zip?version=1&amp;modificationDate=1716946440000&amp;cacheVersion=1&amp;api=v2" TargetMode="External"/><Relationship Id="rId618" Type="http://schemas.openxmlformats.org/officeDocument/2006/relationships/hyperlink" Target="https://youtu.be/ualtfURZIX8" TargetMode="External"/><Relationship Id="rId215" Type="http://schemas.openxmlformats.org/officeDocument/2006/relationships/hyperlink" Target="https://youtu.be/pjEYTl_b7TI" TargetMode="External"/><Relationship Id="rId257" Type="http://schemas.openxmlformats.org/officeDocument/2006/relationships/hyperlink" Target="https://youtu.be/2sRK1QVpSZo" TargetMode="External"/><Relationship Id="rId422" Type="http://schemas.openxmlformats.org/officeDocument/2006/relationships/hyperlink" Target="https://youtu.be/2TI-A0_cbog" TargetMode="External"/><Relationship Id="rId464" Type="http://schemas.openxmlformats.org/officeDocument/2006/relationships/hyperlink" Target="https://youtu.be/5iI3EWzctyg" TargetMode="External"/><Relationship Id="rId299" Type="http://schemas.openxmlformats.org/officeDocument/2006/relationships/hyperlink" Target="https://youtu.be/2JVHeNzkFZ8" TargetMode="External"/><Relationship Id="rId63" Type="http://schemas.openxmlformats.org/officeDocument/2006/relationships/hyperlink" Target="https://youtu.be/d5tq5y7e9j8" TargetMode="External"/><Relationship Id="rId159" Type="http://schemas.openxmlformats.org/officeDocument/2006/relationships/hyperlink" Target="https://youtu.be/TG3nZBI8msE" TargetMode="External"/><Relationship Id="rId366" Type="http://schemas.openxmlformats.org/officeDocument/2006/relationships/hyperlink" Target="https://youtu.be/9_SgibAMgw4" TargetMode="External"/><Relationship Id="rId573" Type="http://schemas.openxmlformats.org/officeDocument/2006/relationships/hyperlink" Target="https://inswave01.atlassian.net/wiki/download/attachments/1245397/useHeaderToolbar_ScheduleCalendar.xml?version=1&amp;modificationDate=1718947001485&amp;cacheVersion=1&amp;api=v2" TargetMode="External"/><Relationship Id="rId226" Type="http://schemas.openxmlformats.org/officeDocument/2006/relationships/hyperlink" Target="https://youtu.be/oG856h31NQE" TargetMode="External"/><Relationship Id="rId433" Type="http://schemas.openxmlformats.org/officeDocument/2006/relationships/hyperlink" Target="https://youtu.be/TkJHyMY6jSc" TargetMode="External"/><Relationship Id="rId640" Type="http://schemas.openxmlformats.org/officeDocument/2006/relationships/hyperlink" Target="https://inswave01.atlassian.net/wiki/download/attachments/1245473/mergeCells_mergeByRestricCol_GridView.xml?version=1&amp;modificationDate=1732578407790&amp;cacheVersion=1&amp;api=v2" TargetMode="External"/><Relationship Id="rId74" Type="http://schemas.openxmlformats.org/officeDocument/2006/relationships/hyperlink" Target="https://youtu.be/9jZhEDnSmlw" TargetMode="External"/><Relationship Id="rId377" Type="http://schemas.openxmlformats.org/officeDocument/2006/relationships/hyperlink" Target="https://youtu.be/FU52N0D18mo" TargetMode="External"/><Relationship Id="rId500" Type="http://schemas.openxmlformats.org/officeDocument/2006/relationships/hyperlink" Target="https://youtu.be/a-ZuCnKQaH4" TargetMode="External"/><Relationship Id="rId584" Type="http://schemas.openxmlformats.org/officeDocument/2006/relationships/hyperlink" Target="https://inswave01.atlassian.net/wiki/download/attachments/1245461/focusFlow_GridView.xml?version=1&amp;modificationDate=1653975172000&amp;cacheVersion=1&amp;api=v2" TargetMode="External"/><Relationship Id="rId5" Type="http://schemas.openxmlformats.org/officeDocument/2006/relationships/hyperlink" Target="https://youtu.be/Fk_COS9_dOk" TargetMode="External"/><Relationship Id="rId237" Type="http://schemas.openxmlformats.org/officeDocument/2006/relationships/hyperlink" Target="https://youtu.be/1kVpL-Nw3hc" TargetMode="External"/><Relationship Id="rId444" Type="http://schemas.openxmlformats.org/officeDocument/2006/relationships/hyperlink" Target="https://youtu.be/Cn2MzrsuRXk" TargetMode="External"/><Relationship Id="rId651" Type="http://schemas.openxmlformats.org/officeDocument/2006/relationships/hyperlink" Target="https://youtu.be/pNuDxa8PJQI" TargetMode="External"/><Relationship Id="rId290" Type="http://schemas.openxmlformats.org/officeDocument/2006/relationships/hyperlink" Target="https://youtu.be/uf6voVjDnRo" TargetMode="External"/><Relationship Id="rId304" Type="http://schemas.openxmlformats.org/officeDocument/2006/relationships/hyperlink" Target="https://youtu.be/to3ecuDoh0o" TargetMode="External"/><Relationship Id="rId388" Type="http://schemas.openxmlformats.org/officeDocument/2006/relationships/hyperlink" Target="https://youtu.be/d-eyEgACxd0" TargetMode="External"/><Relationship Id="rId511" Type="http://schemas.openxmlformats.org/officeDocument/2006/relationships/hyperlink" Target="https://youtu.be/b1UcSFvlJMY" TargetMode="External"/><Relationship Id="rId609" Type="http://schemas.openxmlformats.org/officeDocument/2006/relationships/hyperlink" Target="https://inswave01.atlassian.net/wiki/download/attachments/119275521/setColumnBackgroundColor_getColumnBackgroundColor_GridView.xml?version=1&amp;modificationDate=1724111313406&amp;cacheVersion=1&amp;api=v2" TargetMode="External"/><Relationship Id="rId85" Type="http://schemas.openxmlformats.org/officeDocument/2006/relationships/hyperlink" Target="https://youtu.be/bRaPG5A6s9U" TargetMode="External"/><Relationship Id="rId150" Type="http://schemas.openxmlformats.org/officeDocument/2006/relationships/hyperlink" Target="https://youtu.be/mM_2hO0FG1s" TargetMode="External"/><Relationship Id="rId595" Type="http://schemas.openxmlformats.org/officeDocument/2006/relationships/hyperlink" Target="https://youtu.be/fvpVt24nNhw" TargetMode="External"/><Relationship Id="rId248" Type="http://schemas.openxmlformats.org/officeDocument/2006/relationships/hyperlink" Target="https://youtu.be/J_Nx89_G3FM" TargetMode="External"/><Relationship Id="rId455" Type="http://schemas.openxmlformats.org/officeDocument/2006/relationships/hyperlink" Target="https://youtu.be/NFAR0O2QvRI" TargetMode="External"/><Relationship Id="rId662" Type="http://schemas.openxmlformats.org/officeDocument/2006/relationships/hyperlink" Target="https://inswave01.atlassian.net/wiki/download/attachments/1245449/event_UDC_SP5.zip?version=1&amp;modificationDate=1663658244000&amp;cacheVersion=1&amp;api=v2" TargetMode="External"/><Relationship Id="rId12" Type="http://schemas.openxmlformats.org/officeDocument/2006/relationships/hyperlink" Target="https://youtu.be/2-K7dD7OVHs" TargetMode="External"/><Relationship Id="rId108" Type="http://schemas.openxmlformats.org/officeDocument/2006/relationships/hyperlink" Target="https://youtu.be/ru16t-GdHx0" TargetMode="External"/><Relationship Id="rId315" Type="http://schemas.openxmlformats.org/officeDocument/2006/relationships/hyperlink" Target="https://youtu.be/5jcVHiTcUuQ" TargetMode="External"/><Relationship Id="rId522" Type="http://schemas.openxmlformats.org/officeDocument/2006/relationships/hyperlink" Target="https://inswave01.atlassian.net/wiki/download/attachments/1245459/dynamicCreate_$p.xml?version=1&amp;modificationDate=1648704148000&amp;cacheVersion=1&amp;api=v2" TargetMode="External"/><Relationship Id="rId96" Type="http://schemas.openxmlformats.org/officeDocument/2006/relationships/hyperlink" Target="https://youtu.be/uu1wFeYjNKc" TargetMode="External"/><Relationship Id="rId161" Type="http://schemas.openxmlformats.org/officeDocument/2006/relationships/hyperlink" Target="https://youtu.be/Vir5iv1uFX8" TargetMode="External"/><Relationship Id="rId399" Type="http://schemas.openxmlformats.org/officeDocument/2006/relationships/hyperlink" Target="https://youtu.be/iUZKEXx_XHE" TargetMode="External"/><Relationship Id="rId259" Type="http://schemas.openxmlformats.org/officeDocument/2006/relationships/hyperlink" Target="https://youtu.be/Oa7-zFv_BxM" TargetMode="External"/><Relationship Id="rId466" Type="http://schemas.openxmlformats.org/officeDocument/2006/relationships/hyperlink" Target="https://youtu.be/_-_BlE40I2Q" TargetMode="External"/><Relationship Id="rId673" Type="http://schemas.openxmlformats.org/officeDocument/2006/relationships/hyperlink" Target="https://youtu.be/ODulxBbi1hY" TargetMode="External"/><Relationship Id="rId23" Type="http://schemas.openxmlformats.org/officeDocument/2006/relationships/hyperlink" Target="https://youtu.be/X16DleFE0Vg" TargetMode="External"/><Relationship Id="rId119" Type="http://schemas.openxmlformats.org/officeDocument/2006/relationships/hyperlink" Target="https://youtu.be/Z_SgdHf7Nw8" TargetMode="External"/><Relationship Id="rId326" Type="http://schemas.openxmlformats.org/officeDocument/2006/relationships/hyperlink" Target="https://youtu.be/1xigWeMmHNI" TargetMode="External"/><Relationship Id="rId533" Type="http://schemas.openxmlformats.org/officeDocument/2006/relationships/hyperlink" Target="https://inswave01.atlassian.net/wiki/download/attachments/1245385/openPopup_closeAction_$p.xml?version=1&amp;modificationDate=1648445352000&amp;cacheVersion=1&amp;api=v2" TargetMode="External"/><Relationship Id="rId172" Type="http://schemas.openxmlformats.org/officeDocument/2006/relationships/hyperlink" Target="https://youtu.be/BKVzAv9EVNM" TargetMode="External"/><Relationship Id="rId477" Type="http://schemas.openxmlformats.org/officeDocument/2006/relationships/hyperlink" Target="https://youtu.be/o9Rc0rjzixc" TargetMode="External"/><Relationship Id="rId600" Type="http://schemas.openxmlformats.org/officeDocument/2006/relationships/hyperlink" Target="https://youtu.be/m6TbtM062xE" TargetMode="External"/><Relationship Id="rId337" Type="http://schemas.openxmlformats.org/officeDocument/2006/relationships/hyperlink" Target="https://youtu.be/bRAqROKjOew" TargetMode="External"/><Relationship Id="rId34" Type="http://schemas.openxmlformats.org/officeDocument/2006/relationships/hyperlink" Target="https://youtu.be/QJ3G8Rg0-NI" TargetMode="External"/><Relationship Id="rId544" Type="http://schemas.openxmlformats.org/officeDocument/2006/relationships/hyperlink" Target="https://inswave01.atlassian.net/wiki/download/attachments/1245518/getText_Editor.xml?version=1&amp;modificationDate=1704956040000&amp;cacheVersion=1&amp;api=v2" TargetMode="External"/><Relationship Id="rId183" Type="http://schemas.openxmlformats.org/officeDocument/2006/relationships/hyperlink" Target="https://youtu.be/dBTN2L2FOqY" TargetMode="External"/><Relationship Id="rId390" Type="http://schemas.openxmlformats.org/officeDocument/2006/relationships/hyperlink" Target="https://youtu.be/7gFGWg2RdVY" TargetMode="External"/><Relationship Id="rId404" Type="http://schemas.openxmlformats.org/officeDocument/2006/relationships/hyperlink" Target="https://youtu.be/6HH_y9jxOQA" TargetMode="External"/><Relationship Id="rId611" Type="http://schemas.openxmlformats.org/officeDocument/2006/relationships/hyperlink" Target="https://inswave01.atlassian.net/wiki/download/attachments/119275521/setColumnStyle_GridView.xml?version=1&amp;modificationDate=1724111324494&amp;cacheVersion=1&amp;api=v2" TargetMode="External"/><Relationship Id="rId250" Type="http://schemas.openxmlformats.org/officeDocument/2006/relationships/hyperlink" Target="https://youtu.be/OfsxRRlZ8cI" TargetMode="External"/><Relationship Id="rId488" Type="http://schemas.openxmlformats.org/officeDocument/2006/relationships/hyperlink" Target="https://youtu.be/7yz4luu-lfk" TargetMode="External"/><Relationship Id="rId45" Type="http://schemas.openxmlformats.org/officeDocument/2006/relationships/hyperlink" Target="https://youtu.be/ssuLp4x0cjA" TargetMode="External"/><Relationship Id="rId110" Type="http://schemas.openxmlformats.org/officeDocument/2006/relationships/hyperlink" Target="https://youtu.be/kTIlquVF8yw" TargetMode="External"/><Relationship Id="rId348" Type="http://schemas.openxmlformats.org/officeDocument/2006/relationships/hyperlink" Target="https://youtu.be/SlqpP7L47ig" TargetMode="External"/><Relationship Id="rId555" Type="http://schemas.openxmlformats.org/officeDocument/2006/relationships/hyperlink" Target="https://inswave01.atlassian.net/wiki/download/attachments/1245465/inputType_checkcombobox_gridView_column.xml?version=1&amp;modificationDate=1644557590000&amp;cacheVersion=1&amp;api=v2" TargetMode="External"/><Relationship Id="rId194" Type="http://schemas.openxmlformats.org/officeDocument/2006/relationships/hyperlink" Target="https://youtu.be/N7dAsU12OGY" TargetMode="External"/><Relationship Id="rId208" Type="http://schemas.openxmlformats.org/officeDocument/2006/relationships/hyperlink" Target="https://youtu.be/3xh5OE5Mar4" TargetMode="External"/><Relationship Id="rId415" Type="http://schemas.openxmlformats.org/officeDocument/2006/relationships/hyperlink" Target="https://youtu.be/qiCJ4XSJ8tc" TargetMode="External"/><Relationship Id="rId622" Type="http://schemas.openxmlformats.org/officeDocument/2006/relationships/hyperlink" Target="https://youtu.be/DSpM4L-9e4U" TargetMode="External"/><Relationship Id="rId261" Type="http://schemas.openxmlformats.org/officeDocument/2006/relationships/hyperlink" Target="https://youtu.be/wAa6iNN1O28" TargetMode="External"/><Relationship Id="rId499" Type="http://schemas.openxmlformats.org/officeDocument/2006/relationships/hyperlink" Target="https://youtu.be/IyV5dRXMaQw" TargetMode="External"/><Relationship Id="rId56" Type="http://schemas.openxmlformats.org/officeDocument/2006/relationships/hyperlink" Target="https://youtu.be/srqwDbr70FM" TargetMode="External"/><Relationship Id="rId359" Type="http://schemas.openxmlformats.org/officeDocument/2006/relationships/hyperlink" Target="https://youtu.be/47hscGTF_gI" TargetMode="External"/><Relationship Id="rId566" Type="http://schemas.openxmlformats.org/officeDocument/2006/relationships/hyperlink" Target="https://inswave01.atlassian.net/wiki/download/attachments/1245506/isValidDate_WebSquare_date.xml?version=2&amp;modificationDate=1704440940000&amp;cacheVersion=1&amp;api=v2" TargetMode="External"/><Relationship Id="rId121" Type="http://schemas.openxmlformats.org/officeDocument/2006/relationships/hyperlink" Target="https://youtu.be/4R8vFFkceDc" TargetMode="External"/><Relationship Id="rId219" Type="http://schemas.openxmlformats.org/officeDocument/2006/relationships/hyperlink" Target="https://youtu.be/gDMHA9y-JOg" TargetMode="External"/><Relationship Id="rId426" Type="http://schemas.openxmlformats.org/officeDocument/2006/relationships/hyperlink" Target="https://youtu.be/B8Nbvp_CF_E" TargetMode="External"/><Relationship Id="rId633" Type="http://schemas.openxmlformats.org/officeDocument/2006/relationships/hyperlink" Target="https://inswave01.atlassian.net/wiki/download/attachments/119275521/rowMouseOver_rowMouseOverColor_GridView.xml?version=1&amp;modificationDate=1731903998225&amp;cacheVersion=1&amp;api=v2" TargetMode="External"/><Relationship Id="rId67" Type="http://schemas.openxmlformats.org/officeDocument/2006/relationships/hyperlink" Target="https://youtu.be/MbaDvgdtVIQ" TargetMode="External"/><Relationship Id="rId272" Type="http://schemas.openxmlformats.org/officeDocument/2006/relationships/hyperlink" Target="https://youtu.be/IGgpOcse1gY" TargetMode="External"/><Relationship Id="rId577" Type="http://schemas.openxmlformats.org/officeDocument/2006/relationships/hyperlink" Target="https://youtu.be/rQl7Jzhvh8k" TargetMode="External"/><Relationship Id="rId132" Type="http://schemas.openxmlformats.org/officeDocument/2006/relationships/hyperlink" Target="https://youtu.be/UxauFsASseU" TargetMode="External"/><Relationship Id="rId437" Type="http://schemas.openxmlformats.org/officeDocument/2006/relationships/hyperlink" Target="https://youtu.be/tWLwvlwZW5Q" TargetMode="External"/><Relationship Id="rId644" Type="http://schemas.openxmlformats.org/officeDocument/2006/relationships/hyperlink" Target="https://inswave01.atlassian.net/wiki/download/attachments/1245473/mergeCells_mergeByCol_GridView.xml?version=1&amp;modificationDate=1730766226540&amp;cacheVersion=1&amp;api=v2" TargetMode="External"/><Relationship Id="rId283" Type="http://schemas.openxmlformats.org/officeDocument/2006/relationships/hyperlink" Target="https://youtu.be/NCLFfdTf-2c" TargetMode="External"/><Relationship Id="rId490" Type="http://schemas.openxmlformats.org/officeDocument/2006/relationships/hyperlink" Target="https://youtu.be/JTCMjNt4jiM" TargetMode="External"/><Relationship Id="rId504" Type="http://schemas.openxmlformats.org/officeDocument/2006/relationships/hyperlink" Target="https://youtu.be/ROf-Xqbg2TY" TargetMode="External"/><Relationship Id="rId78" Type="http://schemas.openxmlformats.org/officeDocument/2006/relationships/hyperlink" Target="https://youtu.be/BX23wkAgGtQ" TargetMode="External"/><Relationship Id="rId143" Type="http://schemas.openxmlformats.org/officeDocument/2006/relationships/hyperlink" Target="https://youtu.be/oEbMw_9xGaQ" TargetMode="External"/><Relationship Id="rId350" Type="http://schemas.openxmlformats.org/officeDocument/2006/relationships/hyperlink" Target="https://youtu.be/jcE6477rwcc" TargetMode="External"/><Relationship Id="rId588" Type="http://schemas.openxmlformats.org/officeDocument/2006/relationships/hyperlink" Target="https://inswave01.atlassian.net/wiki/download/attachments/1245461/setSubtotalVisible_GridView.xml?version=1&amp;modificationDate=1654845697000&amp;cacheVersion=1&amp;api=v2" TargetMode="External"/><Relationship Id="rId9" Type="http://schemas.openxmlformats.org/officeDocument/2006/relationships/hyperlink" Target="https://youtu.be/958L9UKfYiY" TargetMode="External"/><Relationship Id="rId210" Type="http://schemas.openxmlformats.org/officeDocument/2006/relationships/hyperlink" Target="https://youtu.be/PYq9S0e4T8w" TargetMode="External"/><Relationship Id="rId448" Type="http://schemas.openxmlformats.org/officeDocument/2006/relationships/hyperlink" Target="https://youtu.be/8fboLD_cBqk" TargetMode="External"/><Relationship Id="rId655" Type="http://schemas.openxmlformats.org/officeDocument/2006/relationships/hyperlink" Target="https://inswave01.atlassian.net/wiki/download/attachments/1245405/createWindow_adaptiveFrame_WindowContainer.zip?version=1&amp;modificationDate=1733464462171&amp;cacheVersion=1&amp;api=v2" TargetMode="External"/><Relationship Id="rId294" Type="http://schemas.openxmlformats.org/officeDocument/2006/relationships/hyperlink" Target="https://youtu.be/h4a3nwF5VpE" TargetMode="External"/><Relationship Id="rId308" Type="http://schemas.openxmlformats.org/officeDocument/2006/relationships/hyperlink" Target="https://youtu.be/U-IW9JUdi5M" TargetMode="External"/><Relationship Id="rId515" Type="http://schemas.openxmlformats.org/officeDocument/2006/relationships/hyperlink" Target="https://youtu.be/g4y3ooh8nxA" TargetMode="External"/><Relationship Id="rId89" Type="http://schemas.openxmlformats.org/officeDocument/2006/relationships/hyperlink" Target="https://youtu.be/4SEWyOMmfvY" TargetMode="External"/><Relationship Id="rId154" Type="http://schemas.openxmlformats.org/officeDocument/2006/relationships/hyperlink" Target="https://youtu.be/ukYx3_iBlEA" TargetMode="External"/><Relationship Id="rId361" Type="http://schemas.openxmlformats.org/officeDocument/2006/relationships/hyperlink" Target="https://youtu.be/PBFSg8Kpqzk" TargetMode="External"/><Relationship Id="rId599" Type="http://schemas.openxmlformats.org/officeDocument/2006/relationships/hyperlink" Target="https://youtu.be/j2cmkGw-rUE" TargetMode="External"/><Relationship Id="rId459" Type="http://schemas.openxmlformats.org/officeDocument/2006/relationships/hyperlink" Target="https://youtu.be/lM0VvDGoYHI" TargetMode="External"/><Relationship Id="rId666" Type="http://schemas.openxmlformats.org/officeDocument/2006/relationships/hyperlink" Target="https://inswave01.atlassian.net/wiki/download/attachments/1245395/pickerType_dynamicHeaderOrder_InputCalendar.xml?version=1&amp;modificationDate=1737674262805&amp;cacheVersion=1&amp;api=v2" TargetMode="External"/><Relationship Id="rId16" Type="http://schemas.openxmlformats.org/officeDocument/2006/relationships/hyperlink" Target="https://youtu.be/Kxh6WwZUUWo" TargetMode="External"/><Relationship Id="rId221" Type="http://schemas.openxmlformats.org/officeDocument/2006/relationships/hyperlink" Target="https://youtu.be/FgJIBcSgqTI" TargetMode="External"/><Relationship Id="rId319" Type="http://schemas.openxmlformats.org/officeDocument/2006/relationships/hyperlink" Target="https://youtu.be/6Zeh7zcZrHU" TargetMode="External"/><Relationship Id="rId526" Type="http://schemas.openxmlformats.org/officeDocument/2006/relationships/hyperlink" Target="https://inswave01.atlassian.net/wiki/download/attachments/1245385/getParameter_$p_openPopup_$p.zip?version=1&amp;modificationDate=1648709818000&amp;cacheVersion=1&amp;api=v2" TargetMode="External"/><Relationship Id="rId165" Type="http://schemas.openxmlformats.org/officeDocument/2006/relationships/hyperlink" Target="https://youtu.be/zZMB4xD6anc" TargetMode="External"/><Relationship Id="rId372" Type="http://schemas.openxmlformats.org/officeDocument/2006/relationships/hyperlink" Target="https://youtu.be/f92HetCX_kA" TargetMode="External"/><Relationship Id="rId232" Type="http://schemas.openxmlformats.org/officeDocument/2006/relationships/hyperlink" Target="https://youtu.be/hlmFVdkh060" TargetMode="External"/><Relationship Id="rId27" Type="http://schemas.openxmlformats.org/officeDocument/2006/relationships/hyperlink" Target="https://youtu.be/N6Md83g1YgY" TargetMode="External"/><Relationship Id="rId537" Type="http://schemas.openxmlformats.org/officeDocument/2006/relationships/hyperlink" Target="https://inswave01.atlassian.net/wiki/download/attachments/1245453/executeSubmission_$p.zip?version=1&amp;modificationDate=1652163991000&amp;cacheVersion=1&amp;api=v2" TargetMode="External"/><Relationship Id="rId80" Type="http://schemas.openxmlformats.org/officeDocument/2006/relationships/hyperlink" Target="https://youtu.be/xcc67MTK3qE" TargetMode="External"/><Relationship Id="rId176" Type="http://schemas.openxmlformats.org/officeDocument/2006/relationships/hyperlink" Target="https://youtu.be/iC26GKbsJpQ" TargetMode="External"/><Relationship Id="rId383" Type="http://schemas.openxmlformats.org/officeDocument/2006/relationships/hyperlink" Target="https://youtu.be/X2kMVMJEarw" TargetMode="External"/><Relationship Id="rId590" Type="http://schemas.openxmlformats.org/officeDocument/2006/relationships/hyperlink" Target="https://inswave01.atlassian.net/wiki/download/attachments/1245393/keepDataType_DataMap.xml?version=1&amp;modificationDate=1719961110375&amp;cacheVersion=1&amp;api=v2" TargetMode="External"/><Relationship Id="rId604" Type="http://schemas.openxmlformats.org/officeDocument/2006/relationships/hyperlink" Target="https://inswave01.atlassian.net/wiki/download/attachments/119275521/rowNumVisible_rowNumHeaderValue_rowNumWidth_rowNumBackgroundColor_GridView.xml?version=1&amp;modificationDate=1724111365338&amp;cacheVersion=1&amp;api=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19CC-C759-4D2E-BEE5-96C61114220F}">
  <sheetPr filterMode="1"/>
  <dimension ref="A1:AD604"/>
  <sheetViews>
    <sheetView tabSelected="1" zoomScale="90" zoomScaleNormal="90" workbookViewId="0">
      <pane xSplit="5" ySplit="1" topLeftCell="Y144" activePane="bottomRight" state="frozen"/>
      <selection activeCell="F134" sqref="F134"/>
      <selection pane="topRight" activeCell="F134" sqref="F134"/>
      <selection pane="bottomLeft" activeCell="F134" sqref="F134"/>
      <selection pane="bottomRight" activeCell="B201" sqref="B201"/>
    </sheetView>
  </sheetViews>
  <sheetFormatPr defaultColWidth="8.5" defaultRowHeight="17" x14ac:dyDescent="0.45"/>
  <cols>
    <col min="1" max="1" width="10.4140625" style="10" bestFit="1" customWidth="1"/>
    <col min="2" max="2" width="25.4140625" style="11" bestFit="1" customWidth="1"/>
    <col min="3" max="3" width="26.75" style="1" bestFit="1" customWidth="1"/>
    <col min="4" max="4" width="52.83203125" style="1" customWidth="1"/>
    <col min="5" max="5" width="46.4140625" style="12" hidden="1" customWidth="1"/>
    <col min="6" max="6" width="42" style="13" hidden="1" customWidth="1"/>
    <col min="7" max="7" width="39.5" style="1" hidden="1" customWidth="1"/>
    <col min="8" max="8" width="29" style="1" hidden="1" customWidth="1"/>
    <col min="9" max="9" width="32.5" style="5" hidden="1" customWidth="1"/>
    <col min="10" max="10" width="31.1640625" style="20" hidden="1" customWidth="1"/>
    <col min="11" max="11" width="60.83203125" style="1" hidden="1" customWidth="1"/>
    <col min="12" max="12" width="18.75" style="16" hidden="1" customWidth="1"/>
    <col min="13" max="13" width="12.25" style="20" hidden="1" customWidth="1"/>
    <col min="14" max="14" width="12.4140625" style="6" hidden="1" customWidth="1"/>
    <col min="15" max="18" width="12.4140625" style="3" hidden="1" customWidth="1"/>
    <col min="19" max="19" width="12.4140625" style="2" hidden="1" customWidth="1"/>
    <col min="20" max="20" width="16.4140625" style="15" hidden="1" customWidth="1"/>
    <col min="21" max="21" width="22.4140625" style="1" hidden="1" customWidth="1"/>
    <col min="22" max="22" width="41.25" style="1" hidden="1" customWidth="1"/>
    <col min="23" max="23" width="13.33203125" style="1" hidden="1" customWidth="1"/>
    <col min="24" max="24" width="32.08203125" style="1" hidden="1" customWidth="1"/>
    <col min="25" max="25" width="31.08203125" style="1" customWidth="1"/>
    <col min="26" max="26" width="27.6640625" style="1" customWidth="1"/>
    <col min="27" max="27" width="26.83203125" style="1" customWidth="1"/>
    <col min="28" max="28" width="27.5" style="1" hidden="1" customWidth="1"/>
    <col min="29" max="29" width="33.75" style="1" customWidth="1"/>
    <col min="30" max="16384" width="8.5" style="1"/>
  </cols>
  <sheetData>
    <row r="1" spans="1:28" s="39" customFormat="1" x14ac:dyDescent="0.45">
      <c r="A1" s="74" t="s">
        <v>27</v>
      </c>
      <c r="B1" s="74" t="s">
        <v>3545</v>
      </c>
      <c r="C1" s="74" t="s">
        <v>3546</v>
      </c>
      <c r="D1" s="74" t="s">
        <v>2341</v>
      </c>
      <c r="E1" s="8" t="s">
        <v>40</v>
      </c>
      <c r="F1" s="8" t="s">
        <v>139</v>
      </c>
      <c r="G1" s="7" t="s">
        <v>3541</v>
      </c>
      <c r="H1" s="7" t="s">
        <v>3549</v>
      </c>
      <c r="I1" s="7" t="s">
        <v>210</v>
      </c>
      <c r="J1" s="9" t="s">
        <v>3544</v>
      </c>
      <c r="K1" s="7" t="s">
        <v>3542</v>
      </c>
      <c r="L1" s="9" t="s">
        <v>11</v>
      </c>
      <c r="M1" s="9" t="s">
        <v>2363</v>
      </c>
      <c r="N1" s="7" t="s">
        <v>2339</v>
      </c>
      <c r="O1" s="7" t="s">
        <v>2340</v>
      </c>
      <c r="P1" s="7" t="s">
        <v>2091</v>
      </c>
      <c r="Q1" s="7" t="s">
        <v>2339</v>
      </c>
      <c r="R1" s="7" t="s">
        <v>2340</v>
      </c>
      <c r="S1" s="7" t="s">
        <v>2091</v>
      </c>
      <c r="T1" s="8" t="s">
        <v>3543</v>
      </c>
      <c r="U1" s="7"/>
      <c r="V1" s="7" t="s">
        <v>3765</v>
      </c>
      <c r="W1" s="21"/>
      <c r="X1" s="7" t="s">
        <v>4511</v>
      </c>
      <c r="Y1" s="74" t="s">
        <v>4246</v>
      </c>
      <c r="Z1" s="74" t="s">
        <v>4245</v>
      </c>
      <c r="AA1" s="74" t="s">
        <v>3544</v>
      </c>
      <c r="AB1" s="21"/>
    </row>
    <row r="2" spans="1:28" s="39" customFormat="1" ht="102" hidden="1" x14ac:dyDescent="0.45">
      <c r="A2" s="37">
        <f>SUBTOTAL(3, $T$2:T2)</f>
        <v>0</v>
      </c>
      <c r="B2" s="38" t="s">
        <v>0</v>
      </c>
      <c r="C2" s="39" t="s">
        <v>1121</v>
      </c>
      <c r="D2" s="39" t="s">
        <v>746</v>
      </c>
      <c r="E2" s="40" t="s">
        <v>742</v>
      </c>
      <c r="F2" s="41" t="s">
        <v>741</v>
      </c>
      <c r="G2" s="42" t="s">
        <v>743</v>
      </c>
      <c r="H2" s="43" t="s">
        <v>3551</v>
      </c>
      <c r="I2" s="44" t="s">
        <v>12</v>
      </c>
      <c r="J2" s="14" t="s">
        <v>745</v>
      </c>
      <c r="K2" s="45" t="s">
        <v>3550</v>
      </c>
      <c r="L2" s="46">
        <v>43556</v>
      </c>
      <c r="M2" s="14"/>
      <c r="N2" s="45"/>
      <c r="O2" s="45"/>
      <c r="P2" s="45"/>
      <c r="Q2" s="45"/>
      <c r="R2" s="45"/>
      <c r="S2" s="45"/>
      <c r="T2" s="47" t="s">
        <v>4248</v>
      </c>
      <c r="U2" s="39" t="s">
        <v>3766</v>
      </c>
      <c r="V2" s="39" t="str">
        <f t="shared" ref="V2:V4" si="0">CONCATENATE(U2, D2)</f>
        <v>https://example.websquare.kr/websquare/websquare.html?w2xPath=/guide/GridView/Merge/mergeFocusedCell_mergeSplitFocusedCell_GridView.pdf</v>
      </c>
      <c r="W2" s="39" t="s">
        <v>4222</v>
      </c>
      <c r="X2" s="39" t="str">
        <f t="shared" ref="X2:X4" si="1">CONCATENATE(W2, D2)</f>
        <v>https://docs.inswave.com/websquare/websquare.html?w2xPath=/support/api/samples/GridView/Merge/mergeFocusedCell_mergeSplitFocusedCell_GridView.pdf</v>
      </c>
      <c r="Y2" s="48"/>
      <c r="Z2" s="4"/>
      <c r="AA2" s="4" t="str">
        <f t="shared" ref="AA2:AA4" si="2">HYPERLINK(J2,H2)</f>
        <v>셀 병합/해제</v>
      </c>
      <c r="AB2" s="39" t="str">
        <f t="shared" ref="AB2:AB4" si="3">CONCATENATE(W2, D2)</f>
        <v>https://docs.inswave.com/websquare/websquare.html?w2xPath=/support/api/samples/GridView/Merge/mergeFocusedCell_mergeSplitFocusedCell_GridView.pdf</v>
      </c>
    </row>
    <row r="3" spans="1:28" s="39" customFormat="1" ht="221" hidden="1" x14ac:dyDescent="0.45">
      <c r="A3" s="37">
        <f>SUBTOTAL(3, $T$2:T3)</f>
        <v>0</v>
      </c>
      <c r="B3" s="38" t="s">
        <v>0</v>
      </c>
      <c r="C3" s="38" t="s">
        <v>1121</v>
      </c>
      <c r="D3" s="39" t="s">
        <v>755</v>
      </c>
      <c r="E3" s="40" t="s">
        <v>752</v>
      </c>
      <c r="F3" s="41" t="s">
        <v>753</v>
      </c>
      <c r="G3" s="39" t="s">
        <v>756</v>
      </c>
      <c r="H3" s="43" t="s">
        <v>3552</v>
      </c>
      <c r="I3" s="44" t="s">
        <v>757</v>
      </c>
      <c r="J3" s="14" t="s">
        <v>754</v>
      </c>
      <c r="K3" s="45" t="s">
        <v>3550</v>
      </c>
      <c r="L3" s="46">
        <v>43556</v>
      </c>
      <c r="M3" s="14"/>
      <c r="N3" s="45"/>
      <c r="O3" s="45"/>
      <c r="P3" s="45"/>
      <c r="Q3" s="45"/>
      <c r="R3" s="45"/>
      <c r="S3" s="45"/>
      <c r="T3" s="47" t="s">
        <v>4248</v>
      </c>
      <c r="U3" s="39" t="s">
        <v>3766</v>
      </c>
      <c r="V3" s="39" t="str">
        <f t="shared" si="0"/>
        <v>https://example.websquare.kr/websquare/websquare.html?w2xPath=/guide/GridView/Merge/merge_GridView.pdf</v>
      </c>
      <c r="W3" s="39" t="s">
        <v>4222</v>
      </c>
      <c r="X3" s="39" t="str">
        <f t="shared" si="1"/>
        <v>https://docs.inswave.com/websquare/websquare.html?w2xPath=/support/api/samples/GridView/Merge/merge_GridView.pdf</v>
      </c>
      <c r="Y3" s="48"/>
      <c r="Z3" s="4"/>
      <c r="AA3" s="4" t="str">
        <f t="shared" si="2"/>
        <v>셀 병합 방식</v>
      </c>
      <c r="AB3" s="39" t="str">
        <f t="shared" si="3"/>
        <v>https://docs.inswave.com/websquare/websquare.html?w2xPath=/support/api/samples/GridView/Merge/merge_GridView.pdf</v>
      </c>
    </row>
    <row r="4" spans="1:28" s="39" customFormat="1" ht="102" hidden="1" x14ac:dyDescent="0.45">
      <c r="A4" s="37">
        <f>SUBTOTAL(3, $T$2:T4)</f>
        <v>0</v>
      </c>
      <c r="B4" s="38" t="s">
        <v>0</v>
      </c>
      <c r="C4" s="39" t="s">
        <v>1121</v>
      </c>
      <c r="D4" s="39" t="s">
        <v>762</v>
      </c>
      <c r="E4" s="40" t="s">
        <v>760</v>
      </c>
      <c r="F4" s="41" t="s">
        <v>761</v>
      </c>
      <c r="G4" s="39" t="s">
        <v>763</v>
      </c>
      <c r="H4" s="43" t="s">
        <v>3553</v>
      </c>
      <c r="I4" s="44" t="s">
        <v>764</v>
      </c>
      <c r="J4" s="14" t="s">
        <v>759</v>
      </c>
      <c r="K4" s="45" t="s">
        <v>3550</v>
      </c>
      <c r="L4" s="46">
        <v>43556</v>
      </c>
      <c r="M4" s="14"/>
      <c r="N4" s="45"/>
      <c r="O4" s="45"/>
      <c r="P4" s="45"/>
      <c r="Q4" s="45"/>
      <c r="R4" s="45"/>
      <c r="S4" s="45"/>
      <c r="T4" s="47" t="s">
        <v>4248</v>
      </c>
      <c r="U4" s="39" t="s">
        <v>3766</v>
      </c>
      <c r="V4" s="39" t="str">
        <f t="shared" si="0"/>
        <v>https://example.websquare.kr/websquare/websquare.html?w2xPath=/guide/GridView/Merge/mergeByFree_unmergeByFree_GridView.pdf</v>
      </c>
      <c r="W4" s="39" t="s">
        <v>4220</v>
      </c>
      <c r="X4" s="39" t="str">
        <f t="shared" si="1"/>
        <v>https://docs.inswave.com/websquare/websquare.html?w2xPath=/support/api/samples/GridView/Merge/mergeByFree_unmergeByFree_GridView.pdf</v>
      </c>
      <c r="Y4" s="48"/>
      <c r="Z4" s="4"/>
      <c r="AA4" s="4" t="str">
        <f t="shared" si="2"/>
        <v>영역 병합/해제</v>
      </c>
      <c r="AB4" s="39" t="str">
        <f t="shared" si="3"/>
        <v>https://docs.inswave.com/websquare/websquare.html?w2xPath=/support/api/samples/GridView/Merge/mergeByFree_unmergeByFree_GridView.pdf</v>
      </c>
    </row>
    <row r="5" spans="1:28" s="39" customFormat="1" ht="102" x14ac:dyDescent="0.45">
      <c r="A5" s="37">
        <f>SUBTOTAL(3, $T$2:T5)</f>
        <v>1</v>
      </c>
      <c r="B5" s="38" t="s">
        <v>1</v>
      </c>
      <c r="C5" s="39" t="s">
        <v>1096</v>
      </c>
      <c r="D5" s="39" t="s">
        <v>4404</v>
      </c>
      <c r="E5" s="40" t="s">
        <v>4270</v>
      </c>
      <c r="F5" s="41" t="s">
        <v>4271</v>
      </c>
      <c r="G5" s="39" t="s">
        <v>838</v>
      </c>
      <c r="H5" s="53" t="s">
        <v>4326</v>
      </c>
      <c r="I5" s="39" t="s">
        <v>51</v>
      </c>
      <c r="J5" s="14" t="s">
        <v>837</v>
      </c>
      <c r="K5" s="22" t="s">
        <v>2765</v>
      </c>
      <c r="L5" s="46">
        <v>44166</v>
      </c>
      <c r="M5" s="45" t="s">
        <v>200</v>
      </c>
      <c r="N5" s="45" t="s">
        <v>199</v>
      </c>
      <c r="O5" s="45" t="s">
        <v>199</v>
      </c>
      <c r="P5" s="45" t="s">
        <v>199</v>
      </c>
      <c r="Q5" s="45" t="s">
        <v>199</v>
      </c>
      <c r="R5" s="45" t="s">
        <v>199</v>
      </c>
      <c r="S5" s="45" t="s">
        <v>199</v>
      </c>
      <c r="T5" s="47" t="s">
        <v>4247</v>
      </c>
      <c r="U5" s="39" t="s">
        <v>3764</v>
      </c>
      <c r="V5" s="39" t="str">
        <f>CONCATENATE(U5, D5)</f>
        <v>https://example.websquare.kr/websquare/websquare.html?w2xPath=/guide/_p/_General/getEventTarget_p_WebSquare_util.xml</v>
      </c>
      <c r="W5" s="39" t="s">
        <v>4512</v>
      </c>
      <c r="X5" s="39" t="str">
        <f>CONCATENATE(W5, D5)</f>
        <v>https://docs.inswave.com/websquare/websquare.html?w2xPath=/support/api/guide/_p/_General/getEventTarget_p_WebSquare_util.xml</v>
      </c>
      <c r="Y5" s="48" t="str">
        <f>HYPERLINK(X5, H5)</f>
        <v>이벤트가 발생한 컴포넌트 정보 반환</v>
      </c>
      <c r="Z5" s="4" t="str">
        <f>HYPERLINK(V5,H5)</f>
        <v>이벤트가 발생한 컴포넌트 정보 반환</v>
      </c>
      <c r="AA5" s="4" t="str">
        <f>HYPERLINK(J5,H5)</f>
        <v>이벤트가 발생한 컴포넌트 정보 반환</v>
      </c>
      <c r="AB5" s="39" t="str">
        <f t="shared" ref="AB5:AB68" si="4">CONCATENATE(W5, D5)</f>
        <v>https://docs.inswave.com/websquare/websquare.html?w2xPath=/support/api/guide/_p/_General/getEventTarget_p_WebSquare_util.xml</v>
      </c>
    </row>
    <row r="6" spans="1:28" s="39" customFormat="1" ht="102" hidden="1" x14ac:dyDescent="0.45">
      <c r="A6" s="37">
        <f>SUBTOTAL(3, $T$2:T6)</f>
        <v>1</v>
      </c>
      <c r="B6" s="38" t="s">
        <v>0</v>
      </c>
      <c r="C6" s="39" t="s">
        <v>1100</v>
      </c>
      <c r="D6" s="39" t="s">
        <v>775</v>
      </c>
      <c r="E6" s="40" t="s">
        <v>771</v>
      </c>
      <c r="F6" s="41" t="s">
        <v>770</v>
      </c>
      <c r="G6" s="39" t="s">
        <v>773</v>
      </c>
      <c r="H6" s="43" t="s">
        <v>3554</v>
      </c>
      <c r="I6" s="44" t="s">
        <v>772</v>
      </c>
      <c r="J6" s="14" t="s">
        <v>774</v>
      </c>
      <c r="K6" s="45" t="s">
        <v>3550</v>
      </c>
      <c r="L6" s="46">
        <v>43556</v>
      </c>
      <c r="M6" s="14"/>
      <c r="N6" s="45"/>
      <c r="O6" s="45"/>
      <c r="P6" s="45"/>
      <c r="Q6" s="45"/>
      <c r="R6" s="45"/>
      <c r="S6" s="45"/>
      <c r="T6" s="47" t="s">
        <v>4248</v>
      </c>
      <c r="U6" s="39" t="s">
        <v>3764</v>
      </c>
      <c r="V6" s="39" t="str">
        <f>CONCATENATE(U6, D6)</f>
        <v>https://example.websquare.kr/websquare/websquare.html?w2xPath=/guide/GridView/Excel/advancedExcelUpload_removeColumns_GridView.pdf</v>
      </c>
      <c r="W6" s="39" t="s">
        <v>4220</v>
      </c>
      <c r="X6" s="39" t="str">
        <f>CONCATENATE(W6, D6)</f>
        <v>https://docs.inswave.com/websquare/websquare.html?w2xPath=/support/api/samples/GridView/Excel/advancedExcelUpload_removeColumns_GridView.pdf</v>
      </c>
      <c r="Y6" s="48"/>
      <c r="Z6" s="4"/>
      <c r="AA6" s="4" t="str">
        <f>HYPERLINK(J6,H6)</f>
        <v>컬럼 제외 업로드</v>
      </c>
      <c r="AB6" s="39" t="str">
        <f t="shared" si="4"/>
        <v>https://docs.inswave.com/websquare/websquare.html?w2xPath=/support/api/samples/GridView/Excel/advancedExcelUpload_removeColumns_GridView.pdf</v>
      </c>
    </row>
    <row r="7" spans="1:28" s="39" customFormat="1" ht="102" hidden="1" x14ac:dyDescent="0.45">
      <c r="A7" s="37">
        <f>SUBTOTAL(3, $T$2:T7)</f>
        <v>1</v>
      </c>
      <c r="B7" s="38" t="s">
        <v>0</v>
      </c>
      <c r="C7" s="39" t="s">
        <v>1098</v>
      </c>
      <c r="D7" s="39" t="s">
        <v>781</v>
      </c>
      <c r="E7" s="40" t="s">
        <v>777</v>
      </c>
      <c r="F7" s="41" t="s">
        <v>776</v>
      </c>
      <c r="G7" s="39" t="s">
        <v>779</v>
      </c>
      <c r="H7" s="43" t="s">
        <v>3555</v>
      </c>
      <c r="I7" s="44" t="s">
        <v>778</v>
      </c>
      <c r="J7" s="14" t="s">
        <v>780</v>
      </c>
      <c r="K7" s="45" t="s">
        <v>3550</v>
      </c>
      <c r="L7" s="46">
        <v>43556</v>
      </c>
      <c r="M7" s="14"/>
      <c r="N7" s="45"/>
      <c r="O7" s="45"/>
      <c r="P7" s="45"/>
      <c r="Q7" s="45"/>
      <c r="R7" s="45"/>
      <c r="S7" s="45"/>
      <c r="T7" s="47" t="s">
        <v>4248</v>
      </c>
      <c r="U7" s="39" t="s">
        <v>3764</v>
      </c>
      <c r="V7" s="39" t="str">
        <f>CONCATENATE(U7, D7)</f>
        <v>https://example.websquare.kr/websquare/websquare.html?w2xPath=/guide/GridView/_General/fixedColumn_fixedRightColumn_GridView.pdf</v>
      </c>
      <c r="W7" s="39" t="s">
        <v>4220</v>
      </c>
      <c r="X7" s="39" t="str">
        <f>CONCATENATE(W7, D7)</f>
        <v>https://docs.inswave.com/websquare/websquare.html?w2xPath=/support/api/samples/GridView/_General/fixedColumn_fixedRightColumn_GridView.pdf</v>
      </c>
      <c r="Y7" s="48"/>
      <c r="Z7" s="4"/>
      <c r="AA7" s="4" t="str">
        <f>HYPERLINK(J7,H7)</f>
        <v>고정 열 지정</v>
      </c>
      <c r="AB7" s="39" t="str">
        <f t="shared" si="4"/>
        <v>https://docs.inswave.com/websquare/websquare.html?w2xPath=/support/api/samples/GridView/_General/fixedColumn_fixedRightColumn_GridView.pdf</v>
      </c>
    </row>
    <row r="8" spans="1:28" s="39" customFormat="1" ht="102" hidden="1" x14ac:dyDescent="0.45">
      <c r="A8" s="37">
        <f>SUBTOTAL(3, $T$2:T8)</f>
        <v>1</v>
      </c>
      <c r="B8" s="38" t="s">
        <v>18</v>
      </c>
      <c r="C8" s="39" t="s">
        <v>18</v>
      </c>
      <c r="D8" s="39" t="s">
        <v>787</v>
      </c>
      <c r="E8" s="40" t="s">
        <v>783</v>
      </c>
      <c r="F8" s="41" t="s">
        <v>786</v>
      </c>
      <c r="G8" s="39" t="s">
        <v>788</v>
      </c>
      <c r="H8" s="43" t="s">
        <v>4244</v>
      </c>
      <c r="I8" s="39" t="s">
        <v>790</v>
      </c>
      <c r="J8" s="14" t="s">
        <v>785</v>
      </c>
      <c r="K8" s="45" t="s">
        <v>3550</v>
      </c>
      <c r="L8" s="46">
        <v>43556</v>
      </c>
      <c r="M8" s="14"/>
      <c r="N8" s="45"/>
      <c r="O8" s="45"/>
      <c r="P8" s="45"/>
      <c r="Q8" s="45"/>
      <c r="R8" s="45"/>
      <c r="S8" s="45"/>
      <c r="T8" s="47" t="s">
        <v>4248</v>
      </c>
      <c r="U8" s="39" t="s">
        <v>3764</v>
      </c>
      <c r="V8" s="39" t="str">
        <f>CONCATENATE(U8, D8)</f>
        <v>https://example.websquare.kr/websquare/websquare.html?w2xPath=/guide/WFrame/scope_WFrame_2.pdf</v>
      </c>
      <c r="W8" s="39" t="s">
        <v>4220</v>
      </c>
      <c r="X8" s="39" t="str">
        <f>CONCATENATE(W8, D8)</f>
        <v>https://docs.inswave.com/websquare/websquare.html?w2xPath=/support/api/samples/WFrame/scope_WFrame_2.pdf</v>
      </c>
      <c r="Y8" s="48"/>
      <c r="Z8" s="4"/>
      <c r="AA8" s="4" t="str">
        <f>HYPERLINK(J8,H8)</f>
        <v>scope 속성 ②</v>
      </c>
      <c r="AB8" s="39" t="str">
        <f t="shared" si="4"/>
        <v>https://docs.inswave.com/websquare/websquare.html?w2xPath=/support/api/samples/WFrame/scope_WFrame_2.pdf</v>
      </c>
    </row>
    <row r="9" spans="1:28" s="39" customFormat="1" ht="102" hidden="1" x14ac:dyDescent="0.45">
      <c r="A9" s="37">
        <f>SUBTOTAL(3, $T$2:T9)</f>
        <v>1</v>
      </c>
      <c r="B9" s="38" t="s">
        <v>1948</v>
      </c>
      <c r="C9" s="39" t="s">
        <v>1948</v>
      </c>
      <c r="D9" s="39" t="s">
        <v>1949</v>
      </c>
      <c r="E9" s="40" t="s">
        <v>782</v>
      </c>
      <c r="F9" s="41" t="s">
        <v>796</v>
      </c>
      <c r="G9" s="39" t="s">
        <v>794</v>
      </c>
      <c r="H9" s="43" t="s">
        <v>3556</v>
      </c>
      <c r="I9" s="39" t="s">
        <v>3</v>
      </c>
      <c r="J9" s="14" t="s">
        <v>795</v>
      </c>
      <c r="K9" s="45" t="s">
        <v>3550</v>
      </c>
      <c r="L9" s="46">
        <v>43556</v>
      </c>
      <c r="M9" s="14"/>
      <c r="N9" s="45"/>
      <c r="O9" s="45"/>
      <c r="P9" s="45"/>
      <c r="Q9" s="45"/>
      <c r="R9" s="45"/>
      <c r="S9" s="45"/>
      <c r="T9" s="47" t="s">
        <v>4248</v>
      </c>
      <c r="U9" s="39" t="s">
        <v>3764</v>
      </c>
      <c r="V9" s="39" t="str">
        <f>CONCATENATE(U9, D9)</f>
        <v>https://example.websquare.kr/websquare/websquare.html?w2xPath=/guide/_config_xml/strictMode_config_xml.pdf</v>
      </c>
      <c r="W9" s="39" t="s">
        <v>4220</v>
      </c>
      <c r="X9" s="39" t="str">
        <f>CONCATENATE(W9, D9)</f>
        <v>https://docs.inswave.com/websquare/websquare.html?w2xPath=/support/api/samples/_config_xml/strictMode_config_xml.pdf</v>
      </c>
      <c r="Y9" s="48"/>
      <c r="Z9" s="4"/>
      <c r="AA9" s="4" t="str">
        <f>HYPERLINK(J9,H9)</f>
        <v>WFrame 참조</v>
      </c>
      <c r="AB9" s="39" t="str">
        <f t="shared" si="4"/>
        <v>https://docs.inswave.com/websquare/websquare.html?w2xPath=/support/api/samples/_config_xml/strictMode_config_xml.pdf</v>
      </c>
    </row>
    <row r="10" spans="1:28" s="39" customFormat="1" ht="102" hidden="1" x14ac:dyDescent="0.45">
      <c r="A10" s="37">
        <f>SUBTOTAL(3, $T$2:T10)</f>
        <v>1</v>
      </c>
      <c r="B10" s="38" t="s">
        <v>18</v>
      </c>
      <c r="C10" s="39" t="s">
        <v>18</v>
      </c>
      <c r="D10" s="39" t="s">
        <v>793</v>
      </c>
      <c r="E10" s="40" t="s">
        <v>784</v>
      </c>
      <c r="F10" s="41" t="s">
        <v>792</v>
      </c>
      <c r="G10" s="39" t="s">
        <v>789</v>
      </c>
      <c r="H10" s="43" t="s">
        <v>4243</v>
      </c>
      <c r="I10" s="39" t="s">
        <v>790</v>
      </c>
      <c r="J10" s="14" t="s">
        <v>791</v>
      </c>
      <c r="K10" s="45" t="s">
        <v>3550</v>
      </c>
      <c r="L10" s="46">
        <v>43556</v>
      </c>
      <c r="M10" s="14"/>
      <c r="N10" s="45"/>
      <c r="O10" s="45"/>
      <c r="P10" s="45"/>
      <c r="Q10" s="45"/>
      <c r="R10" s="45"/>
      <c r="S10" s="45"/>
      <c r="T10" s="47" t="s">
        <v>4248</v>
      </c>
      <c r="U10" s="39" t="s">
        <v>3764</v>
      </c>
      <c r="V10" s="39" t="str">
        <f>CONCATENATE(U10, D10)</f>
        <v>https://example.websquare.kr/websquare/websquare.html?w2xPath=/guide/WFrame/scope_WFrame_1.pdf</v>
      </c>
      <c r="W10" s="39" t="s">
        <v>4220</v>
      </c>
      <c r="X10" s="39" t="str">
        <f>CONCATENATE(W10, D10)</f>
        <v>https://docs.inswave.com/websquare/websquare.html?w2xPath=/support/api/samples/WFrame/scope_WFrame_1.pdf</v>
      </c>
      <c r="Y10" s="48"/>
      <c r="Z10" s="4"/>
      <c r="AA10" s="4" t="str">
        <f>HYPERLINK(J10,H10)</f>
        <v>scope 속성 ①</v>
      </c>
      <c r="AB10" s="39" t="str">
        <f t="shared" si="4"/>
        <v>https://docs.inswave.com/websquare/websquare.html?w2xPath=/support/api/samples/WFrame/scope_WFrame_1.pdf</v>
      </c>
    </row>
    <row r="11" spans="1:28" s="39" customFormat="1" ht="102" hidden="1" x14ac:dyDescent="0.45">
      <c r="A11" s="37">
        <f>SUBTOTAL(3, $T$2:T11)</f>
        <v>1</v>
      </c>
      <c r="B11" s="51" t="s">
        <v>2110</v>
      </c>
      <c r="C11" s="39" t="s">
        <v>2276</v>
      </c>
      <c r="D11" s="39" t="s">
        <v>2264</v>
      </c>
      <c r="E11" s="40" t="s">
        <v>2237</v>
      </c>
      <c r="F11" s="41" t="s">
        <v>2236</v>
      </c>
      <c r="G11" s="39" t="s">
        <v>2238</v>
      </c>
      <c r="H11" s="43" t="s">
        <v>3622</v>
      </c>
      <c r="J11" s="14" t="s">
        <v>2242</v>
      </c>
      <c r="K11" s="45" t="s">
        <v>2304</v>
      </c>
      <c r="L11" s="46">
        <v>45078</v>
      </c>
      <c r="M11" s="45" t="s">
        <v>199</v>
      </c>
      <c r="N11" s="45" t="s">
        <v>2265</v>
      </c>
      <c r="O11" s="45" t="s">
        <v>199</v>
      </c>
      <c r="P11" s="45" t="s">
        <v>199</v>
      </c>
      <c r="Q11" s="45" t="s">
        <v>199</v>
      </c>
      <c r="R11" s="45" t="s">
        <v>199</v>
      </c>
      <c r="S11" s="45" t="s">
        <v>199</v>
      </c>
      <c r="T11" s="47" t="s">
        <v>4248</v>
      </c>
      <c r="U11" s="39" t="s">
        <v>3764</v>
      </c>
      <c r="V11" s="39" t="str">
        <f>CONCATENATE(U11, D11)</f>
        <v>https://example.websquare.kr/websquare/websquare.html?w2xPath=/guide/_Studio/SP6/Perspective_Upgrade_SP6_Studio.pdf</v>
      </c>
      <c r="W11" s="39" t="s">
        <v>4220</v>
      </c>
      <c r="X11" s="39" t="str">
        <f>CONCATENATE(W11, D11)</f>
        <v>https://docs.inswave.com/websquare/websquare.html?w2xPath=/support/api/samples/_Studio/SP6/Perspective_Upgrade_SP6_Studio.pdf</v>
      </c>
      <c r="Y11" s="48"/>
      <c r="Z11" s="4"/>
      <c r="AA11" s="4" t="str">
        <f>HYPERLINK(J11,H11)</f>
        <v>SP6 Perspective</v>
      </c>
      <c r="AB11" s="39" t="str">
        <f t="shared" si="4"/>
        <v>https://docs.inswave.com/websquare/websquare.html?w2xPath=/support/api/samples/_Studio/SP6/Perspective_Upgrade_SP6_Studio.pdf</v>
      </c>
    </row>
    <row r="12" spans="1:28" s="39" customFormat="1" ht="102" hidden="1" x14ac:dyDescent="0.45">
      <c r="A12" s="37">
        <f>SUBTOTAL(3, $T$2:T12)</f>
        <v>1</v>
      </c>
      <c r="B12" s="38" t="s">
        <v>1</v>
      </c>
      <c r="C12" s="39" t="s">
        <v>1096</v>
      </c>
      <c r="D12" s="39" t="s">
        <v>4250</v>
      </c>
      <c r="E12" s="40" t="s">
        <v>4253</v>
      </c>
      <c r="F12" s="41" t="s">
        <v>4254</v>
      </c>
      <c r="G12" s="39" t="s">
        <v>799</v>
      </c>
      <c r="H12" s="43" t="s">
        <v>3558</v>
      </c>
      <c r="I12" s="39" t="s">
        <v>800</v>
      </c>
      <c r="J12" s="14" t="s">
        <v>801</v>
      </c>
      <c r="K12" s="45" t="s">
        <v>3550</v>
      </c>
      <c r="L12" s="46">
        <v>43556</v>
      </c>
      <c r="M12" s="14"/>
      <c r="N12" s="45"/>
      <c r="O12" s="45"/>
      <c r="P12" s="45"/>
      <c r="Q12" s="45"/>
      <c r="R12" s="45"/>
      <c r="S12" s="45"/>
      <c r="T12" s="47" t="s">
        <v>4248</v>
      </c>
      <c r="U12" s="39" t="s">
        <v>3764</v>
      </c>
      <c r="V12" s="39" t="str">
        <f>CONCATENATE(U12, D12)</f>
        <v>https://example.websquare.kr/websquare/websquare.html?w2xPath=/guide/p/_General/watermark_p.pdf</v>
      </c>
      <c r="W12" s="39" t="s">
        <v>4220</v>
      </c>
      <c r="X12" s="39" t="str">
        <f>CONCATENATE(W12, D12)</f>
        <v>https://docs.inswave.com/websquare/websquare.html?w2xPath=/support/api/samples/p/_General/watermark_p.pdf</v>
      </c>
      <c r="Y12" s="48"/>
      <c r="Z12" s="4"/>
      <c r="AA12" s="4" t="str">
        <f>HYPERLINK(J12,H12)</f>
        <v>워터마크 출력</v>
      </c>
      <c r="AB12" s="39" t="str">
        <f t="shared" si="4"/>
        <v>https://docs.inswave.com/websquare/websquare.html?w2xPath=/support/api/samples/p/_General/watermark_p.pdf</v>
      </c>
    </row>
    <row r="13" spans="1:28" s="39" customFormat="1" ht="102" hidden="1" x14ac:dyDescent="0.45">
      <c r="A13" s="37">
        <f>SUBTOTAL(3, $T$2:T13)</f>
        <v>1</v>
      </c>
      <c r="B13" s="38" t="s">
        <v>19</v>
      </c>
      <c r="C13" s="39" t="s">
        <v>1122</v>
      </c>
      <c r="D13" s="39" t="s">
        <v>807</v>
      </c>
      <c r="E13" s="40" t="s">
        <v>806</v>
      </c>
      <c r="F13" s="41" t="s">
        <v>805</v>
      </c>
      <c r="G13" s="39" t="s">
        <v>802</v>
      </c>
      <c r="H13" s="43" t="s">
        <v>3768</v>
      </c>
      <c r="I13" s="44" t="s">
        <v>804</v>
      </c>
      <c r="J13" s="14" t="s">
        <v>803</v>
      </c>
      <c r="K13" s="45" t="s">
        <v>3550</v>
      </c>
      <c r="L13" s="46">
        <v>43556</v>
      </c>
      <c r="M13" s="14"/>
      <c r="N13" s="45"/>
      <c r="O13" s="45"/>
      <c r="P13" s="45"/>
      <c r="Q13" s="45"/>
      <c r="R13" s="45"/>
      <c r="S13" s="45"/>
      <c r="T13" s="47" t="s">
        <v>4248</v>
      </c>
      <c r="U13" s="39" t="s">
        <v>3764</v>
      </c>
      <c r="V13" s="39" t="str">
        <f>CONCATENATE(U13, D13)</f>
        <v>https://example.websquare.kr/websquare/websquare.html?w2xPath=/guide/_DataCollection/id_scope_aliasDataList.pdf</v>
      </c>
      <c r="W13" s="39" t="s">
        <v>4220</v>
      </c>
      <c r="X13" s="39" t="str">
        <f>CONCATENATE(W13, D13)</f>
        <v>https://docs.inswave.com/websquare/websquare.html?w2xPath=/support/api/samples/_DataCollection/id_scope_aliasDataList.pdf</v>
      </c>
      <c r="Y13" s="48"/>
      <c r="Z13" s="4"/>
      <c r="AA13" s="4" t="str">
        <f>HYPERLINK(J13,H13)</f>
        <v>부모 화면의 DataList 바인딩</v>
      </c>
      <c r="AB13" s="39" t="str">
        <f t="shared" si="4"/>
        <v>https://docs.inswave.com/websquare/websquare.html?w2xPath=/support/api/samples/_DataCollection/id_scope_aliasDataList.pdf</v>
      </c>
    </row>
    <row r="14" spans="1:28" s="39" customFormat="1" ht="102" hidden="1" x14ac:dyDescent="0.45">
      <c r="A14" s="37">
        <f>SUBTOTAL(3, $T$2:T14)</f>
        <v>1</v>
      </c>
      <c r="B14" s="40" t="s">
        <v>16</v>
      </c>
      <c r="C14" s="44" t="s">
        <v>16</v>
      </c>
      <c r="D14" s="39" t="s">
        <v>811</v>
      </c>
      <c r="E14" s="40" t="s">
        <v>812</v>
      </c>
      <c r="F14" s="41" t="s">
        <v>810</v>
      </c>
      <c r="G14" s="39" t="s">
        <v>813</v>
      </c>
      <c r="H14" s="43" t="s">
        <v>3559</v>
      </c>
      <c r="I14" s="44" t="s">
        <v>808</v>
      </c>
      <c r="J14" s="14" t="s">
        <v>809</v>
      </c>
      <c r="K14" s="45" t="s">
        <v>3550</v>
      </c>
      <c r="L14" s="46">
        <v>43556</v>
      </c>
      <c r="M14" s="14"/>
      <c r="N14" s="45"/>
      <c r="O14" s="45"/>
      <c r="P14" s="45"/>
      <c r="Q14" s="45"/>
      <c r="R14" s="45"/>
      <c r="S14" s="45"/>
      <c r="T14" s="47" t="s">
        <v>4248</v>
      </c>
      <c r="U14" s="39" t="s">
        <v>3764</v>
      </c>
      <c r="V14" s="39" t="str">
        <f>CONCATENATE(U14, D14)</f>
        <v>https://example.websquare.kr/websquare/websquare.html?w2xPath=/guide/AutoComplete/wheelStop_preventWheelEvent_AutoComplete_SelectBox.pdf</v>
      </c>
      <c r="W14" s="39" t="s">
        <v>4220</v>
      </c>
      <c r="X14" s="39" t="str">
        <f>CONCATENATE(W14, D14)</f>
        <v>https://docs.inswave.com/websquare/websquare.html?w2xPath=/support/api/samples/AutoComplete/wheelStop_preventWheelEvent_AutoComplete_SelectBox.pdf</v>
      </c>
      <c r="Y14" s="48"/>
      <c r="Z14" s="4"/>
      <c r="AA14" s="4" t="str">
        <f>HYPERLINK(J14,H14)</f>
        <v>스크롤 허용</v>
      </c>
      <c r="AB14" s="39" t="str">
        <f t="shared" si="4"/>
        <v>https://docs.inswave.com/websquare/websquare.html?w2xPath=/support/api/samples/AutoComplete/wheelStop_preventWheelEvent_AutoComplete_SelectBox.pdf</v>
      </c>
    </row>
    <row r="15" spans="1:28" s="39" customFormat="1" ht="102" hidden="1" x14ac:dyDescent="0.45">
      <c r="A15" s="37">
        <f>SUBTOTAL(3, $T$2:T15)</f>
        <v>1</v>
      </c>
      <c r="B15" s="38" t="s">
        <v>7</v>
      </c>
      <c r="C15" s="39" t="s">
        <v>7</v>
      </c>
      <c r="D15" s="39" t="s">
        <v>830</v>
      </c>
      <c r="E15" s="40" t="s">
        <v>827</v>
      </c>
      <c r="F15" s="41" t="s">
        <v>826</v>
      </c>
      <c r="G15" s="39" t="s">
        <v>828</v>
      </c>
      <c r="H15" s="43" t="s">
        <v>3560</v>
      </c>
      <c r="I15" s="44" t="s">
        <v>825</v>
      </c>
      <c r="J15" s="14" t="s">
        <v>829</v>
      </c>
      <c r="K15" s="45" t="s">
        <v>3550</v>
      </c>
      <c r="L15" s="46">
        <v>43556</v>
      </c>
      <c r="M15" s="14"/>
      <c r="N15" s="45"/>
      <c r="O15" s="45"/>
      <c r="P15" s="45"/>
      <c r="Q15" s="45"/>
      <c r="R15" s="45"/>
      <c r="S15" s="45"/>
      <c r="T15" s="47" t="s">
        <v>4248</v>
      </c>
      <c r="U15" s="39" t="s">
        <v>3764</v>
      </c>
      <c r="V15" s="39" t="str">
        <f>CONCATENATE(U15, D15)</f>
        <v>https://example.websquare.kr/websquare/websquare.html?w2xPath=/guide/Calendar/disableBeforeToday_disableAfterToday_Calendar.pdf</v>
      </c>
      <c r="W15" s="39" t="s">
        <v>4220</v>
      </c>
      <c r="X15" s="39" t="str">
        <f>CONCATENATE(W15, D15)</f>
        <v>https://docs.inswave.com/websquare/websquare.html?w2xPath=/support/api/samples/Calendar/disableBeforeToday_disableAfterToday_Calendar.pdf</v>
      </c>
      <c r="Y15" s="48"/>
      <c r="Z15" s="4"/>
      <c r="AA15" s="4" t="str">
        <f>HYPERLINK(J15,H15)</f>
        <v>날짜 제한</v>
      </c>
      <c r="AB15" s="39" t="str">
        <f t="shared" si="4"/>
        <v>https://docs.inswave.com/websquare/websquare.html?w2xPath=/support/api/samples/Calendar/disableBeforeToday_disableAfterToday_Calendar.pdf</v>
      </c>
    </row>
    <row r="16" spans="1:28" s="39" customFormat="1" ht="102" hidden="1" x14ac:dyDescent="0.45">
      <c r="A16" s="37">
        <f>SUBTOTAL(3, $T$2:T16)</f>
        <v>1</v>
      </c>
      <c r="B16" s="38" t="s">
        <v>10</v>
      </c>
      <c r="C16" s="39" t="s">
        <v>10</v>
      </c>
      <c r="D16" s="39" t="s">
        <v>2354</v>
      </c>
      <c r="E16" s="40" t="s">
        <v>855</v>
      </c>
      <c r="F16" s="41" t="s">
        <v>2353</v>
      </c>
      <c r="G16" s="39" t="s">
        <v>853</v>
      </c>
      <c r="H16" s="43" t="s">
        <v>3561</v>
      </c>
      <c r="I16" s="44" t="s">
        <v>852</v>
      </c>
      <c r="J16" s="14" t="s">
        <v>854</v>
      </c>
      <c r="K16" s="45" t="s">
        <v>3550</v>
      </c>
      <c r="L16" s="46">
        <v>43556</v>
      </c>
      <c r="M16" s="45" t="s">
        <v>200</v>
      </c>
      <c r="N16" s="45"/>
      <c r="O16" s="45"/>
      <c r="P16" s="45"/>
      <c r="Q16" s="45"/>
      <c r="R16" s="45"/>
      <c r="S16" s="45"/>
      <c r="T16" s="47" t="s">
        <v>4248</v>
      </c>
      <c r="U16" s="39" t="s">
        <v>3764</v>
      </c>
      <c r="V16" s="39" t="str">
        <f>CONCATENATE(U16, D16)</f>
        <v>https://example.websquare.kr/websquare/websquare.html?w2xPath=/guide/MapChart/dataMapPath_changeMapPath_MapChart.pdf</v>
      </c>
      <c r="W16" s="39" t="s">
        <v>4220</v>
      </c>
      <c r="X16" s="39" t="str">
        <f>CONCATENATE(W16, D16)</f>
        <v>https://docs.inswave.com/websquare/websquare.html?w2xPath=/support/api/samples/MapChart/dataMapPath_changeMapPath_MapChart.pdf</v>
      </c>
      <c r="Y16" s="48"/>
      <c r="Z16" s="4"/>
      <c r="AA16" s="4" t="str">
        <f>HYPERLINK(J16,H16)</f>
        <v>지도 시각화</v>
      </c>
      <c r="AB16" s="39" t="str">
        <f t="shared" si="4"/>
        <v>https://docs.inswave.com/websquare/websquare.html?w2xPath=/support/api/samples/MapChart/dataMapPath_changeMapPath_MapChart.pdf</v>
      </c>
    </row>
    <row r="17" spans="1:28" s="39" customFormat="1" ht="102" hidden="1" x14ac:dyDescent="0.45">
      <c r="A17" s="37">
        <f>SUBTOTAL(3, $T$2:T17)</f>
        <v>1</v>
      </c>
      <c r="B17" s="38" t="s">
        <v>8</v>
      </c>
      <c r="C17" s="39" t="s">
        <v>8</v>
      </c>
      <c r="D17" s="39" t="s">
        <v>861</v>
      </c>
      <c r="E17" s="40" t="s">
        <v>857</v>
      </c>
      <c r="F17" s="41" t="s">
        <v>856</v>
      </c>
      <c r="G17" s="39" t="s">
        <v>858</v>
      </c>
      <c r="H17" s="43" t="s">
        <v>3562</v>
      </c>
      <c r="I17" s="39" t="s">
        <v>859</v>
      </c>
      <c r="J17" s="14" t="s">
        <v>860</v>
      </c>
      <c r="K17" s="45" t="s">
        <v>3550</v>
      </c>
      <c r="L17" s="46">
        <v>43556</v>
      </c>
      <c r="M17" s="14"/>
      <c r="N17" s="45"/>
      <c r="O17" s="45"/>
      <c r="P17" s="45"/>
      <c r="Q17" s="45"/>
      <c r="R17" s="45"/>
      <c r="S17" s="45"/>
      <c r="T17" s="47" t="s">
        <v>4248</v>
      </c>
      <c r="U17" s="39" t="s">
        <v>3764</v>
      </c>
      <c r="V17" s="39" t="str">
        <f>CONCATENATE(U17, D17)</f>
        <v>https://example.websquare.kr/websquare/websquare.html?w2xPath=/guide/PageList/displaySearchbox_PageList.pdf</v>
      </c>
      <c r="W17" s="39" t="s">
        <v>4220</v>
      </c>
      <c r="X17" s="39" t="str">
        <f>CONCATENATE(W17, D17)</f>
        <v>https://docs.inswave.com/websquare/websquare.html?w2xPath=/support/api/samples/PageList/displaySearchbox_PageList.pdf</v>
      </c>
      <c r="Y17" s="48"/>
      <c r="Z17" s="4"/>
      <c r="AA17" s="4" t="str">
        <f>HYPERLINK(J17,H17)</f>
        <v>페이지 이동창</v>
      </c>
      <c r="AB17" s="39" t="str">
        <f t="shared" si="4"/>
        <v>https://docs.inswave.com/websquare/websquare.html?w2xPath=/support/api/samples/PageList/displaySearchbox_PageList.pdf</v>
      </c>
    </row>
    <row r="18" spans="1:28" s="39" customFormat="1" ht="102" hidden="1" x14ac:dyDescent="0.45">
      <c r="A18" s="37">
        <f>SUBTOTAL(3, $T$2:T18)</f>
        <v>1</v>
      </c>
      <c r="B18" s="38" t="s">
        <v>2</v>
      </c>
      <c r="C18" s="39" t="s">
        <v>2</v>
      </c>
      <c r="D18" s="39" t="s">
        <v>867</v>
      </c>
      <c r="E18" s="40" t="s">
        <v>863</v>
      </c>
      <c r="F18" s="41" t="s">
        <v>862</v>
      </c>
      <c r="G18" s="39" t="s">
        <v>864</v>
      </c>
      <c r="H18" s="43" t="s">
        <v>3563</v>
      </c>
      <c r="I18" s="39" t="s">
        <v>865</v>
      </c>
      <c r="J18" s="14" t="s">
        <v>866</v>
      </c>
      <c r="K18" s="45" t="s">
        <v>3550</v>
      </c>
      <c r="L18" s="46">
        <v>43556</v>
      </c>
      <c r="M18" s="14"/>
      <c r="N18" s="45"/>
      <c r="O18" s="45"/>
      <c r="P18" s="45"/>
      <c r="Q18" s="45"/>
      <c r="R18" s="45"/>
      <c r="S18" s="45"/>
      <c r="T18" s="47" t="s">
        <v>4248</v>
      </c>
      <c r="U18" s="39" t="s">
        <v>3764</v>
      </c>
      <c r="V18" s="39" t="str">
        <f>CONCATENATE(U18, D18)</f>
        <v>https://example.websquare.kr/websquare/websquare.html?w2xPath=/guide/SelectBox/preventWheelEvent_SelectBox.pdf</v>
      </c>
      <c r="W18" s="39" t="s">
        <v>4220</v>
      </c>
      <c r="X18" s="39" t="str">
        <f>CONCATENATE(W18, D18)</f>
        <v>https://docs.inswave.com/websquare/websquare.html?w2xPath=/support/api/samples/SelectBox/preventWheelEvent_SelectBox.pdf</v>
      </c>
      <c r="Y18" s="48"/>
      <c r="Z18" s="4"/>
      <c r="AA18" s="4" t="str">
        <f>HYPERLINK(J18,H18)</f>
        <v>목록 스크롤 방지</v>
      </c>
      <c r="AB18" s="39" t="str">
        <f t="shared" si="4"/>
        <v>https://docs.inswave.com/websquare/websquare.html?w2xPath=/support/api/samples/SelectBox/preventWheelEvent_SelectBox.pdf</v>
      </c>
    </row>
    <row r="19" spans="1:28" s="39" customFormat="1" ht="102" hidden="1" x14ac:dyDescent="0.45">
      <c r="A19" s="37">
        <f>SUBTOTAL(3, $T$2:T19)</f>
        <v>1</v>
      </c>
      <c r="B19" s="38" t="s">
        <v>6</v>
      </c>
      <c r="C19" s="39" t="s">
        <v>6</v>
      </c>
      <c r="D19" s="39" t="s">
        <v>872</v>
      </c>
      <c r="E19" s="40" t="s">
        <v>873</v>
      </c>
      <c r="F19" s="41" t="s">
        <v>868</v>
      </c>
      <c r="G19" s="39" t="s">
        <v>870</v>
      </c>
      <c r="H19" s="43" t="s">
        <v>3564</v>
      </c>
      <c r="I19" s="44" t="s">
        <v>869</v>
      </c>
      <c r="J19" s="14" t="s">
        <v>871</v>
      </c>
      <c r="K19" s="45" t="s">
        <v>3550</v>
      </c>
      <c r="L19" s="46">
        <v>43556</v>
      </c>
      <c r="M19" s="14"/>
      <c r="N19" s="45"/>
      <c r="O19" s="45"/>
      <c r="P19" s="45"/>
      <c r="Q19" s="45"/>
      <c r="R19" s="45"/>
      <c r="S19" s="45"/>
      <c r="T19" s="47" t="s">
        <v>4248</v>
      </c>
      <c r="U19" s="39" t="s">
        <v>3764</v>
      </c>
      <c r="V19" s="39" t="str">
        <f>CONCATENATE(U19, D19)</f>
        <v>https://example.websquare.kr/websquare/websquare.html?w2xPath=/guide/WidgetContainer/cols_unitHeightPixel_addWidgets_WidgetContainer.pdf</v>
      </c>
      <c r="W19" s="39" t="s">
        <v>4220</v>
      </c>
      <c r="X19" s="39" t="str">
        <f>CONCATENATE(W19, D19)</f>
        <v>https://docs.inswave.com/websquare/websquare.html?w2xPath=/support/api/samples/WidgetContainer/cols_unitHeightPixel_addWidgets_WidgetContainer.pdf</v>
      </c>
      <c r="Y19" s="48"/>
      <c r="Z19" s="4"/>
      <c r="AA19" s="4" t="str">
        <f>HYPERLINK(J19,H19)</f>
        <v>위젯 관리</v>
      </c>
      <c r="AB19" s="39" t="str">
        <f t="shared" si="4"/>
        <v>https://docs.inswave.com/websquare/websquare.html?w2xPath=/support/api/samples/WidgetContainer/cols_unitHeightPixel_addWidgets_WidgetContainer.pdf</v>
      </c>
    </row>
    <row r="20" spans="1:28" s="39" customFormat="1" ht="136" hidden="1" x14ac:dyDescent="0.45">
      <c r="A20" s="37">
        <f>SUBTOTAL(3, $T$2:T20)</f>
        <v>1</v>
      </c>
      <c r="B20" s="38" t="s">
        <v>6</v>
      </c>
      <c r="C20" s="39" t="s">
        <v>6</v>
      </c>
      <c r="D20" s="39" t="s">
        <v>954</v>
      </c>
      <c r="E20" s="40" t="s">
        <v>902</v>
      </c>
      <c r="F20" s="41" t="s">
        <v>874</v>
      </c>
      <c r="G20" s="39" t="s">
        <v>903</v>
      </c>
      <c r="H20" s="43" t="s">
        <v>3565</v>
      </c>
      <c r="I20" s="44" t="s">
        <v>904</v>
      </c>
      <c r="J20" s="14" t="s">
        <v>909</v>
      </c>
      <c r="K20" s="45" t="s">
        <v>3550</v>
      </c>
      <c r="L20" s="46">
        <v>43556</v>
      </c>
      <c r="M20" s="14"/>
      <c r="N20" s="45"/>
      <c r="O20" s="45"/>
      <c r="P20" s="45"/>
      <c r="Q20" s="45"/>
      <c r="R20" s="45"/>
      <c r="S20" s="45"/>
      <c r="T20" s="47" t="s">
        <v>4248</v>
      </c>
      <c r="U20" s="39" t="s">
        <v>3764</v>
      </c>
      <c r="V20" s="39" t="str">
        <f>CONCATENATE(U20, D20)</f>
        <v>https://example.websquare.kr/websquare/websquare.html?w2xPath=/guide/WidgetContainer/enableWidgetTitle_enableWidgetMove_enableWidgetResize_WidgetContainer.pdf</v>
      </c>
      <c r="W20" s="39" t="s">
        <v>4220</v>
      </c>
      <c r="X20" s="39" t="str">
        <f>CONCATENATE(W20, D20)</f>
        <v>https://docs.inswave.com/websquare/websquare.html?w2xPath=/support/api/samples/WidgetContainer/enableWidgetTitle_enableWidgetMove_enableWidgetResize_WidgetContainer.pdf</v>
      </c>
      <c r="Y20" s="48"/>
      <c r="Z20" s="4"/>
      <c r="AA20" s="4" t="str">
        <f>HYPERLINK(J20,H20)</f>
        <v>위젯 조작</v>
      </c>
      <c r="AB20" s="39" t="str">
        <f t="shared" si="4"/>
        <v>https://docs.inswave.com/websquare/websquare.html?w2xPath=/support/api/samples/WidgetContainer/enableWidgetTitle_enableWidgetMove_enableWidgetResize_WidgetContainer.pdf</v>
      </c>
    </row>
    <row r="21" spans="1:28" s="39" customFormat="1" ht="102" hidden="1" x14ac:dyDescent="0.45">
      <c r="A21" s="37">
        <f>SUBTOTAL(3, $T$2:T21)</f>
        <v>1</v>
      </c>
      <c r="B21" s="38" t="s">
        <v>5</v>
      </c>
      <c r="C21" s="39" t="s">
        <v>5</v>
      </c>
      <c r="D21" s="39" t="s">
        <v>955</v>
      </c>
      <c r="E21" s="40" t="s">
        <v>905</v>
      </c>
      <c r="F21" s="41" t="s">
        <v>875</v>
      </c>
      <c r="G21" s="39" t="s">
        <v>906</v>
      </c>
      <c r="H21" s="43" t="s">
        <v>3566</v>
      </c>
      <c r="I21" s="39" t="s">
        <v>907</v>
      </c>
      <c r="J21" s="14" t="s">
        <v>908</v>
      </c>
      <c r="K21" s="45" t="s">
        <v>3550</v>
      </c>
      <c r="L21" s="46">
        <v>43556</v>
      </c>
      <c r="M21" s="14"/>
      <c r="N21" s="45"/>
      <c r="O21" s="45"/>
      <c r="P21" s="45"/>
      <c r="Q21" s="45"/>
      <c r="R21" s="45"/>
      <c r="S21" s="45"/>
      <c r="T21" s="47" t="s">
        <v>4248</v>
      </c>
      <c r="U21" s="39" t="s">
        <v>3764</v>
      </c>
      <c r="V21" s="39" t="str">
        <f>CONCATENATE(U21, D21)</f>
        <v>https://example.websquare.kr/websquare/websquare.html?w2xPath=/guide/WindowContainer/nameLayerMove_WindowContainer.pdf</v>
      </c>
      <c r="W21" s="39" t="s">
        <v>4220</v>
      </c>
      <c r="X21" s="39" t="str">
        <f>CONCATENATE(W21, D21)</f>
        <v>https://docs.inswave.com/websquare/websquare.html?w2xPath=/support/api/samples/WindowContainer/nameLayerMove_WindowContainer.pdf</v>
      </c>
      <c r="Y21" s="48"/>
      <c r="Z21" s="4"/>
      <c r="AA21" s="4" t="str">
        <f>HYPERLINK(J21,H21)</f>
        <v>윈도우 순서</v>
      </c>
      <c r="AB21" s="39" t="str">
        <f t="shared" si="4"/>
        <v>https://docs.inswave.com/websquare/websquare.html?w2xPath=/support/api/samples/WindowContainer/nameLayerMove_WindowContainer.pdf</v>
      </c>
    </row>
    <row r="22" spans="1:28" s="39" customFormat="1" ht="102" hidden="1" x14ac:dyDescent="0.45">
      <c r="A22" s="37">
        <f>SUBTOTAL(3, $T$2:T22)</f>
        <v>1</v>
      </c>
      <c r="B22" s="38" t="s">
        <v>5</v>
      </c>
      <c r="C22" s="39" t="s">
        <v>5</v>
      </c>
      <c r="D22" s="39" t="s">
        <v>956</v>
      </c>
      <c r="E22" s="40" t="s">
        <v>910</v>
      </c>
      <c r="F22" s="41" t="s">
        <v>876</v>
      </c>
      <c r="G22" s="39" t="s">
        <v>911</v>
      </c>
      <c r="H22" s="43" t="s">
        <v>3567</v>
      </c>
      <c r="I22" s="44" t="s">
        <v>912</v>
      </c>
      <c r="J22" s="14" t="s">
        <v>913</v>
      </c>
      <c r="K22" s="45" t="s">
        <v>3550</v>
      </c>
      <c r="L22" s="46">
        <v>43556</v>
      </c>
      <c r="M22" s="14"/>
      <c r="N22" s="45"/>
      <c r="O22" s="45"/>
      <c r="P22" s="45"/>
      <c r="Q22" s="45"/>
      <c r="R22" s="45"/>
      <c r="S22" s="45"/>
      <c r="T22" s="47" t="s">
        <v>4248</v>
      </c>
      <c r="U22" s="39" t="s">
        <v>3764</v>
      </c>
      <c r="V22" s="39" t="str">
        <f>CONCATENATE(U22, D22)</f>
        <v>https://example.websquare.kr/websquare/websquare.html?w2xPath=/guide/WindowContainer/createWindow_fixWindow_unfixWindow_WindowContainer.pdf</v>
      </c>
      <c r="W22" s="39" t="s">
        <v>4220</v>
      </c>
      <c r="X22" s="39" t="str">
        <f>CONCATENATE(W22, D22)</f>
        <v>https://docs.inswave.com/websquare/websquare.html?w2xPath=/support/api/samples/WindowContainer/createWindow_fixWindow_unfixWindow_WindowContainer.pdf</v>
      </c>
      <c r="Y22" s="48"/>
      <c r="Z22" s="4"/>
      <c r="AA22" s="4" t="str">
        <f>HYPERLINK(J22,H22)</f>
        <v>윈도우 고정</v>
      </c>
      <c r="AB22" s="39" t="str">
        <f t="shared" si="4"/>
        <v>https://docs.inswave.com/websquare/websquare.html?w2xPath=/support/api/samples/WindowContainer/createWindow_fixWindow_unfixWindow_WindowContainer.pdf</v>
      </c>
    </row>
    <row r="23" spans="1:28" s="39" customFormat="1" ht="102" hidden="1" x14ac:dyDescent="0.45">
      <c r="A23" s="37">
        <f>SUBTOTAL(3, $T$2:T23)</f>
        <v>1</v>
      </c>
      <c r="B23" s="38" t="s">
        <v>5</v>
      </c>
      <c r="C23" s="39" t="s">
        <v>5</v>
      </c>
      <c r="D23" s="39" t="s">
        <v>957</v>
      </c>
      <c r="E23" s="40" t="s">
        <v>914</v>
      </c>
      <c r="F23" s="41" t="s">
        <v>877</v>
      </c>
      <c r="G23" s="39" t="s">
        <v>915</v>
      </c>
      <c r="H23" s="43" t="s">
        <v>3568</v>
      </c>
      <c r="I23" s="44" t="s">
        <v>916</v>
      </c>
      <c r="J23" s="14" t="s">
        <v>917</v>
      </c>
      <c r="K23" s="45" t="s">
        <v>3550</v>
      </c>
      <c r="L23" s="46">
        <v>43556</v>
      </c>
      <c r="M23" s="14"/>
      <c r="N23" s="45"/>
      <c r="O23" s="45"/>
      <c r="P23" s="45"/>
      <c r="Q23" s="45"/>
      <c r="R23" s="45"/>
      <c r="S23" s="45"/>
      <c r="T23" s="47" t="s">
        <v>4248</v>
      </c>
      <c r="U23" s="39" t="s">
        <v>3764</v>
      </c>
      <c r="V23" s="39" t="str">
        <f>CONCATENATE(U23, D23)</f>
        <v>https://example.websquare.kr/websquare/websquare.html?w2xPath=/guide/WindowContainer/closeType_useFixButton_WindowContainer.pdf</v>
      </c>
      <c r="W23" s="39" t="s">
        <v>4220</v>
      </c>
      <c r="X23" s="39" t="str">
        <f>CONCATENATE(W23, D23)</f>
        <v>https://docs.inswave.com/websquare/websquare.html?w2xPath=/support/api/samples/WindowContainer/closeType_useFixButton_WindowContainer.pdf</v>
      </c>
      <c r="Y23" s="48"/>
      <c r="Z23" s="4"/>
      <c r="AA23" s="4" t="str">
        <f>HYPERLINK(J23,H23)</f>
        <v>윈도우 닫기</v>
      </c>
      <c r="AB23" s="39" t="str">
        <f t="shared" si="4"/>
        <v>https://docs.inswave.com/websquare/websquare.html?w2xPath=/support/api/samples/WindowContainer/closeType_useFixButton_WindowContainer.pdf</v>
      </c>
    </row>
    <row r="24" spans="1:28" s="39" customFormat="1" ht="102" hidden="1" x14ac:dyDescent="0.45">
      <c r="A24" s="37">
        <f>SUBTOTAL(3, $T$2:T24)</f>
        <v>1</v>
      </c>
      <c r="B24" s="38" t="s">
        <v>1</v>
      </c>
      <c r="C24" s="39" t="s">
        <v>1232</v>
      </c>
      <c r="D24" s="39" t="s">
        <v>4251</v>
      </c>
      <c r="E24" s="40" t="s">
        <v>4255</v>
      </c>
      <c r="F24" s="41" t="s">
        <v>4256</v>
      </c>
      <c r="G24" s="39" t="s">
        <v>918</v>
      </c>
      <c r="H24" s="43" t="s">
        <v>3569</v>
      </c>
      <c r="I24" s="44" t="s">
        <v>919</v>
      </c>
      <c r="J24" s="14" t="s">
        <v>920</v>
      </c>
      <c r="K24" s="45" t="s">
        <v>3550</v>
      </c>
      <c r="L24" s="46">
        <v>43556</v>
      </c>
      <c r="M24" s="14"/>
      <c r="N24" s="45"/>
      <c r="O24" s="45"/>
      <c r="P24" s="45"/>
      <c r="Q24" s="45"/>
      <c r="R24" s="45"/>
      <c r="S24" s="45"/>
      <c r="T24" s="47" t="s">
        <v>4248</v>
      </c>
      <c r="U24" s="39" t="s">
        <v>3764</v>
      </c>
      <c r="V24" s="39" t="str">
        <f>CONCATENATE(U24, D24)</f>
        <v>https://example.websquare.kr/websquare/websquare.html?w2xPath=/guide/p/PopUp/openPopup_fullscreen_p_WebSquare_util.pdf</v>
      </c>
      <c r="W24" s="39" t="s">
        <v>4220</v>
      </c>
      <c r="X24" s="39" t="str">
        <f>CONCATENATE(W24, D24)</f>
        <v>https://docs.inswave.com/websquare/websquare.html?w2xPath=/support/api/samples/p/PopUp/openPopup_fullscreen_p_WebSquare_util.pdf</v>
      </c>
      <c r="Y24" s="48"/>
      <c r="Z24" s="4"/>
      <c r="AA24" s="4" t="str">
        <f>HYPERLINK(J24,H24)</f>
        <v>전체 팝업</v>
      </c>
      <c r="AB24" s="39" t="str">
        <f t="shared" si="4"/>
        <v>https://docs.inswave.com/websquare/websquare.html?w2xPath=/support/api/samples/p/PopUp/openPopup_fullscreen_p_WebSquare_util.pdf</v>
      </c>
    </row>
    <row r="25" spans="1:28" s="39" customFormat="1" ht="102" hidden="1" x14ac:dyDescent="0.45">
      <c r="A25" s="37">
        <f>SUBTOTAL(3, $T$2:T25)</f>
        <v>1</v>
      </c>
      <c r="B25" s="38" t="s">
        <v>0</v>
      </c>
      <c r="C25" s="39" t="s">
        <v>1098</v>
      </c>
      <c r="D25" s="39" t="s">
        <v>958</v>
      </c>
      <c r="E25" s="40" t="s">
        <v>879</v>
      </c>
      <c r="F25" s="41" t="s">
        <v>878</v>
      </c>
      <c r="G25" s="39" t="s">
        <v>921</v>
      </c>
      <c r="H25" s="43" t="s">
        <v>3570</v>
      </c>
      <c r="I25" s="44" t="s">
        <v>922</v>
      </c>
      <c r="J25" s="14" t="s">
        <v>923</v>
      </c>
      <c r="K25" s="45" t="s">
        <v>3550</v>
      </c>
      <c r="L25" s="46">
        <v>43586</v>
      </c>
      <c r="M25" s="14"/>
      <c r="N25" s="45"/>
      <c r="O25" s="45"/>
      <c r="P25" s="45"/>
      <c r="Q25" s="45"/>
      <c r="R25" s="45"/>
      <c r="S25" s="45"/>
      <c r="T25" s="47" t="s">
        <v>4248</v>
      </c>
      <c r="U25" s="39" t="s">
        <v>3764</v>
      </c>
      <c r="V25" s="39" t="str">
        <f>CONCATENATE(U25, D25)</f>
        <v>https://example.websquare.kr/websquare/websquare.html?w2xPath=/guide/GridView/_General/setFixedRow_GridView.pdf</v>
      </c>
      <c r="W25" s="39" t="s">
        <v>4220</v>
      </c>
      <c r="X25" s="39" t="str">
        <f>CONCATENATE(W25, D25)</f>
        <v>https://docs.inswave.com/websquare/websquare.html?w2xPath=/support/api/samples/GridView/_General/setFixedRow_GridView.pdf</v>
      </c>
      <c r="Y25" s="48"/>
      <c r="Z25" s="4"/>
      <c r="AA25" s="4" t="str">
        <f>HYPERLINK(J25,H25)</f>
        <v>행 고정</v>
      </c>
      <c r="AB25" s="39" t="str">
        <f t="shared" si="4"/>
        <v>https://docs.inswave.com/websquare/websquare.html?w2xPath=/support/api/samples/GridView/_General/setFixedRow_GridView.pdf</v>
      </c>
    </row>
    <row r="26" spans="1:28" s="39" customFormat="1" ht="102" hidden="1" x14ac:dyDescent="0.45">
      <c r="A26" s="37">
        <f>SUBTOTAL(3, $T$2:T26)</f>
        <v>1</v>
      </c>
      <c r="B26" s="38" t="s">
        <v>0</v>
      </c>
      <c r="C26" s="39" t="s">
        <v>1121</v>
      </c>
      <c r="D26" s="39" t="s">
        <v>960</v>
      </c>
      <c r="E26" s="40" t="s">
        <v>886</v>
      </c>
      <c r="F26" s="41" t="s">
        <v>885</v>
      </c>
      <c r="G26" s="39" t="s">
        <v>924</v>
      </c>
      <c r="H26" s="43" t="s">
        <v>3571</v>
      </c>
      <c r="I26" s="44" t="s">
        <v>925</v>
      </c>
      <c r="J26" s="14" t="s">
        <v>926</v>
      </c>
      <c r="K26" s="45" t="s">
        <v>3550</v>
      </c>
      <c r="L26" s="46">
        <v>43586</v>
      </c>
      <c r="M26" s="14"/>
      <c r="N26" s="45"/>
      <c r="O26" s="45"/>
      <c r="P26" s="45"/>
      <c r="Q26" s="45"/>
      <c r="R26" s="45"/>
      <c r="S26" s="45"/>
      <c r="T26" s="47" t="s">
        <v>4248</v>
      </c>
      <c r="U26" s="39" t="s">
        <v>3764</v>
      </c>
      <c r="V26" s="39" t="str">
        <f>CONCATENATE(U26, D26)</f>
        <v>https://example.websquare.kr/websquare/websquare.html?w2xPath=/guide/GridView/Merge/setFixedRow_mergeCellsFixedRows_GridView.pdf</v>
      </c>
      <c r="W26" s="39" t="s">
        <v>4220</v>
      </c>
      <c r="X26" s="39" t="str">
        <f>CONCATENATE(W26, D26)</f>
        <v>https://docs.inswave.com/websquare/websquare.html?w2xPath=/support/api/samples/GridView/Merge/setFixedRow_mergeCellsFixedRows_GridView.pdf</v>
      </c>
      <c r="Y26" s="48"/>
      <c r="Z26" s="4"/>
      <c r="AA26" s="4" t="str">
        <f>HYPERLINK(J26,H26)</f>
        <v>고정행 병합</v>
      </c>
      <c r="AB26" s="39" t="str">
        <f t="shared" si="4"/>
        <v>https://docs.inswave.com/websquare/websquare.html?w2xPath=/support/api/samples/GridView/Merge/setFixedRow_mergeCellsFixedRows_GridView.pdf</v>
      </c>
    </row>
    <row r="27" spans="1:28" s="39" customFormat="1" ht="102" hidden="1" x14ac:dyDescent="0.45">
      <c r="A27" s="37">
        <f>SUBTOTAL(3, $T$2:T27)</f>
        <v>1</v>
      </c>
      <c r="B27" s="38" t="s">
        <v>0</v>
      </c>
      <c r="C27" s="39" t="s">
        <v>1098</v>
      </c>
      <c r="D27" s="39" t="s">
        <v>959</v>
      </c>
      <c r="E27" s="40" t="s">
        <v>883</v>
      </c>
      <c r="F27" s="41" t="s">
        <v>884</v>
      </c>
      <c r="G27" s="39" t="s">
        <v>927</v>
      </c>
      <c r="H27" s="43" t="s">
        <v>3572</v>
      </c>
      <c r="I27" s="44" t="s">
        <v>928</v>
      </c>
      <c r="J27" s="14" t="s">
        <v>929</v>
      </c>
      <c r="K27" s="45" t="s">
        <v>3550</v>
      </c>
      <c r="L27" s="46">
        <v>43586</v>
      </c>
      <c r="M27" s="14"/>
      <c r="N27" s="45"/>
      <c r="O27" s="45"/>
      <c r="P27" s="45"/>
      <c r="Q27" s="45"/>
      <c r="R27" s="45"/>
      <c r="S27" s="45"/>
      <c r="T27" s="47" t="s">
        <v>4248</v>
      </c>
      <c r="U27" s="39" t="s">
        <v>3764</v>
      </c>
      <c r="V27" s="39" t="str">
        <f>CONCATENATE(U27, D27)</f>
        <v>https://example.websquare.kr/websquare/websquare.html?w2xPath=/guide/GridView/_General/setFixedColumn_setFixedRightColumn_GridView.pdf</v>
      </c>
      <c r="W27" s="39" t="s">
        <v>4220</v>
      </c>
      <c r="X27" s="39" t="str">
        <f>CONCATENATE(W27, D27)</f>
        <v>https://docs.inswave.com/websquare/websquare.html?w2xPath=/support/api/samples/GridView/_General/setFixedColumn_setFixedRightColumn_GridView.pdf</v>
      </c>
      <c r="Y27" s="48"/>
      <c r="Z27" s="4"/>
      <c r="AA27" s="4" t="str">
        <f>HYPERLINK(J27,H27)</f>
        <v>열 고정</v>
      </c>
      <c r="AB27" s="39" t="str">
        <f t="shared" si="4"/>
        <v>https://docs.inswave.com/websquare/websquare.html?w2xPath=/support/api/samples/GridView/_General/setFixedColumn_setFixedRightColumn_GridView.pdf</v>
      </c>
    </row>
    <row r="28" spans="1:28" s="39" customFormat="1" ht="102" hidden="1" x14ac:dyDescent="0.45">
      <c r="A28" s="37">
        <f>SUBTOTAL(3, $T$2:T28)</f>
        <v>1</v>
      </c>
      <c r="B28" s="38" t="s">
        <v>0</v>
      </c>
      <c r="C28" s="39" t="s">
        <v>1121</v>
      </c>
      <c r="D28" s="39" t="s">
        <v>961</v>
      </c>
      <c r="E28" s="40" t="s">
        <v>888</v>
      </c>
      <c r="F28" s="41" t="s">
        <v>887</v>
      </c>
      <c r="G28" s="39" t="s">
        <v>930</v>
      </c>
      <c r="H28" s="43" t="s">
        <v>3573</v>
      </c>
      <c r="I28" s="44" t="s">
        <v>931</v>
      </c>
      <c r="J28" s="14" t="s">
        <v>932</v>
      </c>
      <c r="K28" s="45" t="s">
        <v>3550</v>
      </c>
      <c r="L28" s="46">
        <v>43586</v>
      </c>
      <c r="M28" s="14"/>
      <c r="N28" s="45"/>
      <c r="O28" s="45"/>
      <c r="P28" s="45"/>
      <c r="Q28" s="45"/>
      <c r="R28" s="45"/>
      <c r="S28" s="45"/>
      <c r="T28" s="47" t="s">
        <v>4248</v>
      </c>
      <c r="U28" s="39" t="s">
        <v>3764</v>
      </c>
      <c r="V28" s="39" t="str">
        <f>CONCATENATE(U28, D28)</f>
        <v>https://example.websquare.kr/websquare/websquare.html?w2xPath=/guide/GridView/Merge/setFixedCol_setFixedRightCol_mergeCellsFixedCols_GridView.pdf</v>
      </c>
      <c r="W28" s="39" t="s">
        <v>4220</v>
      </c>
      <c r="X28" s="39" t="str">
        <f>CONCATENATE(W28, D28)</f>
        <v>https://docs.inswave.com/websquare/websquare.html?w2xPath=/support/api/samples/GridView/Merge/setFixedCol_setFixedRightCol_mergeCellsFixedCols_GridView.pdf</v>
      </c>
      <c r="Y28" s="48"/>
      <c r="Z28" s="4"/>
      <c r="AA28" s="4" t="str">
        <f>HYPERLINK(J28,H28)</f>
        <v>고정열 병합</v>
      </c>
      <c r="AB28" s="39" t="str">
        <f t="shared" si="4"/>
        <v>https://docs.inswave.com/websquare/websquare.html?w2xPath=/support/api/samples/GridView/Merge/setFixedCol_setFixedRightCol_mergeCellsFixedCols_GridView.pdf</v>
      </c>
    </row>
    <row r="29" spans="1:28" s="39" customFormat="1" ht="102" hidden="1" x14ac:dyDescent="0.45">
      <c r="A29" s="37">
        <f>SUBTOTAL(3, $T$2:T29)</f>
        <v>1</v>
      </c>
      <c r="B29" s="38" t="s">
        <v>0</v>
      </c>
      <c r="C29" s="39" t="s">
        <v>1100</v>
      </c>
      <c r="D29" s="39" t="s">
        <v>964</v>
      </c>
      <c r="E29" s="40" t="s">
        <v>892</v>
      </c>
      <c r="F29" s="41" t="s">
        <v>891</v>
      </c>
      <c r="G29" s="39" t="s">
        <v>933</v>
      </c>
      <c r="H29" s="43" t="s">
        <v>3574</v>
      </c>
      <c r="I29" s="44" t="s">
        <v>934</v>
      </c>
      <c r="J29" s="14" t="s">
        <v>935</v>
      </c>
      <c r="K29" s="45" t="s">
        <v>3550</v>
      </c>
      <c r="L29" s="46">
        <v>43586</v>
      </c>
      <c r="M29" s="14"/>
      <c r="N29" s="45"/>
      <c r="O29" s="45"/>
      <c r="P29" s="45"/>
      <c r="Q29" s="45"/>
      <c r="R29" s="45"/>
      <c r="S29" s="45"/>
      <c r="T29" s="47" t="s">
        <v>4248</v>
      </c>
      <c r="U29" s="39" t="s">
        <v>3764</v>
      </c>
      <c r="V29" s="39" t="str">
        <f>CONCATENATE(U29, D29)</f>
        <v>https://example.websquare.kr/websquare/websquare.html?w2xPath=/guide/GridView/Excel/advancedExcelUpload_GridView.pdf</v>
      </c>
      <c r="W29" s="39" t="s">
        <v>4220</v>
      </c>
      <c r="X29" s="39" t="str">
        <f>CONCATENATE(W29, D29)</f>
        <v>https://docs.inswave.com/websquare/websquare.html?w2xPath=/support/api/samples/GridView/Excel/advancedExcelUpload_GridView.pdf</v>
      </c>
      <c r="Y29" s="48"/>
      <c r="Z29" s="4"/>
      <c r="AA29" s="4" t="str">
        <f>HYPERLINK(J29,H29)</f>
        <v>엑셀 업로드</v>
      </c>
      <c r="AB29" s="39" t="str">
        <f t="shared" si="4"/>
        <v>https://docs.inswave.com/websquare/websquare.html?w2xPath=/support/api/samples/GridView/Excel/advancedExcelUpload_GridView.pdf</v>
      </c>
    </row>
    <row r="30" spans="1:28" s="39" customFormat="1" ht="102" hidden="1" x14ac:dyDescent="0.45">
      <c r="A30" s="37">
        <f>SUBTOTAL(3, $T$2:T30)</f>
        <v>1</v>
      </c>
      <c r="B30" s="38" t="s">
        <v>0</v>
      </c>
      <c r="C30" s="39" t="s">
        <v>1100</v>
      </c>
      <c r="D30" s="39" t="s">
        <v>965</v>
      </c>
      <c r="E30" s="40" t="s">
        <v>936</v>
      </c>
      <c r="F30" s="41" t="s">
        <v>893</v>
      </c>
      <c r="G30" s="39" t="s">
        <v>937</v>
      </c>
      <c r="H30" s="43" t="s">
        <v>3575</v>
      </c>
      <c r="I30" s="44" t="s">
        <v>938</v>
      </c>
      <c r="J30" s="14" t="s">
        <v>939</v>
      </c>
      <c r="K30" s="45" t="s">
        <v>3550</v>
      </c>
      <c r="L30" s="46">
        <v>43586</v>
      </c>
      <c r="M30" s="14"/>
      <c r="N30" s="45"/>
      <c r="O30" s="45"/>
      <c r="P30" s="45"/>
      <c r="Q30" s="45"/>
      <c r="R30" s="45"/>
      <c r="S30" s="45"/>
      <c r="T30" s="47" t="s">
        <v>4248</v>
      </c>
      <c r="U30" s="39" t="s">
        <v>3764</v>
      </c>
      <c r="V30" s="39" t="str">
        <f>CONCATENATE(U30, D30)</f>
        <v>https://example.websquare.kr/websquare/websquare.html?w2xPath=/guide/GridView/Excel/advancedExcelUpload_headerExist_GridView.pdf</v>
      </c>
      <c r="W30" s="39" t="s">
        <v>4220</v>
      </c>
      <c r="X30" s="39" t="str">
        <f>CONCATENATE(W30, D30)</f>
        <v>https://docs.inswave.com/websquare/websquare.html?w2xPath=/support/api/samples/GridView/Excel/advancedExcelUpload_headerExist_GridView.pdf</v>
      </c>
      <c r="Y30" s="48"/>
      <c r="Z30" s="4"/>
      <c r="AA30" s="4" t="str">
        <f>HYPERLINK(J30,H30)</f>
        <v>헤더 제외 업로드</v>
      </c>
      <c r="AB30" s="39" t="str">
        <f t="shared" si="4"/>
        <v>https://docs.inswave.com/websquare/websquare.html?w2xPath=/support/api/samples/GridView/Excel/advancedExcelUpload_headerExist_GridView.pdf</v>
      </c>
    </row>
    <row r="31" spans="1:28" s="39" customFormat="1" ht="102" hidden="1" x14ac:dyDescent="0.45">
      <c r="A31" s="37">
        <f>SUBTOTAL(3, $T$2:T31)</f>
        <v>1</v>
      </c>
      <c r="B31" s="38" t="s">
        <v>0</v>
      </c>
      <c r="C31" s="39" t="s">
        <v>1100</v>
      </c>
      <c r="D31" s="39" t="s">
        <v>966</v>
      </c>
      <c r="E31" s="40" t="s">
        <v>895</v>
      </c>
      <c r="F31" s="41" t="s">
        <v>894</v>
      </c>
      <c r="G31" s="39" t="s">
        <v>940</v>
      </c>
      <c r="H31" s="43" t="s">
        <v>3576</v>
      </c>
      <c r="I31" s="44" t="s">
        <v>941</v>
      </c>
      <c r="J31" s="14" t="s">
        <v>942</v>
      </c>
      <c r="K31" s="45" t="s">
        <v>3550</v>
      </c>
      <c r="L31" s="46">
        <v>43586</v>
      </c>
      <c r="M31" s="14"/>
      <c r="N31" s="45"/>
      <c r="O31" s="45"/>
      <c r="P31" s="45"/>
      <c r="Q31" s="45"/>
      <c r="R31" s="45"/>
      <c r="S31" s="45"/>
      <c r="T31" s="47" t="s">
        <v>4248</v>
      </c>
      <c r="U31" s="39" t="s">
        <v>3764</v>
      </c>
      <c r="V31" s="39" t="str">
        <f>CONCATENATE(U31, D31)</f>
        <v>https://example.websquare.kr/websquare/websquare.html?w2xPath=/guide/GridView/Excel/advancedExcelUpload_dateFormat_GridView.pdf</v>
      </c>
      <c r="W31" s="39" t="s">
        <v>4220</v>
      </c>
      <c r="X31" s="39" t="str">
        <f>CONCATENATE(W31, D31)</f>
        <v>https://docs.inswave.com/websquare/websquare.html?w2xPath=/support/api/samples/GridView/Excel/advancedExcelUpload_dateFormat_GridView.pdf</v>
      </c>
      <c r="Y31" s="48"/>
      <c r="Z31" s="4"/>
      <c r="AA31" s="4" t="str">
        <f>HYPERLINK(J31,H31)</f>
        <v>날짜 형식</v>
      </c>
      <c r="AB31" s="39" t="str">
        <f t="shared" si="4"/>
        <v>https://docs.inswave.com/websquare/websquare.html?w2xPath=/support/api/samples/GridView/Excel/advancedExcelUpload_dateFormat_GridView.pdf</v>
      </c>
    </row>
    <row r="32" spans="1:28" s="39" customFormat="1" ht="102" hidden="1" x14ac:dyDescent="0.45">
      <c r="A32" s="37">
        <f>SUBTOTAL(3, $T$2:T32)</f>
        <v>1</v>
      </c>
      <c r="B32" s="38" t="s">
        <v>0</v>
      </c>
      <c r="C32" s="39" t="s">
        <v>1121</v>
      </c>
      <c r="D32" s="39" t="s">
        <v>962</v>
      </c>
      <c r="E32" s="40" t="s">
        <v>896</v>
      </c>
      <c r="F32" s="41" t="s">
        <v>897</v>
      </c>
      <c r="G32" s="39" t="s">
        <v>943</v>
      </c>
      <c r="H32" s="43" t="s">
        <v>3577</v>
      </c>
      <c r="I32" s="44" t="s">
        <v>944</v>
      </c>
      <c r="J32" s="14" t="s">
        <v>945</v>
      </c>
      <c r="K32" s="45" t="s">
        <v>3550</v>
      </c>
      <c r="L32" s="46">
        <v>43586</v>
      </c>
      <c r="M32" s="14"/>
      <c r="N32" s="45"/>
      <c r="O32" s="45"/>
      <c r="P32" s="45"/>
      <c r="Q32" s="45"/>
      <c r="R32" s="45"/>
      <c r="S32" s="45"/>
      <c r="T32" s="47" t="s">
        <v>4248</v>
      </c>
      <c r="U32" s="39" t="s">
        <v>3764</v>
      </c>
      <c r="V32" s="39" t="str">
        <f>CONCATENATE(U32, D32)</f>
        <v>https://example.websquare.kr/websquare/websquare.html?w2xPath=/guide/GridView/Merge/mergeCells_mergeCol_GridView.pdf</v>
      </c>
      <c r="W32" s="39" t="s">
        <v>4220</v>
      </c>
      <c r="X32" s="39" t="str">
        <f>CONCATENATE(W32, D32)</f>
        <v>https://docs.inswave.com/websquare/websquare.html?w2xPath=/support/api/samples/GridView/Merge/mergeCells_mergeCol_GridView.pdf</v>
      </c>
      <c r="Y32" s="48"/>
      <c r="Z32" s="4"/>
      <c r="AA32" s="4" t="str">
        <f>HYPERLINK(J32,H32)</f>
        <v>선택적 병합</v>
      </c>
      <c r="AB32" s="39" t="str">
        <f t="shared" si="4"/>
        <v>https://docs.inswave.com/websquare/websquare.html?w2xPath=/support/api/samples/GridView/Merge/mergeCells_mergeCol_GridView.pdf</v>
      </c>
    </row>
    <row r="33" spans="1:28" s="39" customFormat="1" ht="102" hidden="1" x14ac:dyDescent="0.45">
      <c r="A33" s="37">
        <f>SUBTOTAL(3, $T$2:T33)</f>
        <v>1</v>
      </c>
      <c r="B33" s="38" t="s">
        <v>0</v>
      </c>
      <c r="C33" s="39" t="s">
        <v>1121</v>
      </c>
      <c r="D33" s="39" t="s">
        <v>963</v>
      </c>
      <c r="E33" s="40" t="s">
        <v>899</v>
      </c>
      <c r="F33" s="41" t="s">
        <v>898</v>
      </c>
      <c r="G33" s="39" t="s">
        <v>946</v>
      </c>
      <c r="H33" s="43" t="s">
        <v>3578</v>
      </c>
      <c r="I33" s="44" t="s">
        <v>947</v>
      </c>
      <c r="J33" s="14" t="s">
        <v>948</v>
      </c>
      <c r="K33" s="45" t="s">
        <v>3550</v>
      </c>
      <c r="L33" s="46">
        <v>43586</v>
      </c>
      <c r="M33" s="14"/>
      <c r="N33" s="45"/>
      <c r="O33" s="45"/>
      <c r="P33" s="45"/>
      <c r="Q33" s="45"/>
      <c r="R33" s="45"/>
      <c r="S33" s="45"/>
      <c r="T33" s="47" t="s">
        <v>4248</v>
      </c>
      <c r="U33" s="39" t="s">
        <v>3764</v>
      </c>
      <c r="V33" s="39" t="str">
        <f>CONCATENATE(U33, D33)</f>
        <v>https://example.websquare.kr/websquare/websquare.html?w2xPath=/guide/GridView/Merge/mergeCol_GridView.pdf</v>
      </c>
      <c r="W33" s="39" t="s">
        <v>4220</v>
      </c>
      <c r="X33" s="39" t="str">
        <f>CONCATENATE(W33, D33)</f>
        <v>https://docs.inswave.com/websquare/websquare.html?w2xPath=/support/api/samples/GridView/Merge/mergeCol_GridView.pdf</v>
      </c>
      <c r="Y33" s="48"/>
      <c r="Z33" s="4"/>
      <c r="AA33" s="4" t="str">
        <f>HYPERLINK(J33,H33)</f>
        <v>병합 제외</v>
      </c>
      <c r="AB33" s="39" t="str">
        <f t="shared" si="4"/>
        <v>https://docs.inswave.com/websquare/websquare.html?w2xPath=/support/api/samples/GridView/Merge/mergeCol_GridView.pdf</v>
      </c>
    </row>
    <row r="34" spans="1:28" s="39" customFormat="1" ht="102" hidden="1" x14ac:dyDescent="0.45">
      <c r="A34" s="37">
        <f>SUBTOTAL(3, $T$2:T34)</f>
        <v>1</v>
      </c>
      <c r="B34" s="38" t="s">
        <v>0</v>
      </c>
      <c r="C34" s="39" t="s">
        <v>1121</v>
      </c>
      <c r="D34" s="39" t="s">
        <v>953</v>
      </c>
      <c r="E34" s="40" t="s">
        <v>949</v>
      </c>
      <c r="F34" s="41" t="s">
        <v>890</v>
      </c>
      <c r="G34" s="39" t="s">
        <v>950</v>
      </c>
      <c r="H34" s="43" t="s">
        <v>3579</v>
      </c>
      <c r="I34" s="44" t="s">
        <v>952</v>
      </c>
      <c r="J34" s="14" t="s">
        <v>951</v>
      </c>
      <c r="K34" s="45" t="s">
        <v>3550</v>
      </c>
      <c r="L34" s="46">
        <v>43586</v>
      </c>
      <c r="M34" s="14"/>
      <c r="N34" s="45"/>
      <c r="O34" s="45"/>
      <c r="P34" s="45"/>
      <c r="Q34" s="45"/>
      <c r="R34" s="45"/>
      <c r="S34" s="45"/>
      <c r="T34" s="47" t="s">
        <v>4248</v>
      </c>
      <c r="U34" s="39" t="s">
        <v>3764</v>
      </c>
      <c r="V34" s="39" t="str">
        <f>CONCATENATE(U34, D34)</f>
        <v>https://example.websquare.kr/websquare/websquare.html?w2xPath=/guide/GridView/Merge/getMerged()_GridView.pdf</v>
      </c>
      <c r="W34" s="39" t="s">
        <v>4220</v>
      </c>
      <c r="X34" s="39" t="str">
        <f>CONCATENATE(W34, D34)</f>
        <v>https://docs.inswave.com/websquare/websquare.html?w2xPath=/support/api/samples/GridView/Merge/getMerged()_GridView.pdf</v>
      </c>
      <c r="Y34" s="48"/>
      <c r="Z34" s="4"/>
      <c r="AA34" s="4" t="str">
        <f>HYPERLINK(J34,H34)</f>
        <v>병합 상태 확인</v>
      </c>
      <c r="AB34" s="39" t="str">
        <f t="shared" si="4"/>
        <v>https://docs.inswave.com/websquare/websquare.html?w2xPath=/support/api/samples/GridView/Merge/getMerged()_GridView.pdf</v>
      </c>
    </row>
    <row r="35" spans="1:28" s="39" customFormat="1" ht="102" hidden="1" x14ac:dyDescent="0.45">
      <c r="A35" s="37">
        <f>SUBTOTAL(3, $T$2:T35)</f>
        <v>1</v>
      </c>
      <c r="B35" s="38" t="s">
        <v>13</v>
      </c>
      <c r="C35" s="39" t="s">
        <v>13</v>
      </c>
      <c r="D35" s="39" t="s">
        <v>1365</v>
      </c>
      <c r="E35" s="40" t="s">
        <v>986</v>
      </c>
      <c r="F35" s="41" t="s">
        <v>1368</v>
      </c>
      <c r="G35" s="39" t="s">
        <v>988</v>
      </c>
      <c r="H35" s="52" t="s">
        <v>4497</v>
      </c>
      <c r="I35" s="44" t="s">
        <v>987</v>
      </c>
      <c r="J35" s="14" t="s">
        <v>1369</v>
      </c>
      <c r="K35" s="45" t="s">
        <v>3550</v>
      </c>
      <c r="L35" s="46">
        <v>43586</v>
      </c>
      <c r="M35" s="14"/>
      <c r="N35" s="45"/>
      <c r="O35" s="45"/>
      <c r="P35" s="45"/>
      <c r="Q35" s="45"/>
      <c r="R35" s="45"/>
      <c r="S35" s="45"/>
      <c r="T35" s="47" t="s">
        <v>4248</v>
      </c>
      <c r="U35" s="39" t="s">
        <v>3764</v>
      </c>
      <c r="V35" s="39" t="str">
        <f>CONCATENATE(U35, D35)</f>
        <v>https://example.websquare.kr/websquare/websquare.html?w2xPath=/guide/_WebSquare.util/multipleDataListDownload_WebSquare_util.pdf</v>
      </c>
      <c r="W35" s="39" t="s">
        <v>4220</v>
      </c>
      <c r="X35" s="39" t="str">
        <f>CONCATENATE(W35, D35)</f>
        <v>https://docs.inswave.com/websquare/websquare.html?w2xPath=/support/api/samples/_WebSquare.util/multipleDataListDownload_WebSquare_util.pdf</v>
      </c>
      <c r="Y35" s="48"/>
      <c r="Z35" s="4"/>
      <c r="AA35" s="4" t="str">
        <f>HYPERLINK(J35,H35)</f>
        <v>여러 DataList를 Excel 파일로 다운로드</v>
      </c>
      <c r="AB35" s="39" t="str">
        <f t="shared" si="4"/>
        <v>https://docs.inswave.com/websquare/websquare.html?w2xPath=/support/api/samples/_WebSquare.util/multipleDataListDownload_WebSquare_util.pdf</v>
      </c>
    </row>
    <row r="36" spans="1:28" s="39" customFormat="1" ht="102" hidden="1" x14ac:dyDescent="0.45">
      <c r="A36" s="37">
        <f>SUBTOTAL(3, $T$2:T36)</f>
        <v>1</v>
      </c>
      <c r="B36" s="38" t="s">
        <v>13</v>
      </c>
      <c r="C36" s="39" t="s">
        <v>13</v>
      </c>
      <c r="D36" s="39" t="s">
        <v>1366</v>
      </c>
      <c r="E36" s="40" t="s">
        <v>990</v>
      </c>
      <c r="F36" s="41" t="s">
        <v>989</v>
      </c>
      <c r="G36" s="39" t="s">
        <v>992</v>
      </c>
      <c r="H36" s="52" t="s">
        <v>4496</v>
      </c>
      <c r="I36" s="44" t="s">
        <v>991</v>
      </c>
      <c r="J36" s="14" t="s">
        <v>993</v>
      </c>
      <c r="K36" s="45" t="s">
        <v>3550</v>
      </c>
      <c r="L36" s="46">
        <v>43586</v>
      </c>
      <c r="M36" s="14"/>
      <c r="N36" s="45"/>
      <c r="O36" s="45"/>
      <c r="P36" s="45"/>
      <c r="Q36" s="45"/>
      <c r="R36" s="45"/>
      <c r="S36" s="45"/>
      <c r="T36" s="47" t="s">
        <v>4248</v>
      </c>
      <c r="U36" s="39" t="s">
        <v>3764</v>
      </c>
      <c r="V36" s="39" t="str">
        <f>CONCATENATE(U36, D36)</f>
        <v>https://example.websquare.kr/websquare/websquare.html?w2xPath=/guide/_WebSquare.util/multipleExcelDownload_WebSquare_util.pdf</v>
      </c>
      <c r="W36" s="39" t="s">
        <v>4220</v>
      </c>
      <c r="X36" s="39" t="str">
        <f>CONCATENATE(W36, D36)</f>
        <v>https://docs.inswave.com/websquare/websquare.html?w2xPath=/support/api/samples/_WebSquare.util/multipleExcelDownload_WebSquare_util.pdf</v>
      </c>
      <c r="Y36" s="48"/>
      <c r="Z36" s="4"/>
      <c r="AA36" s="4" t="str">
        <f>HYPERLINK(J36,H36)</f>
        <v>여러 GridView 데이터를 하나의 Excel 파일로 다운로드</v>
      </c>
      <c r="AB36" s="39" t="str">
        <f t="shared" si="4"/>
        <v>https://docs.inswave.com/websquare/websquare.html?w2xPath=/support/api/samples/_WebSquare.util/multipleExcelDownload_WebSquare_util.pdf</v>
      </c>
    </row>
    <row r="37" spans="1:28" s="39" customFormat="1" ht="102" hidden="1" x14ac:dyDescent="0.45">
      <c r="A37" s="37">
        <f>SUBTOTAL(3, $T$2:T37)</f>
        <v>1</v>
      </c>
      <c r="B37" s="38" t="s">
        <v>14</v>
      </c>
      <c r="C37" s="39" t="s">
        <v>14</v>
      </c>
      <c r="D37" s="39" t="s">
        <v>999</v>
      </c>
      <c r="E37" s="40" t="s">
        <v>996</v>
      </c>
      <c r="F37" s="41" t="s">
        <v>995</v>
      </c>
      <c r="G37" s="39" t="s">
        <v>998</v>
      </c>
      <c r="H37" s="43" t="s">
        <v>3580</v>
      </c>
      <c r="I37" s="44" t="s">
        <v>994</v>
      </c>
      <c r="J37" s="14" t="s">
        <v>997</v>
      </c>
      <c r="K37" s="45" t="s">
        <v>3550</v>
      </c>
      <c r="L37" s="46">
        <v>43617</v>
      </c>
      <c r="M37" s="14"/>
      <c r="N37" s="45"/>
      <c r="O37" s="45"/>
      <c r="P37" s="45"/>
      <c r="Q37" s="45"/>
      <c r="R37" s="45"/>
      <c r="S37" s="45"/>
      <c r="T37" s="47" t="s">
        <v>4248</v>
      </c>
      <c r="U37" s="39" t="s">
        <v>3764</v>
      </c>
      <c r="V37" s="39" t="str">
        <f>CONCATENATE(U37, D37)</f>
        <v>https://example.websquare.kr/websquare/websquare.html?w2xPath=/guide/ScheduleCalendar/headerLeftBtn_headerRightBtn_ScheduleCalendar.pdf</v>
      </c>
      <c r="W37" s="39" t="s">
        <v>4220</v>
      </c>
      <c r="X37" s="39" t="str">
        <f>CONCATENATE(W37, D37)</f>
        <v>https://docs.inswave.com/websquare/websquare.html?w2xPath=/support/api/samples/ScheduleCalendar/headerLeftBtn_headerRightBtn_ScheduleCalendar.pdf</v>
      </c>
      <c r="Y37" s="48"/>
      <c r="Z37" s="4"/>
      <c r="AA37" s="4" t="str">
        <f>HYPERLINK(J37,H37)</f>
        <v>이동/스케줄 버튼</v>
      </c>
      <c r="AB37" s="39" t="str">
        <f t="shared" si="4"/>
        <v>https://docs.inswave.com/websquare/websquare.html?w2xPath=/support/api/samples/ScheduleCalendar/headerLeftBtn_headerRightBtn_ScheduleCalendar.pdf</v>
      </c>
    </row>
    <row r="38" spans="1:28" s="39" customFormat="1" ht="102" hidden="1" x14ac:dyDescent="0.45">
      <c r="A38" s="37">
        <f>SUBTOTAL(3, $T$2:T38)</f>
        <v>1</v>
      </c>
      <c r="B38" s="38" t="s">
        <v>15</v>
      </c>
      <c r="C38" s="39" t="s">
        <v>15</v>
      </c>
      <c r="D38" s="39" t="s">
        <v>1006</v>
      </c>
      <c r="E38" s="40" t="s">
        <v>1002</v>
      </c>
      <c r="F38" s="41" t="s">
        <v>1001</v>
      </c>
      <c r="G38" s="39" t="s">
        <v>1005</v>
      </c>
      <c r="H38" s="43" t="s">
        <v>3581</v>
      </c>
      <c r="I38" s="44" t="s">
        <v>1003</v>
      </c>
      <c r="J38" s="14" t="s">
        <v>1004</v>
      </c>
      <c r="K38" s="45" t="s">
        <v>3550</v>
      </c>
      <c r="L38" s="46">
        <v>43617</v>
      </c>
      <c r="M38" s="14"/>
      <c r="N38" s="45"/>
      <c r="O38" s="45"/>
      <c r="P38" s="45"/>
      <c r="Q38" s="45"/>
      <c r="R38" s="45"/>
      <c r="S38" s="45"/>
      <c r="T38" s="47" t="s">
        <v>4248</v>
      </c>
      <c r="U38" s="39" t="s">
        <v>3764</v>
      </c>
      <c r="V38" s="39" t="str">
        <f>CONCATENATE(U38, D38)</f>
        <v>https://example.websquare.kr/websquare/websquare.html?w2xPath=/guide/CheckComboBox/navBtn_CheckComboBox.pdf</v>
      </c>
      <c r="W38" s="39" t="s">
        <v>4220</v>
      </c>
      <c r="X38" s="39" t="str">
        <f>CONCATENATE(W38, D38)</f>
        <v>https://docs.inswave.com/websquare/websquare.html?w2xPath=/support/api/samples/CheckComboBox/navBtn_CheckComboBox.pdf</v>
      </c>
      <c r="Y38" s="48"/>
      <c r="Z38" s="4"/>
      <c r="AA38" s="4" t="str">
        <f>HYPERLINK(J38,H38)</f>
        <v>선택 버튼</v>
      </c>
      <c r="AB38" s="39" t="str">
        <f t="shared" si="4"/>
        <v>https://docs.inswave.com/websquare/websquare.html?w2xPath=/support/api/samples/CheckComboBox/navBtn_CheckComboBox.pdf</v>
      </c>
    </row>
    <row r="39" spans="1:28" s="39" customFormat="1" ht="102" hidden="1" x14ac:dyDescent="0.45">
      <c r="A39" s="37">
        <f>SUBTOTAL(3, $T$2:T39)</f>
        <v>1</v>
      </c>
      <c r="B39" s="38" t="s">
        <v>0</v>
      </c>
      <c r="C39" s="39" t="s">
        <v>1120</v>
      </c>
      <c r="D39" s="39" t="s">
        <v>1020</v>
      </c>
      <c r="E39" s="40" t="s">
        <v>1015</v>
      </c>
      <c r="F39" s="41" t="s">
        <v>1016</v>
      </c>
      <c r="G39" s="44" t="s">
        <v>1018</v>
      </c>
      <c r="H39" s="43" t="s">
        <v>3582</v>
      </c>
      <c r="I39" s="44" t="s">
        <v>1017</v>
      </c>
      <c r="J39" s="14" t="s">
        <v>1019</v>
      </c>
      <c r="K39" s="45" t="s">
        <v>3550</v>
      </c>
      <c r="L39" s="46">
        <v>43617</v>
      </c>
      <c r="M39" s="45" t="s">
        <v>200</v>
      </c>
      <c r="N39" s="45"/>
      <c r="O39" s="45"/>
      <c r="P39" s="45"/>
      <c r="Q39" s="45"/>
      <c r="R39" s="45"/>
      <c r="S39" s="45"/>
      <c r="T39" s="47" t="s">
        <v>4248</v>
      </c>
      <c r="U39" s="39" t="s">
        <v>3764</v>
      </c>
      <c r="V39" s="39" t="str">
        <f>CONCATENATE(U39, D39)</f>
        <v>https://example.websquare.kr/websquare/websquare.html?w2xPath=/guide/GridView/Filtering/useFilter_gridView_column_useFilterList_GridView.pdf</v>
      </c>
      <c r="W39" s="39" t="s">
        <v>4220</v>
      </c>
      <c r="X39" s="39" t="str">
        <f>CONCATENATE(W39, D39)</f>
        <v>https://docs.inswave.com/websquare/websquare.html?w2xPath=/support/api/samples/GridView/Filtering/useFilter_gridView_column_useFilterList_GridView.pdf</v>
      </c>
      <c r="Y39" s="48"/>
      <c r="Z39" s="4"/>
      <c r="AA39" s="4" t="str">
        <f>HYPERLINK(J39,H39)</f>
        <v>컬럼 필터링</v>
      </c>
      <c r="AB39" s="39" t="str">
        <f t="shared" si="4"/>
        <v>https://docs.inswave.com/websquare/websquare.html?w2xPath=/support/api/samples/GridView/Filtering/useFilter_gridView_column_useFilterList_GridView.pdf</v>
      </c>
    </row>
    <row r="40" spans="1:28" s="39" customFormat="1" ht="102" x14ac:dyDescent="0.45">
      <c r="A40" s="37">
        <f>SUBTOTAL(3, $T$2:T40)</f>
        <v>2</v>
      </c>
      <c r="B40" s="38" t="s">
        <v>1</v>
      </c>
      <c r="C40" s="39" t="s">
        <v>1096</v>
      </c>
      <c r="D40" s="39" t="s">
        <v>4400</v>
      </c>
      <c r="E40" s="40" t="s">
        <v>4280</v>
      </c>
      <c r="F40" s="41" t="s">
        <v>4281</v>
      </c>
      <c r="G40" s="39" t="s">
        <v>1000</v>
      </c>
      <c r="H40" s="53" t="s">
        <v>4368</v>
      </c>
      <c r="I40" s="44" t="s">
        <v>38</v>
      </c>
      <c r="J40" s="14" t="s">
        <v>1805</v>
      </c>
      <c r="K40" s="22" t="s">
        <v>2764</v>
      </c>
      <c r="L40" s="46">
        <v>43617</v>
      </c>
      <c r="M40" s="14"/>
      <c r="N40" s="45" t="s">
        <v>199</v>
      </c>
      <c r="O40" s="45" t="s">
        <v>199</v>
      </c>
      <c r="P40" s="45" t="s">
        <v>199</v>
      </c>
      <c r="Q40" s="45" t="s">
        <v>199</v>
      </c>
      <c r="R40" s="45" t="s">
        <v>199</v>
      </c>
      <c r="S40" s="45" t="s">
        <v>199</v>
      </c>
      <c r="T40" s="47" t="s">
        <v>4247</v>
      </c>
      <c r="U40" s="39" t="s">
        <v>3764</v>
      </c>
      <c r="V40" s="39" t="str">
        <f>CONCATENATE(U40, D40)</f>
        <v>https://example.websquare.kr/websquare/websquare.html?w2xPath=/guide/_p/_General/dynamicCreate_p.xml</v>
      </c>
      <c r="W40" s="39" t="s">
        <v>4512</v>
      </c>
      <c r="X40" s="39" t="str">
        <f>CONCATENATE(W40, D40)</f>
        <v>https://docs.inswave.com/websquare/websquare.html?w2xPath=/support/api/guide/_p/_General/dynamicCreate_p.xml</v>
      </c>
      <c r="Y40" s="48" t="str">
        <f>HYPERLINK(X40, H40)</f>
        <v>컴포넌트 동적 생성</v>
      </c>
      <c r="Z40" s="4" t="str">
        <f>HYPERLINK(V40,H40)</f>
        <v>컴포넌트 동적 생성</v>
      </c>
      <c r="AA40" s="4" t="str">
        <f>HYPERLINK(J40,H40)</f>
        <v>컴포넌트 동적 생성</v>
      </c>
      <c r="AB40" s="39" t="str">
        <f t="shared" si="4"/>
        <v>https://docs.inswave.com/websquare/websquare.html?w2xPath=/support/api/guide/_p/_General/dynamicCreate_p.xml</v>
      </c>
    </row>
    <row r="41" spans="1:28" s="39" customFormat="1" ht="102" x14ac:dyDescent="0.45">
      <c r="A41" s="37">
        <f>SUBTOTAL(3, $T$2:T41)</f>
        <v>3</v>
      </c>
      <c r="B41" s="51" t="s">
        <v>2022</v>
      </c>
      <c r="C41" s="39" t="s">
        <v>1096</v>
      </c>
      <c r="D41" s="39" t="s">
        <v>4471</v>
      </c>
      <c r="E41" s="40" t="s">
        <v>4300</v>
      </c>
      <c r="F41" s="41" t="s">
        <v>4301</v>
      </c>
      <c r="G41" s="39" t="s">
        <v>2302</v>
      </c>
      <c r="H41" s="53" t="s">
        <v>4325</v>
      </c>
      <c r="I41" s="44" t="s">
        <v>2301</v>
      </c>
      <c r="J41" s="14" t="s">
        <v>2305</v>
      </c>
      <c r="K41" s="22" t="s">
        <v>2763</v>
      </c>
      <c r="L41" s="46">
        <v>45108</v>
      </c>
      <c r="M41" s="14"/>
      <c r="N41" s="45" t="s">
        <v>199</v>
      </c>
      <c r="O41" s="45" t="s">
        <v>199</v>
      </c>
      <c r="P41" s="45" t="s">
        <v>199</v>
      </c>
      <c r="Q41" s="45" t="s">
        <v>199</v>
      </c>
      <c r="R41" s="45" t="s">
        <v>199</v>
      </c>
      <c r="S41" s="45" t="s">
        <v>199</v>
      </c>
      <c r="T41" s="47" t="s">
        <v>4247</v>
      </c>
      <c r="U41" s="39" t="s">
        <v>3764</v>
      </c>
      <c r="V41" s="39" t="str">
        <f>CONCATENATE(U41, D41)</f>
        <v>https://example.websquare.kr/websquare/websquare.html?w2xPath=/guide/_p/_General/reinitialize_p/reinitialize_p.xml</v>
      </c>
      <c r="W41" s="39" t="s">
        <v>4512</v>
      </c>
      <c r="X41" s="39" t="str">
        <f>CONCATENATE(W41, D41)</f>
        <v>https://docs.inswave.com/websquare/websquare.html?w2xPath=/support/api/guide/_p/_General/reinitialize_p/reinitialize_p.xml</v>
      </c>
      <c r="Y41" s="48" t="str">
        <f>HYPERLINK(X41, H41)</f>
        <v>화면 재로딩 및 브라우저 새로 고침</v>
      </c>
      <c r="Z41" s="4" t="str">
        <f>HYPERLINK(V41,H41)</f>
        <v>화면 재로딩 및 브라우저 새로 고침</v>
      </c>
      <c r="AA41" s="4" t="str">
        <f>HYPERLINK(J41,H41)</f>
        <v>화면 재로딩 및 브라우저 새로 고침</v>
      </c>
      <c r="AB41" s="39" t="str">
        <f t="shared" si="4"/>
        <v>https://docs.inswave.com/websquare/websquare.html?w2xPath=/support/api/guide/_p/_General/reinitialize_p/reinitialize_p.xml</v>
      </c>
    </row>
    <row r="42" spans="1:28" s="39" customFormat="1" ht="102" hidden="1" x14ac:dyDescent="0.45">
      <c r="A42" s="37">
        <f>SUBTOTAL(3, $T$2:T42)</f>
        <v>3</v>
      </c>
      <c r="B42" s="38" t="s">
        <v>20</v>
      </c>
      <c r="C42" s="39" t="s">
        <v>20</v>
      </c>
      <c r="D42" s="39" t="s">
        <v>1040</v>
      </c>
      <c r="E42" s="40" t="s">
        <v>1037</v>
      </c>
      <c r="F42" s="41" t="s">
        <v>1036</v>
      </c>
      <c r="G42" s="39" t="s">
        <v>1039</v>
      </c>
      <c r="H42" s="43" t="s">
        <v>3585</v>
      </c>
      <c r="I42" s="44" t="s">
        <v>1045</v>
      </c>
      <c r="J42" s="14" t="s">
        <v>1038</v>
      </c>
      <c r="K42" s="45" t="s">
        <v>3550</v>
      </c>
      <c r="L42" s="46">
        <v>43617</v>
      </c>
      <c r="M42" s="45" t="s">
        <v>199</v>
      </c>
      <c r="N42" s="45"/>
      <c r="O42" s="45"/>
      <c r="P42" s="45"/>
      <c r="Q42" s="45"/>
      <c r="R42" s="45"/>
      <c r="S42" s="45"/>
      <c r="T42" s="47" t="s">
        <v>4248</v>
      </c>
      <c r="U42" s="39" t="s">
        <v>3764</v>
      </c>
      <c r="V42" s="39" t="str">
        <f>CONCATENATE(U42, D42)</f>
        <v>https://example.websquare.kr/websquare/websquare.html?w2xPath=/guide/InputBox/dataType_displayFormat_InputBox.pdf</v>
      </c>
      <c r="W42" s="39" t="s">
        <v>4220</v>
      </c>
      <c r="X42" s="39" t="str">
        <f>CONCATENATE(W42, D42)</f>
        <v>https://docs.inswave.com/websquare/websquare.html?w2xPath=/support/api/samples/InputBox/dataType_displayFormat_InputBox.pdf</v>
      </c>
      <c r="Y42" s="48"/>
      <c r="Z42" s="4"/>
      <c r="AA42" s="4" t="str">
        <f>HYPERLINK(J42,H42)</f>
        <v>시간입력 방식</v>
      </c>
      <c r="AB42" s="39" t="str">
        <f t="shared" si="4"/>
        <v>https://docs.inswave.com/websquare/websquare.html?w2xPath=/support/api/samples/InputBox/dataType_displayFormat_InputBox.pdf</v>
      </c>
    </row>
    <row r="43" spans="1:28" s="39" customFormat="1" ht="102" hidden="1" x14ac:dyDescent="0.45">
      <c r="A43" s="37">
        <f>SUBTOTAL(3, $T$2:T43)</f>
        <v>3</v>
      </c>
      <c r="B43" s="38" t="s">
        <v>20</v>
      </c>
      <c r="C43" s="39" t="s">
        <v>20</v>
      </c>
      <c r="D43" s="39" t="s">
        <v>1047</v>
      </c>
      <c r="E43" s="40" t="s">
        <v>1043</v>
      </c>
      <c r="F43" s="41" t="s">
        <v>1042</v>
      </c>
      <c r="G43" s="44" t="s">
        <v>1044</v>
      </c>
      <c r="H43" s="43" t="s">
        <v>3586</v>
      </c>
      <c r="I43" s="44" t="s">
        <v>1041</v>
      </c>
      <c r="J43" s="14" t="s">
        <v>1046</v>
      </c>
      <c r="K43" s="45" t="s">
        <v>3550</v>
      </c>
      <c r="L43" s="46">
        <v>43617</v>
      </c>
      <c r="M43" s="14"/>
      <c r="N43" s="45"/>
      <c r="O43" s="45"/>
      <c r="P43" s="45"/>
      <c r="Q43" s="45"/>
      <c r="R43" s="45"/>
      <c r="S43" s="45"/>
      <c r="T43" s="47" t="s">
        <v>4248</v>
      </c>
      <c r="U43" s="39" t="s">
        <v>3764</v>
      </c>
      <c r="V43" s="39" t="str">
        <f>CONCATENATE(U43, D43)</f>
        <v>https://example.websquare.kr/websquare/websquare.html?w2xPath=/guide/InputBox/dataType_number_displayFormat_InputBox.pdf</v>
      </c>
      <c r="W43" s="39" t="s">
        <v>4220</v>
      </c>
      <c r="X43" s="39" t="str">
        <f>CONCATENATE(W43, D43)</f>
        <v>https://docs.inswave.com/websquare/websquare.html?w2xPath=/support/api/samples/InputBox/dataType_number_displayFormat_InputBox.pdf</v>
      </c>
      <c r="Y43" s="48"/>
      <c r="Z43" s="4"/>
      <c r="AA43" s="4" t="str">
        <f>HYPERLINK(J43,H43)</f>
        <v>반올림/올림</v>
      </c>
      <c r="AB43" s="39" t="str">
        <f t="shared" si="4"/>
        <v>https://docs.inswave.com/websquare/websquare.html?w2xPath=/support/api/samples/InputBox/dataType_number_displayFormat_InputBox.pdf</v>
      </c>
    </row>
    <row r="44" spans="1:28" s="39" customFormat="1" ht="102" hidden="1" x14ac:dyDescent="0.45">
      <c r="A44" s="37">
        <f>SUBTOTAL(3, $T$2:T44)</f>
        <v>3</v>
      </c>
      <c r="B44" s="38" t="s">
        <v>20</v>
      </c>
      <c r="C44" s="39" t="s">
        <v>20</v>
      </c>
      <c r="D44" s="39" t="s">
        <v>1053</v>
      </c>
      <c r="E44" s="40" t="s">
        <v>1049</v>
      </c>
      <c r="F44" s="41" t="s">
        <v>1048</v>
      </c>
      <c r="G44" s="39" t="s">
        <v>1051</v>
      </c>
      <c r="H44" s="43" t="s">
        <v>3587</v>
      </c>
      <c r="I44" s="44" t="s">
        <v>1050</v>
      </c>
      <c r="J44" s="14" t="s">
        <v>1052</v>
      </c>
      <c r="K44" s="45" t="s">
        <v>3550</v>
      </c>
      <c r="L44" s="46">
        <v>43647</v>
      </c>
      <c r="M44" s="14"/>
      <c r="N44" s="45"/>
      <c r="O44" s="45"/>
      <c r="P44" s="45"/>
      <c r="Q44" s="45"/>
      <c r="R44" s="45"/>
      <c r="S44" s="45"/>
      <c r="T44" s="47" t="s">
        <v>4248</v>
      </c>
      <c r="U44" s="39" t="s">
        <v>3764</v>
      </c>
      <c r="V44" s="39" t="str">
        <f>CONCATENATE(U44, D44)</f>
        <v>https://example.websquare.kr/websquare/websquare.html?w2xPath=/guide/InputBox/dataType_text_displayFormatter_InputBox.pdf</v>
      </c>
      <c r="W44" s="39" t="s">
        <v>4220</v>
      </c>
      <c r="X44" s="39" t="str">
        <f>CONCATENATE(W44, D44)</f>
        <v>https://docs.inswave.com/websquare/websquare.html?w2xPath=/support/api/samples/InputBox/dataType_text_displayFormatter_InputBox.pdf</v>
      </c>
      <c r="Y44" s="48"/>
      <c r="Z44" s="4"/>
      <c r="AA44" s="4" t="str">
        <f>HYPERLINK(J44,H44)</f>
        <v>대문자 변환</v>
      </c>
      <c r="AB44" s="39" t="str">
        <f t="shared" si="4"/>
        <v>https://docs.inswave.com/websquare/websquare.html?w2xPath=/support/api/samples/InputBox/dataType_text_displayFormatter_InputBox.pdf</v>
      </c>
    </row>
    <row r="45" spans="1:28" s="39" customFormat="1" ht="102" hidden="1" x14ac:dyDescent="0.25">
      <c r="A45" s="37">
        <f>SUBTOTAL(3, $T$2:T45)</f>
        <v>3</v>
      </c>
      <c r="B45" s="38" t="s">
        <v>4</v>
      </c>
      <c r="C45" s="39" t="s">
        <v>1133</v>
      </c>
      <c r="D45" s="39" t="s">
        <v>1452</v>
      </c>
      <c r="E45" s="40" t="s">
        <v>2668</v>
      </c>
      <c r="F45" s="41" t="s">
        <v>2662</v>
      </c>
      <c r="G45" s="39" t="s">
        <v>1058</v>
      </c>
      <c r="H45" s="54" t="s">
        <v>3632</v>
      </c>
      <c r="I45" s="39" t="s">
        <v>1057</v>
      </c>
      <c r="J45" s="14" t="s">
        <v>2670</v>
      </c>
      <c r="K45" s="45" t="s">
        <v>2304</v>
      </c>
      <c r="L45" s="46">
        <v>43647</v>
      </c>
      <c r="M45" s="14"/>
      <c r="N45" s="47" t="s">
        <v>2265</v>
      </c>
      <c r="O45" s="45" t="s">
        <v>199</v>
      </c>
      <c r="P45" s="45" t="s">
        <v>199</v>
      </c>
      <c r="Q45" s="45" t="s">
        <v>2304</v>
      </c>
      <c r="R45" s="45" t="s">
        <v>199</v>
      </c>
      <c r="S45" s="45" t="s">
        <v>199</v>
      </c>
      <c r="T45" s="47" t="s">
        <v>4248</v>
      </c>
      <c r="U45" s="39" t="s">
        <v>3764</v>
      </c>
      <c r="V45" s="39" t="str">
        <f>CONCATENATE(U45, D45)</f>
        <v>https://example.websquare.kr/websquare/websquare.html?w2xPath=/guide/_Studio/Common/static_absolute_drawing_mode_Studio.pdf</v>
      </c>
      <c r="W45" s="39" t="s">
        <v>4220</v>
      </c>
      <c r="X45" s="39" t="str">
        <f>CONCATENATE(W45, D45)</f>
        <v>https://docs.inswave.com/websquare/websquare.html?w2xPath=/support/api/samples/_Studio/Common/static_absolute_drawing_mode_Studio.pdf</v>
      </c>
      <c r="Y45" s="48"/>
      <c r="Z45" s="4"/>
      <c r="AA45" s="4" t="str">
        <f>HYPERLINK(J45,H45)</f>
        <v>그리기 모드 비교 설명</v>
      </c>
      <c r="AB45" s="39" t="str">
        <f t="shared" si="4"/>
        <v>https://docs.inswave.com/websquare/websquare.html?w2xPath=/support/api/samples/_Studio/Common/static_absolute_drawing_mode_Studio.pdf</v>
      </c>
    </row>
    <row r="46" spans="1:28" s="39" customFormat="1" ht="102" hidden="1" x14ac:dyDescent="0.45">
      <c r="A46" s="37">
        <f>SUBTOTAL(3, $T$2:T46)</f>
        <v>3</v>
      </c>
      <c r="B46" s="38" t="s">
        <v>4</v>
      </c>
      <c r="C46" s="39" t="s">
        <v>1133</v>
      </c>
      <c r="D46" s="39" t="s">
        <v>1454</v>
      </c>
      <c r="E46" s="40" t="s">
        <v>2675</v>
      </c>
      <c r="F46" s="41" t="s">
        <v>2671</v>
      </c>
      <c r="G46" s="39" t="s">
        <v>1119</v>
      </c>
      <c r="H46" s="55" t="s">
        <v>3634</v>
      </c>
      <c r="I46" s="39" t="s">
        <v>1057</v>
      </c>
      <c r="J46" s="14" t="s">
        <v>2676</v>
      </c>
      <c r="K46" s="45" t="s">
        <v>2304</v>
      </c>
      <c r="L46" s="46">
        <v>43647</v>
      </c>
      <c r="M46" s="14"/>
      <c r="N46" s="47" t="s">
        <v>2265</v>
      </c>
      <c r="O46" s="45" t="s">
        <v>199</v>
      </c>
      <c r="P46" s="45" t="s">
        <v>199</v>
      </c>
      <c r="Q46" s="45" t="s">
        <v>2304</v>
      </c>
      <c r="R46" s="45" t="s">
        <v>199</v>
      </c>
      <c r="S46" s="45" t="s">
        <v>199</v>
      </c>
      <c r="T46" s="47" t="s">
        <v>4248</v>
      </c>
      <c r="U46" s="39" t="s">
        <v>3764</v>
      </c>
      <c r="V46" s="39" t="str">
        <f>CONCATENATE(U46, D46)</f>
        <v>https://example.websquare.kr/websquare/websquare.html?w2xPath=/guide/_Studio/Common/viewing_on_browsers_Studio.pdf</v>
      </c>
      <c r="W46" s="39" t="s">
        <v>4220</v>
      </c>
      <c r="X46" s="39" t="str">
        <f>CONCATENATE(W46, D46)</f>
        <v>https://docs.inswave.com/websquare/websquare.html?w2xPath=/support/api/samples/_Studio/Common/viewing_on_browsers_Studio.pdf</v>
      </c>
      <c r="Y46" s="48"/>
      <c r="Z46" s="4"/>
      <c r="AA46" s="4" t="str">
        <f>HYPERLINK(J46,H46)</f>
        <v>기본 브라우저 설정 및 페이지 확인</v>
      </c>
      <c r="AB46" s="39" t="str">
        <f t="shared" si="4"/>
        <v>https://docs.inswave.com/websquare/websquare.html?w2xPath=/support/api/samples/_Studio/Common/viewing_on_browsers_Studio.pdf</v>
      </c>
    </row>
    <row r="47" spans="1:28" s="39" customFormat="1" ht="102" hidden="1" x14ac:dyDescent="0.25">
      <c r="A47" s="37">
        <f>SUBTOTAL(3, $T$2:T47)</f>
        <v>3</v>
      </c>
      <c r="B47" s="38" t="s">
        <v>4</v>
      </c>
      <c r="C47" s="39" t="s">
        <v>1133</v>
      </c>
      <c r="D47" s="39" t="s">
        <v>1451</v>
      </c>
      <c r="E47" s="40" t="s">
        <v>2666</v>
      </c>
      <c r="F47" s="41" t="s">
        <v>2663</v>
      </c>
      <c r="G47" s="44" t="s">
        <v>1056</v>
      </c>
      <c r="H47" s="54" t="s">
        <v>3631</v>
      </c>
      <c r="I47" s="39" t="s">
        <v>305</v>
      </c>
      <c r="J47" s="14" t="s">
        <v>2667</v>
      </c>
      <c r="K47" s="45" t="s">
        <v>2304</v>
      </c>
      <c r="L47" s="46">
        <v>43647</v>
      </c>
      <c r="M47" s="14"/>
      <c r="N47" s="47" t="s">
        <v>2265</v>
      </c>
      <c r="O47" s="45" t="s">
        <v>199</v>
      </c>
      <c r="P47" s="45" t="s">
        <v>199</v>
      </c>
      <c r="Q47" s="45" t="s">
        <v>2304</v>
      </c>
      <c r="R47" s="45" t="s">
        <v>199</v>
      </c>
      <c r="S47" s="45" t="s">
        <v>199</v>
      </c>
      <c r="T47" s="47" t="s">
        <v>4248</v>
      </c>
      <c r="U47" s="39" t="s">
        <v>3764</v>
      </c>
      <c r="V47" s="39" t="str">
        <f>CONCATENATE(U47, D47)</f>
        <v>https://example.websquare.kr/websquare/websquare.html?w2xPath=/guide/_Studio/Common/help_perspective_Studio.pdf</v>
      </c>
      <c r="W47" s="39" t="s">
        <v>4220</v>
      </c>
      <c r="X47" s="39" t="str">
        <f>CONCATENATE(W47, D47)</f>
        <v>https://docs.inswave.com/websquare/websquare.html?w2xPath=/support/api/samples/_Studio/Common/help_perspective_Studio.pdf</v>
      </c>
      <c r="Y47" s="48"/>
      <c r="Z47" s="4"/>
      <c r="AA47" s="4" t="str">
        <f>HYPERLINK(J47,H47)</f>
        <v>도움말 확인 및 Perspective 복구</v>
      </c>
      <c r="AB47" s="39" t="str">
        <f t="shared" si="4"/>
        <v>https://docs.inswave.com/websquare/websquare.html?w2xPath=/support/api/samples/_Studio/Common/help_perspective_Studio.pdf</v>
      </c>
    </row>
    <row r="48" spans="1:28" s="39" customFormat="1" ht="102" hidden="1" x14ac:dyDescent="0.45">
      <c r="A48" s="37">
        <f>SUBTOTAL(3, $T$2:T48)</f>
        <v>3</v>
      </c>
      <c r="B48" s="38" t="s">
        <v>18</v>
      </c>
      <c r="C48" s="39" t="s">
        <v>18</v>
      </c>
      <c r="D48" s="39" t="s">
        <v>1143</v>
      </c>
      <c r="E48" s="40" t="s">
        <v>1141</v>
      </c>
      <c r="F48" s="41" t="s">
        <v>1142</v>
      </c>
      <c r="G48" s="39" t="s">
        <v>1140</v>
      </c>
      <c r="H48" s="43" t="s">
        <v>3591</v>
      </c>
      <c r="J48" s="14" t="s">
        <v>1169</v>
      </c>
      <c r="K48" s="45" t="s">
        <v>3550</v>
      </c>
      <c r="L48" s="46">
        <v>43678</v>
      </c>
      <c r="M48" s="14"/>
      <c r="N48" s="45"/>
      <c r="O48" s="45"/>
      <c r="P48" s="45"/>
      <c r="Q48" s="45"/>
      <c r="R48" s="45"/>
      <c r="S48" s="45"/>
      <c r="T48" s="47" t="s">
        <v>4248</v>
      </c>
      <c r="U48" s="39" t="s">
        <v>3764</v>
      </c>
      <c r="V48" s="39" t="str">
        <f>CONCATENATE(U48, D48)</f>
        <v>https://example.websquare.kr/websquare/websquare.html?w2xPath=/guide/WFrame/page_WFrame.pdf</v>
      </c>
      <c r="W48" s="39" t="s">
        <v>4220</v>
      </c>
      <c r="X48" s="39" t="str">
        <f>CONCATENATE(W48, D48)</f>
        <v>https://docs.inswave.com/websquare/websquare.html?w2xPath=/support/api/samples/WFrame/page_WFrame.pdf</v>
      </c>
      <c r="Y48" s="48"/>
      <c r="Z48" s="4"/>
      <c r="AA48" s="4" t="str">
        <f>HYPERLINK(J48,H48)</f>
        <v>페이지 설명</v>
      </c>
      <c r="AB48" s="39" t="str">
        <f t="shared" si="4"/>
        <v>https://docs.inswave.com/websquare/websquare.html?w2xPath=/support/api/samples/WFrame/page_WFrame.pdf</v>
      </c>
    </row>
    <row r="49" spans="1:30" s="39" customFormat="1" ht="119" hidden="1" x14ac:dyDescent="0.45">
      <c r="A49" s="37">
        <f>SUBTOTAL(3, $T$2:T49)</f>
        <v>3</v>
      </c>
      <c r="B49" s="40" t="s">
        <v>37</v>
      </c>
      <c r="C49" s="44" t="s">
        <v>37</v>
      </c>
      <c r="D49" s="39" t="s">
        <v>1174</v>
      </c>
      <c r="E49" s="40" t="s">
        <v>1171</v>
      </c>
      <c r="F49" s="41" t="s">
        <v>1170</v>
      </c>
      <c r="G49" s="39" t="s">
        <v>1173</v>
      </c>
      <c r="H49" s="43" t="s">
        <v>3592</v>
      </c>
      <c r="I49" s="44" t="s">
        <v>37</v>
      </c>
      <c r="J49" s="14" t="s">
        <v>1172</v>
      </c>
      <c r="K49" s="45" t="s">
        <v>3550</v>
      </c>
      <c r="L49" s="46">
        <v>43678</v>
      </c>
      <c r="M49" s="14"/>
      <c r="N49" s="45"/>
      <c r="O49" s="45"/>
      <c r="P49" s="45"/>
      <c r="Q49" s="45"/>
      <c r="R49" s="45"/>
      <c r="S49" s="45"/>
      <c r="T49" s="47" t="s">
        <v>4248</v>
      </c>
      <c r="U49" s="39" t="s">
        <v>3764</v>
      </c>
      <c r="V49" s="39" t="str">
        <f>CONCATENATE(U49, D49)</f>
        <v>https://example.websquare.kr/websquare/websquare.html?w2xPath=/guide/AutoComplete/AutoComplete_Radio_SelectBox_Spinner_CheckBox_CheckComboBox_MultiSelect.pdf</v>
      </c>
      <c r="W49" s="39" t="s">
        <v>4220</v>
      </c>
      <c r="X49" s="39" t="str">
        <f>CONCATENATE(W49, D49)</f>
        <v>https://docs.inswave.com/websquare/websquare.html?w2xPath=/support/api/samples/AutoComplete/AutoComplete_Radio_SelectBox_Spinner_CheckBox_CheckComboBox_MultiSelect.pdf</v>
      </c>
      <c r="Y49" s="48"/>
      <c r="Z49" s="4"/>
      <c r="AA49" s="4" t="str">
        <f>HYPERLINK(J49,H49)</f>
        <v>선택 방식</v>
      </c>
      <c r="AB49" s="39" t="str">
        <f t="shared" si="4"/>
        <v>https://docs.inswave.com/websquare/websquare.html?w2xPath=/support/api/samples/AutoComplete/AutoComplete_Radio_SelectBox_Spinner_CheckBox_CheckComboBox_MultiSelect.pdf</v>
      </c>
    </row>
    <row r="50" spans="1:30" s="39" customFormat="1" ht="102" hidden="1" x14ac:dyDescent="0.45">
      <c r="A50" s="37">
        <f>SUBTOTAL(3, $T$2:T50)</f>
        <v>3</v>
      </c>
      <c r="B50" s="40" t="s">
        <v>16</v>
      </c>
      <c r="C50" s="44" t="s">
        <v>16</v>
      </c>
      <c r="D50" s="39" t="s">
        <v>1178</v>
      </c>
      <c r="E50" s="40" t="s">
        <v>1179</v>
      </c>
      <c r="F50" s="41" t="s">
        <v>1175</v>
      </c>
      <c r="G50" s="39" t="s">
        <v>1176</v>
      </c>
      <c r="H50" s="43" t="s">
        <v>3593</v>
      </c>
      <c r="I50" s="44" t="s">
        <v>1180</v>
      </c>
      <c r="J50" s="14" t="s">
        <v>1177</v>
      </c>
      <c r="K50" s="45" t="s">
        <v>3550</v>
      </c>
      <c r="L50" s="46">
        <v>43678</v>
      </c>
      <c r="M50" s="14"/>
      <c r="N50" s="45"/>
      <c r="O50" s="45"/>
      <c r="P50" s="45"/>
      <c r="Q50" s="45"/>
      <c r="R50" s="45"/>
      <c r="S50" s="45"/>
      <c r="T50" s="47" t="s">
        <v>4248</v>
      </c>
      <c r="U50" s="39" t="s">
        <v>3764</v>
      </c>
      <c r="V50" s="39" t="str">
        <f>CONCATENATE(U50, D50)</f>
        <v>https://example.websquare.kr/websquare/websquare.html?w2xPath=/guide/AutoComplete/ItemSet_chooseOption_chooseOptionLabel_AutoComplete_SelectBox.pdf</v>
      </c>
      <c r="W50" s="39" t="s">
        <v>4220</v>
      </c>
      <c r="X50" s="39" t="str">
        <f>CONCATENATE(W50, D50)</f>
        <v>https://docs.inswave.com/websquare/websquare.html?w2xPath=/support/api/samples/AutoComplete/ItemSet_chooseOption_chooseOptionLabel_AutoComplete_SelectBox.pdf</v>
      </c>
      <c r="Y50" s="48"/>
      <c r="Z50" s="4"/>
      <c r="AA50" s="4" t="str">
        <f>HYPERLINK(J50,H50)</f>
        <v>항목 직접입력</v>
      </c>
      <c r="AB50" s="39" t="str">
        <f t="shared" si="4"/>
        <v>https://docs.inswave.com/websquare/websquare.html?w2xPath=/support/api/samples/AutoComplete/ItemSet_chooseOption_chooseOptionLabel_AutoComplete_SelectBox.pdf</v>
      </c>
    </row>
    <row r="51" spans="1:30" s="39" customFormat="1" ht="102" hidden="1" x14ac:dyDescent="0.45">
      <c r="A51" s="37">
        <f>SUBTOTAL(3, $T$2:T51)</f>
        <v>3</v>
      </c>
      <c r="B51" s="38" t="s">
        <v>26</v>
      </c>
      <c r="C51" s="39" t="s">
        <v>26</v>
      </c>
      <c r="D51" s="39" t="s">
        <v>1187</v>
      </c>
      <c r="E51" s="40" t="s">
        <v>1183</v>
      </c>
      <c r="F51" s="41" t="s">
        <v>1184</v>
      </c>
      <c r="G51" s="39" t="s">
        <v>1182</v>
      </c>
      <c r="H51" s="43" t="s">
        <v>3594</v>
      </c>
      <c r="I51" s="44" t="s">
        <v>1185</v>
      </c>
      <c r="J51" s="14" t="s">
        <v>1186</v>
      </c>
      <c r="K51" s="45" t="s">
        <v>3550</v>
      </c>
      <c r="L51" s="46">
        <v>43678</v>
      </c>
      <c r="M51" s="14"/>
      <c r="N51" s="45"/>
      <c r="O51" s="45"/>
      <c r="P51" s="45"/>
      <c r="Q51" s="45"/>
      <c r="R51" s="45"/>
      <c r="S51" s="45"/>
      <c r="T51" s="47" t="s">
        <v>4248</v>
      </c>
      <c r="U51" s="39" t="s">
        <v>3764</v>
      </c>
      <c r="V51" s="39" t="str">
        <f>CONCATENATE(U51, D51)</f>
        <v>https://example.websquare.kr/websquare/websquare.html?w2xPath=/guide/CheckBox/SpanDirection_SpanCount_cols_rows_CheckBox.pdf</v>
      </c>
      <c r="W51" s="39" t="s">
        <v>4220</v>
      </c>
      <c r="X51" s="39" t="str">
        <f>CONCATENATE(W51, D51)</f>
        <v>https://docs.inswave.com/websquare/websquare.html?w2xPath=/support/api/samples/CheckBox/SpanDirection_SpanCount_cols_rows_CheckBox.pdf</v>
      </c>
      <c r="Y51" s="48"/>
      <c r="Z51" s="4"/>
      <c r="AA51" s="4" t="str">
        <f>HYPERLINK(J51,H51)</f>
        <v>항목 표시 설정</v>
      </c>
      <c r="AB51" s="39" t="str">
        <f t="shared" si="4"/>
        <v>https://docs.inswave.com/websquare/websquare.html?w2xPath=/support/api/samples/CheckBox/SpanDirection_SpanCount_cols_rows_CheckBox.pdf</v>
      </c>
    </row>
    <row r="52" spans="1:30" s="39" customFormat="1" ht="102" hidden="1" x14ac:dyDescent="0.45">
      <c r="A52" s="37">
        <f>SUBTOTAL(3, $T$2:T52)</f>
        <v>3</v>
      </c>
      <c r="B52" s="38" t="s">
        <v>15</v>
      </c>
      <c r="C52" s="39" t="s">
        <v>15</v>
      </c>
      <c r="D52" s="39" t="s">
        <v>1193</v>
      </c>
      <c r="E52" s="40" t="s">
        <v>1190</v>
      </c>
      <c r="F52" s="41" t="s">
        <v>1189</v>
      </c>
      <c r="G52" s="39" t="s">
        <v>1188</v>
      </c>
      <c r="H52" s="43" t="s">
        <v>3593</v>
      </c>
      <c r="I52" s="39" t="s">
        <v>1191</v>
      </c>
      <c r="J52" s="14" t="s">
        <v>1192</v>
      </c>
      <c r="K52" s="45" t="s">
        <v>3550</v>
      </c>
      <c r="L52" s="46">
        <v>43678</v>
      </c>
      <c r="M52" s="14"/>
      <c r="N52" s="45"/>
      <c r="O52" s="45"/>
      <c r="P52" s="45"/>
      <c r="Q52" s="45"/>
      <c r="R52" s="45"/>
      <c r="S52" s="45"/>
      <c r="T52" s="47" t="s">
        <v>4248</v>
      </c>
      <c r="U52" s="39" t="s">
        <v>3764</v>
      </c>
      <c r="V52" s="39" t="str">
        <f>CONCATENATE(U52, D52)</f>
        <v>https://example.websquare.kr/websquare/websquare.html?w2xPath=/guide/CheckComboBox/ItemSet_CheckComboBox.pdf</v>
      </c>
      <c r="W52" s="39" t="s">
        <v>4220</v>
      </c>
      <c r="X52" s="39" t="str">
        <f>CONCATENATE(W52, D52)</f>
        <v>https://docs.inswave.com/websquare/websquare.html?w2xPath=/support/api/samples/CheckComboBox/ItemSet_CheckComboBox.pdf</v>
      </c>
      <c r="Y52" s="48"/>
      <c r="Z52" s="4"/>
      <c r="AA52" s="4" t="str">
        <f>HYPERLINK(J52,H52)</f>
        <v>항목 직접입력</v>
      </c>
      <c r="AB52" s="39" t="str">
        <f t="shared" si="4"/>
        <v>https://docs.inswave.com/websquare/websquare.html?w2xPath=/support/api/samples/CheckComboBox/ItemSet_CheckComboBox.pdf</v>
      </c>
    </row>
    <row r="53" spans="1:30" s="39" customFormat="1" ht="102" hidden="1" x14ac:dyDescent="0.45">
      <c r="A53" s="37">
        <f>SUBTOTAL(3, $T$2:T53)</f>
        <v>3</v>
      </c>
      <c r="B53" s="38" t="s">
        <v>15</v>
      </c>
      <c r="C53" s="39" t="s">
        <v>15</v>
      </c>
      <c r="D53" s="39" t="s">
        <v>1199</v>
      </c>
      <c r="E53" s="40" t="s">
        <v>1195</v>
      </c>
      <c r="F53" s="41" t="s">
        <v>1194</v>
      </c>
      <c r="G53" s="44" t="s">
        <v>1196</v>
      </c>
      <c r="H53" s="43" t="s">
        <v>3595</v>
      </c>
      <c r="I53" s="44" t="s">
        <v>1198</v>
      </c>
      <c r="J53" s="14" t="s">
        <v>1197</v>
      </c>
      <c r="K53" s="45" t="s">
        <v>3550</v>
      </c>
      <c r="L53" s="46">
        <v>43678</v>
      </c>
      <c r="M53" s="14"/>
      <c r="N53" s="45"/>
      <c r="O53" s="45"/>
      <c r="P53" s="45"/>
      <c r="Q53" s="45"/>
      <c r="R53" s="45"/>
      <c r="S53" s="45"/>
      <c r="T53" s="47" t="s">
        <v>4248</v>
      </c>
      <c r="U53" s="39" t="s">
        <v>3764</v>
      </c>
      <c r="V53" s="39" t="str">
        <f>CONCATENATE(U53, D53)</f>
        <v>https://example.websquare.kr/websquare/websquare.html?w2xPath=/guide/CheckComboBox/allOption_chooseOption_chooseOptionLabel_CheckComboBox.pdf</v>
      </c>
      <c r="W53" s="39" t="s">
        <v>4220</v>
      </c>
      <c r="X53" s="39" t="str">
        <f>CONCATENATE(W53, D53)</f>
        <v>https://docs.inswave.com/websquare/websquare.html?w2xPath=/support/api/samples/CheckComboBox/allOption_chooseOption_chooseOptionLabel_CheckComboBox.pdf</v>
      </c>
      <c r="Y53" s="48"/>
      <c r="Z53" s="4"/>
      <c r="AA53" s="4" t="str">
        <f>HYPERLINK(J53,H53)</f>
        <v>전체선택 안내</v>
      </c>
      <c r="AB53" s="39" t="str">
        <f t="shared" si="4"/>
        <v>https://docs.inswave.com/websquare/websquare.html?w2xPath=/support/api/samples/CheckComboBox/allOption_chooseOption_chooseOptionLabel_CheckComboBox.pdf</v>
      </c>
    </row>
    <row r="54" spans="1:30" s="39" customFormat="1" ht="102" hidden="1" x14ac:dyDescent="0.45">
      <c r="A54" s="37">
        <f>SUBTOTAL(3, $T$2:T54)</f>
        <v>3</v>
      </c>
      <c r="B54" s="40" t="s">
        <v>16</v>
      </c>
      <c r="C54" s="44" t="s">
        <v>16</v>
      </c>
      <c r="D54" s="39" t="s">
        <v>1202</v>
      </c>
      <c r="E54" s="40" t="s">
        <v>1201</v>
      </c>
      <c r="F54" s="41" t="s">
        <v>1200</v>
      </c>
      <c r="G54" s="39" t="s">
        <v>30</v>
      </c>
      <c r="H54" s="43" t="s">
        <v>3596</v>
      </c>
      <c r="J54" s="14" t="s">
        <v>1623</v>
      </c>
      <c r="K54" s="45" t="s">
        <v>3550</v>
      </c>
      <c r="L54" s="46">
        <v>43709</v>
      </c>
      <c r="M54" s="14"/>
      <c r="N54" s="45"/>
      <c r="O54" s="45"/>
      <c r="P54" s="45"/>
      <c r="Q54" s="45"/>
      <c r="R54" s="45"/>
      <c r="S54" s="45"/>
      <c r="T54" s="47" t="s">
        <v>4248</v>
      </c>
      <c r="U54" s="39" t="s">
        <v>3764</v>
      </c>
      <c r="V54" s="39" t="str">
        <f>CONCATENATE(U54, D54)</f>
        <v>https://example.websquare.kr/websquare/websquare.html?w2xPath=/guide/AutoComplete/AutoComplete_SelectBox.pdf</v>
      </c>
      <c r="W54" s="39" t="s">
        <v>4220</v>
      </c>
      <c r="X54" s="39" t="str">
        <f>CONCATENATE(W54, D54)</f>
        <v>https://docs.inswave.com/websquare/websquare.html?w2xPath=/support/api/samples/AutoComplete/AutoComplete_SelectBox.pdf</v>
      </c>
      <c r="Y54" s="48"/>
      <c r="Z54" s="4"/>
      <c r="AA54" s="4" t="str">
        <f>HYPERLINK(J54,H54)</f>
        <v>자동완성 비교</v>
      </c>
      <c r="AB54" s="39" t="str">
        <f t="shared" si="4"/>
        <v>https://docs.inswave.com/websquare/websquare.html?w2xPath=/support/api/samples/AutoComplete/AutoComplete_SelectBox.pdf</v>
      </c>
    </row>
    <row r="55" spans="1:30" s="39" customFormat="1" ht="102" x14ac:dyDescent="0.45">
      <c r="A55" s="37">
        <f>SUBTOTAL(3, $T$2:T55)</f>
        <v>4</v>
      </c>
      <c r="B55" s="38" t="s">
        <v>1</v>
      </c>
      <c r="C55" s="39" t="s">
        <v>3384</v>
      </c>
      <c r="D55" s="39" t="s">
        <v>4458</v>
      </c>
      <c r="E55" s="40" t="s">
        <v>4292</v>
      </c>
      <c r="F55" s="41" t="s">
        <v>4293</v>
      </c>
      <c r="G55" s="44" t="s">
        <v>1267</v>
      </c>
      <c r="H55" s="53" t="s">
        <v>4369</v>
      </c>
      <c r="I55" s="44" t="s">
        <v>2105</v>
      </c>
      <c r="J55" s="14" t="s">
        <v>2103</v>
      </c>
      <c r="K55" s="22" t="s">
        <v>3383</v>
      </c>
      <c r="L55" s="46">
        <v>43983</v>
      </c>
      <c r="M55" s="14"/>
      <c r="N55" s="45" t="s">
        <v>199</v>
      </c>
      <c r="O55" s="45" t="s">
        <v>199</v>
      </c>
      <c r="P55" s="45" t="s">
        <v>199</v>
      </c>
      <c r="Q55" s="45" t="s">
        <v>199</v>
      </c>
      <c r="R55" s="45" t="s">
        <v>199</v>
      </c>
      <c r="S55" s="45" t="s">
        <v>199</v>
      </c>
      <c r="T55" s="47" t="s">
        <v>4247</v>
      </c>
      <c r="U55" s="39" t="s">
        <v>3764</v>
      </c>
      <c r="V55" s="39" t="str">
        <f>CONCATENATE(U55, D55)</f>
        <v>https://example.websquare.kr/websquare/websquare.html?w2xPath=/guide/_p/data/data_create_p_setData_DataList_mutipleDataListDownload_WebSquare_util.xml</v>
      </c>
      <c r="W55" s="39" t="s">
        <v>4512</v>
      </c>
      <c r="X55" s="39" t="str">
        <f>CONCATENATE(W55, D55)</f>
        <v>https://docs.inswave.com/websquare/websquare.html?w2xPath=/support/api/guide/_p/data/data_create_p_setData_DataList_mutipleDataListDownload_WebSquare_util.xml</v>
      </c>
      <c r="Y55" s="48" t="str">
        <f>HYPERLINK(X55, H55)</f>
        <v>DataList 동적 생성 및 Excel 파일로 다운로드</v>
      </c>
      <c r="Z55" s="4" t="str">
        <f>HYPERLINK(V55,H55)</f>
        <v>DataList 동적 생성 및 Excel 파일로 다운로드</v>
      </c>
      <c r="AA55" s="4" t="str">
        <f>HYPERLINK(J55,H55)</f>
        <v>DataList 동적 생성 및 Excel 파일로 다운로드</v>
      </c>
      <c r="AB55" s="39" t="str">
        <f t="shared" si="4"/>
        <v>https://docs.inswave.com/websquare/websquare.html?w2xPath=/support/api/guide/_p/data/data_create_p_setData_DataList_mutipleDataListDownload_WebSquare_util.xml</v>
      </c>
    </row>
    <row r="56" spans="1:30" s="39" customFormat="1" ht="102" x14ac:dyDescent="0.45">
      <c r="A56" s="37">
        <f>SUBTOTAL(3, $T$2:T56)</f>
        <v>5</v>
      </c>
      <c r="B56" s="40" t="s">
        <v>2022</v>
      </c>
      <c r="C56" s="39" t="s">
        <v>3384</v>
      </c>
      <c r="D56" s="39" t="s">
        <v>4414</v>
      </c>
      <c r="E56" s="41" t="s">
        <v>4317</v>
      </c>
      <c r="F56" s="41" t="s">
        <v>4318</v>
      </c>
      <c r="G56" s="39" t="s">
        <v>3385</v>
      </c>
      <c r="H56" s="58" t="s">
        <v>4330</v>
      </c>
      <c r="I56" s="41" t="s">
        <v>3389</v>
      </c>
      <c r="J56" s="14" t="s">
        <v>3387</v>
      </c>
      <c r="K56" s="23" t="s">
        <v>3386</v>
      </c>
      <c r="L56" s="46">
        <v>45627</v>
      </c>
      <c r="M56" s="14"/>
      <c r="N56" s="45"/>
      <c r="O56" s="45"/>
      <c r="P56" s="45"/>
      <c r="Q56" s="45"/>
      <c r="R56" s="45"/>
      <c r="S56" s="45"/>
      <c r="T56" s="47" t="s">
        <v>4247</v>
      </c>
      <c r="U56" s="39" t="s">
        <v>3764</v>
      </c>
      <c r="V56" s="39" t="str">
        <f>CONCATENATE(U56, D56)</f>
        <v>https://example.websquare.kr/websquare/websquare.html?w2xPath=/guide/_p/data/getAllDataCollection_data_p/getAllDataCollection_data_p.xml</v>
      </c>
      <c r="W56" s="39" t="s">
        <v>4512</v>
      </c>
      <c r="X56" s="39" t="str">
        <f>CONCATENATE(W56, D56)</f>
        <v>https://docs.inswave.com/websquare/websquare.html?w2xPath=/support/api/guide/_p/data/getAllDataCollection_data_p/getAllDataCollection_data_p.xml</v>
      </c>
      <c r="Y56" s="48" t="str">
        <f>HYPERLINK(X56, H56)</f>
        <v>전체 DataCollection ID 혹은 객체를 반환</v>
      </c>
      <c r="Z56" s="4" t="str">
        <f>HYPERLINK(V56,H56)</f>
        <v>전체 DataCollection ID 혹은 객체를 반환</v>
      </c>
      <c r="AA56" s="4" t="str">
        <f>HYPERLINK(J56,H56)</f>
        <v>전체 DataCollection ID 혹은 객체를 반환</v>
      </c>
      <c r="AB56" s="39" t="str">
        <f t="shared" si="4"/>
        <v>https://docs.inswave.com/websquare/websquare.html?w2xPath=/support/api/guide/_p/data/getAllDataCollection_data_p/getAllDataCollection_data_p.xml</v>
      </c>
    </row>
    <row r="57" spans="1:30" s="39" customFormat="1" ht="102" x14ac:dyDescent="0.45">
      <c r="A57" s="37">
        <f>SUBTOTAL(3, $T$2:T57)</f>
        <v>6</v>
      </c>
      <c r="B57" s="38" t="s">
        <v>2022</v>
      </c>
      <c r="C57" s="39" t="s">
        <v>2021</v>
      </c>
      <c r="D57" s="39" t="s">
        <v>4413</v>
      </c>
      <c r="E57" s="40" t="s">
        <v>4315</v>
      </c>
      <c r="F57" s="41" t="s">
        <v>4316</v>
      </c>
      <c r="G57" s="39" t="s">
        <v>2738</v>
      </c>
      <c r="H57" s="53" t="s">
        <v>4481</v>
      </c>
      <c r="I57" s="44" t="s">
        <v>2739</v>
      </c>
      <c r="J57" s="14" t="s">
        <v>2741</v>
      </c>
      <c r="K57" s="22" t="s">
        <v>2777</v>
      </c>
      <c r="L57" s="46">
        <v>45444</v>
      </c>
      <c r="M57" s="14"/>
      <c r="N57" s="45"/>
      <c r="O57" s="45"/>
      <c r="P57" s="45"/>
      <c r="Q57" s="45" t="s">
        <v>199</v>
      </c>
      <c r="R57" s="45" t="s">
        <v>199</v>
      </c>
      <c r="S57" s="45" t="s">
        <v>199</v>
      </c>
      <c r="T57" s="47" t="s">
        <v>4247</v>
      </c>
      <c r="U57" s="39" t="s">
        <v>3764</v>
      </c>
      <c r="V57" s="39" t="str">
        <f>CONCATENATE(U57, D57)</f>
        <v>https://example.websquare.kr/websquare/websquare.html?w2xPath=/guide/_p/PopUp/pageFramePopup_openPopup_p/pageFramePopup_openPopup_p.xml</v>
      </c>
      <c r="W57" s="39" t="s">
        <v>4512</v>
      </c>
      <c r="X57" s="39" t="str">
        <f>CONCATENATE(W57, D57)</f>
        <v>https://docs.inswave.com/websquare/websquare.html?w2xPath=/support/api/guide/_p/PopUp/pageFramePopup_openPopup_p/pageFramePopup_openPopup_p.xml</v>
      </c>
      <c r="Y57" s="48" t="str">
        <f>HYPERLINK(X57, H57)</f>
        <v>PageFrame 팝업 활용</v>
      </c>
      <c r="Z57" s="4" t="str">
        <f>HYPERLINK(V57,H57)</f>
        <v>PageFrame 팝업 활용</v>
      </c>
      <c r="AA57" s="4" t="str">
        <f>HYPERLINK(J57,H57)</f>
        <v>PageFrame 팝업 활용</v>
      </c>
      <c r="AB57" s="39" t="str">
        <f t="shared" si="4"/>
        <v>https://docs.inswave.com/websquare/websquare.html?w2xPath=/support/api/guide/_p/PopUp/pageFramePopup_openPopup_p/pageFramePopup_openPopup_p.xml</v>
      </c>
      <c r="AC57" s="45"/>
      <c r="AD57" s="45"/>
    </row>
    <row r="58" spans="1:30" s="39" customFormat="1" ht="102" x14ac:dyDescent="0.45">
      <c r="A58" s="37">
        <f>SUBTOTAL(3, $T$2:T58)</f>
        <v>7</v>
      </c>
      <c r="B58" s="38" t="s">
        <v>1</v>
      </c>
      <c r="C58" s="39" t="s">
        <v>1232</v>
      </c>
      <c r="D58" s="39" t="s">
        <v>4401</v>
      </c>
      <c r="E58" s="40" t="s">
        <v>4261</v>
      </c>
      <c r="F58" s="41" t="s">
        <v>4262</v>
      </c>
      <c r="G58" s="39" t="s">
        <v>93</v>
      </c>
      <c r="H58" s="53" t="s">
        <v>4328</v>
      </c>
      <c r="I58" s="39" t="s">
        <v>88</v>
      </c>
      <c r="J58" s="14" t="s">
        <v>346</v>
      </c>
      <c r="K58" s="22" t="s">
        <v>2771</v>
      </c>
      <c r="L58" s="46">
        <v>44378</v>
      </c>
      <c r="M58" s="50" t="s">
        <v>199</v>
      </c>
      <c r="N58" s="45" t="s">
        <v>199</v>
      </c>
      <c r="O58" s="45" t="s">
        <v>199</v>
      </c>
      <c r="P58" s="45" t="s">
        <v>199</v>
      </c>
      <c r="Q58" s="45" t="s">
        <v>199</v>
      </c>
      <c r="R58" s="45" t="s">
        <v>199</v>
      </c>
      <c r="S58" s="45" t="s">
        <v>199</v>
      </c>
      <c r="T58" s="47" t="s">
        <v>4247</v>
      </c>
      <c r="U58" s="39" t="s">
        <v>3764</v>
      </c>
      <c r="V58" s="39" t="str">
        <f>CONCATENATE(U58, D58)</f>
        <v>https://example.websquare.kr/websquare/websquare.html?w2xPath=/guide/_p/PopUp/isWFramePopUp_p/isWFramePopUp_p.xml</v>
      </c>
      <c r="W58" s="39" t="s">
        <v>4512</v>
      </c>
      <c r="X58" s="39" t="str">
        <f>CONCATENATE(W58, D58)</f>
        <v>https://docs.inswave.com/websquare/websquare.html?w2xPath=/support/api/guide/_p/PopUp/isWFramePopUp_p/isWFramePopUp_p.xml</v>
      </c>
      <c r="Y58" s="48" t="str">
        <f>HYPERLINK(X58, H58)</f>
        <v>WFrame 팝업 여부 확인</v>
      </c>
      <c r="Z58" s="4" t="str">
        <f>HYPERLINK(V58,H58)</f>
        <v>WFrame 팝업 여부 확인</v>
      </c>
      <c r="AA58" s="4" t="str">
        <f>HYPERLINK(J58,H58)</f>
        <v>WFrame 팝업 여부 확인</v>
      </c>
      <c r="AB58" s="39" t="str">
        <f t="shared" si="4"/>
        <v>https://docs.inswave.com/websquare/websquare.html?w2xPath=/support/api/guide/_p/PopUp/isWFramePopUp_p/isWFramePopUp_p.xml</v>
      </c>
      <c r="AC58" s="45"/>
      <c r="AD58" s="45"/>
    </row>
    <row r="59" spans="1:30" s="39" customFormat="1" ht="102" x14ac:dyDescent="0.45">
      <c r="A59" s="37">
        <f>SUBTOTAL(3, $T$2:T59)</f>
        <v>8</v>
      </c>
      <c r="B59" s="38" t="s">
        <v>1</v>
      </c>
      <c r="C59" s="39" t="s">
        <v>1232</v>
      </c>
      <c r="D59" s="39" t="s">
        <v>4406</v>
      </c>
      <c r="E59" s="40" t="s">
        <v>4282</v>
      </c>
      <c r="F59" s="41" t="s">
        <v>4283</v>
      </c>
      <c r="G59" s="39" t="s">
        <v>1500</v>
      </c>
      <c r="H59" s="53" t="s">
        <v>4367</v>
      </c>
      <c r="I59" s="39" t="s">
        <v>1501</v>
      </c>
      <c r="J59" s="14" t="s">
        <v>1874</v>
      </c>
      <c r="K59" s="22" t="s">
        <v>2769</v>
      </c>
      <c r="L59" s="46">
        <v>44013</v>
      </c>
      <c r="M59" s="14"/>
      <c r="N59" s="45" t="s">
        <v>199</v>
      </c>
      <c r="O59" s="45" t="s">
        <v>199</v>
      </c>
      <c r="P59" s="45" t="s">
        <v>199</v>
      </c>
      <c r="Q59" s="45" t="s">
        <v>199</v>
      </c>
      <c r="R59" s="45" t="s">
        <v>199</v>
      </c>
      <c r="S59" s="45" t="s">
        <v>199</v>
      </c>
      <c r="T59" s="47" t="s">
        <v>4247</v>
      </c>
      <c r="U59" s="39" t="s">
        <v>3764</v>
      </c>
      <c r="V59" s="39" t="str">
        <f>CONCATENATE(U59, D59)</f>
        <v>https://example.websquare.kr/websquare/websquare.html?w2xPath=/guide/_p/PopUp/getPopupWindow_p/getPopupWindow_p.xml</v>
      </c>
      <c r="W59" s="39" t="s">
        <v>4512</v>
      </c>
      <c r="X59" s="39" t="str">
        <f>CONCATENATE(W59, D59)</f>
        <v>https://docs.inswave.com/websquare/websquare.html?w2xPath=/support/api/guide/_p/PopUp/getPopupWindow_p/getPopupWindow_p.xml</v>
      </c>
      <c r="Y59" s="48" t="str">
        <f>HYPERLINK(X59, H59)</f>
        <v>개별 팝업 윈도우 반환 및 접근</v>
      </c>
      <c r="Z59" s="4" t="str">
        <f>HYPERLINK(V59,H59)</f>
        <v>개별 팝업 윈도우 반환 및 접근</v>
      </c>
      <c r="AA59" s="4" t="str">
        <f>HYPERLINK(J59,H59)</f>
        <v>개별 팝업 윈도우 반환 및 접근</v>
      </c>
      <c r="AB59" s="39" t="str">
        <f t="shared" si="4"/>
        <v>https://docs.inswave.com/websquare/websquare.html?w2xPath=/support/api/guide/_p/PopUp/getPopupWindow_p/getPopupWindow_p.xml</v>
      </c>
    </row>
    <row r="60" spans="1:30" s="39" customFormat="1" ht="102" x14ac:dyDescent="0.45">
      <c r="A60" s="37">
        <f>SUBTOTAL(3, $T$2:T60)</f>
        <v>9</v>
      </c>
      <c r="B60" s="38" t="s">
        <v>1</v>
      </c>
      <c r="C60" s="39" t="s">
        <v>1232</v>
      </c>
      <c r="D60" s="39" t="s">
        <v>4402</v>
      </c>
      <c r="E60" s="40" t="s">
        <v>4263</v>
      </c>
      <c r="F60" s="41" t="s">
        <v>4264</v>
      </c>
      <c r="G60" s="39" t="s">
        <v>306</v>
      </c>
      <c r="H60" s="53" t="s">
        <v>4327</v>
      </c>
      <c r="I60" s="44" t="s">
        <v>307</v>
      </c>
      <c r="J60" s="14" t="s">
        <v>347</v>
      </c>
      <c r="K60" s="22" t="s">
        <v>2774</v>
      </c>
      <c r="L60" s="46">
        <v>44501</v>
      </c>
      <c r="M60" s="50" t="s">
        <v>199</v>
      </c>
      <c r="N60" s="45" t="s">
        <v>199</v>
      </c>
      <c r="O60" s="45" t="s">
        <v>199</v>
      </c>
      <c r="P60" s="45" t="s">
        <v>199</v>
      </c>
      <c r="Q60" s="45" t="s">
        <v>199</v>
      </c>
      <c r="R60" s="45" t="s">
        <v>199</v>
      </c>
      <c r="S60" s="45" t="s">
        <v>199</v>
      </c>
      <c r="T60" s="47" t="s">
        <v>4247</v>
      </c>
      <c r="U60" s="39" t="s">
        <v>3764</v>
      </c>
      <c r="V60" s="39" t="str">
        <f>CONCATENATE(U60, D60)</f>
        <v>https://example.websquare.kr/websquare/websquare.html?w2xPath=/guide/_p/PopUp/openPopup_modal_p/openPopup_modal_p.xml</v>
      </c>
      <c r="W60" s="39" t="s">
        <v>4512</v>
      </c>
      <c r="X60" s="39" t="str">
        <f>CONCATENATE(W60, D60)</f>
        <v>https://docs.inswave.com/websquare/websquare.html?w2xPath=/support/api/guide/_p/PopUp/openPopup_modal_p/openPopup_modal_p.xml</v>
      </c>
      <c r="Y60" s="48" t="str">
        <f>HYPERLINK(X60, H60)</f>
        <v>모달 팝업 생성</v>
      </c>
      <c r="Z60" s="4" t="str">
        <f>HYPERLINK(V60,H60)</f>
        <v>모달 팝업 생성</v>
      </c>
      <c r="AA60" s="4" t="str">
        <f>HYPERLINK(J60,H60)</f>
        <v>모달 팝업 생성</v>
      </c>
      <c r="AB60" s="39" t="str">
        <f t="shared" si="4"/>
        <v>https://docs.inswave.com/websquare/websquare.html?w2xPath=/support/api/guide/_p/PopUp/openPopup_modal_p/openPopup_modal_p.xml</v>
      </c>
    </row>
    <row r="61" spans="1:30" s="39" customFormat="1" ht="102" x14ac:dyDescent="0.45">
      <c r="A61" s="37">
        <f>SUBTOTAL(3, $T$2:T61)</f>
        <v>10</v>
      </c>
      <c r="B61" s="38" t="s">
        <v>2022</v>
      </c>
      <c r="C61" s="38" t="s">
        <v>2021</v>
      </c>
      <c r="D61" s="41" t="s">
        <v>4416</v>
      </c>
      <c r="E61" s="41" t="s">
        <v>4323</v>
      </c>
      <c r="F61" s="41" t="s">
        <v>4324</v>
      </c>
      <c r="G61" s="39" t="s">
        <v>3453</v>
      </c>
      <c r="H61" s="58" t="s">
        <v>4419</v>
      </c>
      <c r="I61" s="44" t="s">
        <v>3452</v>
      </c>
      <c r="J61" s="45" t="s">
        <v>2304</v>
      </c>
      <c r="K61" s="45" t="s">
        <v>2304</v>
      </c>
      <c r="L61" s="46">
        <v>45689</v>
      </c>
      <c r="M61" s="14"/>
      <c r="N61" s="45"/>
      <c r="O61" s="45"/>
      <c r="P61" s="45"/>
      <c r="Q61" s="45"/>
      <c r="R61" s="45"/>
      <c r="S61" s="45"/>
      <c r="T61" s="47" t="s">
        <v>4249</v>
      </c>
      <c r="U61" s="39" t="s">
        <v>3764</v>
      </c>
      <c r="V61" s="39" t="str">
        <f>CONCATENATE(U61, D61)</f>
        <v>https://example.websquare.kr/websquare/websquare.html?w2xPath=/guide/_p/PopUp/openPopup_popupAutoCloseSkip_p/openPopup_popupAutoCloseSkip_p.xml</v>
      </c>
      <c r="W61" s="39" t="s">
        <v>4512</v>
      </c>
      <c r="X61" s="39" t="str">
        <f>CONCATENATE(W61, D61)</f>
        <v>https://docs.inswave.com/websquare/websquare.html?w2xPath=/support/api/guide/_p/PopUp/openPopup_popupAutoCloseSkip_p/openPopup_popupAutoCloseSkip_p.xml</v>
      </c>
      <c r="Y61" s="48" t="str">
        <f>HYPERLINK(X61, H61)</f>
        <v>부모 팝업만 닫기</v>
      </c>
      <c r="Z61" s="4" t="str">
        <f>HYPERLINK(V61,H61)</f>
        <v>부모 팝업만 닫기</v>
      </c>
      <c r="AA61" s="45" t="s">
        <v>2304</v>
      </c>
      <c r="AB61" s="39" t="str">
        <f t="shared" si="4"/>
        <v>https://docs.inswave.com/websquare/websquare.html?w2xPath=/support/api/guide/_p/PopUp/openPopup_popupAutoCloseSkip_p/openPopup_popupAutoCloseSkip_p.xml</v>
      </c>
    </row>
    <row r="62" spans="1:30" s="39" customFormat="1" ht="102" x14ac:dyDescent="0.45">
      <c r="A62" s="37">
        <f>SUBTOTAL(3, $T$2:T62)</f>
        <v>11</v>
      </c>
      <c r="B62" s="38" t="s">
        <v>2022</v>
      </c>
      <c r="C62" s="38" t="s">
        <v>2021</v>
      </c>
      <c r="D62" s="41" t="s">
        <v>4483</v>
      </c>
      <c r="E62" s="41" t="s">
        <v>4321</v>
      </c>
      <c r="F62" s="41" t="s">
        <v>4322</v>
      </c>
      <c r="G62" s="39" t="s">
        <v>3430</v>
      </c>
      <c r="H62" s="58" t="s">
        <v>4420</v>
      </c>
      <c r="I62" s="44"/>
      <c r="J62" s="45" t="s">
        <v>2304</v>
      </c>
      <c r="K62" s="45" t="s">
        <v>2304</v>
      </c>
      <c r="L62" s="46">
        <v>45658</v>
      </c>
      <c r="M62" s="14"/>
      <c r="N62" s="45"/>
      <c r="O62" s="45"/>
      <c r="P62" s="45"/>
      <c r="Q62" s="45"/>
      <c r="R62" s="45"/>
      <c r="S62" s="45"/>
      <c r="T62" s="47" t="s">
        <v>4249</v>
      </c>
      <c r="U62" s="39" t="s">
        <v>3764</v>
      </c>
      <c r="V62" s="39" t="str">
        <f>CONCATENATE(U62, D62)</f>
        <v>https://example.websquare.kr/websquare/websquare.html?w2xPath=/guide/_p/PopUp/openPopup_scopeInherit_p/openPopup_scopeInherit_p.xml</v>
      </c>
      <c r="W62" s="39" t="s">
        <v>4512</v>
      </c>
      <c r="X62" s="39" t="str">
        <f>CONCATENATE(W62, D62)</f>
        <v>https://docs.inswave.com/websquare/websquare.html?w2xPath=/support/api/guide/_p/PopUp/openPopup_scopeInherit_p/openPopup_scopeInherit_p.xml</v>
      </c>
      <c r="Y62" s="48" t="str">
        <f>HYPERLINK(X62, H62)</f>
        <v>부모의 Scope 상속</v>
      </c>
      <c r="Z62" s="4" t="str">
        <f>HYPERLINK(V62,H62)</f>
        <v>부모의 Scope 상속</v>
      </c>
      <c r="AA62" s="45" t="s">
        <v>2304</v>
      </c>
      <c r="AB62" s="39" t="str">
        <f t="shared" si="4"/>
        <v>https://docs.inswave.com/websquare/websquare.html?w2xPath=/support/api/guide/_p/PopUp/openPopup_scopeInherit_p/openPopup_scopeInherit_p.xml</v>
      </c>
    </row>
    <row r="63" spans="1:30" s="39" customFormat="1" ht="102" x14ac:dyDescent="0.45">
      <c r="A63" s="37">
        <f>SUBTOTAL(3, $T$2:T63)</f>
        <v>12</v>
      </c>
      <c r="B63" s="38" t="s">
        <v>1</v>
      </c>
      <c r="C63" s="39" t="s">
        <v>1232</v>
      </c>
      <c r="D63" s="39" t="s">
        <v>4407</v>
      </c>
      <c r="E63" s="40" t="s">
        <v>4286</v>
      </c>
      <c r="F63" s="41" t="s">
        <v>4287</v>
      </c>
      <c r="G63" s="44" t="s">
        <v>1895</v>
      </c>
      <c r="H63" s="53" t="s">
        <v>4329</v>
      </c>
      <c r="I63" s="44" t="s">
        <v>1893</v>
      </c>
      <c r="J63" s="14" t="s">
        <v>1897</v>
      </c>
      <c r="K63" s="22" t="s">
        <v>2766</v>
      </c>
      <c r="L63" s="46">
        <v>44927</v>
      </c>
      <c r="M63" s="14"/>
      <c r="N63" s="45" t="s">
        <v>199</v>
      </c>
      <c r="O63" s="45" t="s">
        <v>199</v>
      </c>
      <c r="P63" s="45" t="s">
        <v>199</v>
      </c>
      <c r="Q63" s="45" t="s">
        <v>199</v>
      </c>
      <c r="R63" s="45" t="s">
        <v>199</v>
      </c>
      <c r="S63" s="45" t="s">
        <v>199</v>
      </c>
      <c r="T63" s="47" t="s">
        <v>4247</v>
      </c>
      <c r="U63" s="39" t="s">
        <v>3764</v>
      </c>
      <c r="V63" s="39" t="str">
        <f>CONCATENATE(U63, D63)</f>
        <v>https://example.websquare.kr/websquare/websquare.html?w2xPath=/guide/_p/PopUp/getAllPopupList_p/getAllPopupList_p.xml</v>
      </c>
      <c r="W63" s="39" t="s">
        <v>4512</v>
      </c>
      <c r="X63" s="39" t="str">
        <f>CONCATENATE(W63, D63)</f>
        <v>https://docs.inswave.com/websquare/websquare.html?w2xPath=/support/api/guide/_p/PopUp/getAllPopupList_p/getAllPopupList_p.xml</v>
      </c>
      <c r="Y63" s="48" t="str">
        <f>HYPERLINK(X63, H63)</f>
        <v>전체 팝업 객체 반환</v>
      </c>
      <c r="Z63" s="4" t="str">
        <f>HYPERLINK(V63,H63)</f>
        <v>전체 팝업 객체 반환</v>
      </c>
      <c r="AA63" s="4" t="str">
        <f>HYPERLINK(J63,H63)</f>
        <v>전체 팝업 객체 반환</v>
      </c>
      <c r="AB63" s="39" t="str">
        <f t="shared" si="4"/>
        <v>https://docs.inswave.com/websquare/websquare.html?w2xPath=/support/api/guide/_p/PopUp/getAllPopupList_p/getAllPopupList_p.xml</v>
      </c>
    </row>
    <row r="64" spans="1:30" s="39" customFormat="1" ht="102" x14ac:dyDescent="0.45">
      <c r="A64" s="37">
        <f>SUBTOTAL(3, $T$2:T64)</f>
        <v>13</v>
      </c>
      <c r="B64" s="38" t="s">
        <v>1</v>
      </c>
      <c r="C64" s="39" t="s">
        <v>1232</v>
      </c>
      <c r="D64" s="39" t="s">
        <v>4484</v>
      </c>
      <c r="E64" s="40" t="s">
        <v>4284</v>
      </c>
      <c r="F64" s="41" t="s">
        <v>4285</v>
      </c>
      <c r="G64" s="39" t="s">
        <v>4366</v>
      </c>
      <c r="H64" s="53" t="s">
        <v>4365</v>
      </c>
      <c r="I64" s="39" t="s">
        <v>1502</v>
      </c>
      <c r="J64" s="14" t="s">
        <v>1876</v>
      </c>
      <c r="K64" s="22" t="s">
        <v>2778</v>
      </c>
      <c r="L64" s="46">
        <v>44013</v>
      </c>
      <c r="M64" s="14"/>
      <c r="N64" s="45" t="s">
        <v>199</v>
      </c>
      <c r="O64" s="45" t="s">
        <v>199</v>
      </c>
      <c r="P64" s="45" t="s">
        <v>199</v>
      </c>
      <c r="Q64" s="45" t="s">
        <v>199</v>
      </c>
      <c r="R64" s="45" t="s">
        <v>199</v>
      </c>
      <c r="S64" s="45" t="s">
        <v>199</v>
      </c>
      <c r="T64" s="47" t="s">
        <v>4247</v>
      </c>
      <c r="U64" s="39" t="s">
        <v>3764</v>
      </c>
      <c r="V64" s="39" t="str">
        <f>CONCATENATE(U64, D64)</f>
        <v>https://example.websquare.kr/websquare/websquare.html?w2xPath=/guide/_p/PopUp/getPopupWindowList_p/getPopupWindowList_p.xml</v>
      </c>
      <c r="W64" s="39" t="s">
        <v>4512</v>
      </c>
      <c r="X64" s="39" t="str">
        <f>CONCATENATE(W64, D64)</f>
        <v>https://docs.inswave.com/websquare/websquare.html?w2xPath=/support/api/guide/_p/PopUp/getPopupWindowList_p/getPopupWindowList_p.xml</v>
      </c>
      <c r="Y64" s="48" t="str">
        <f>HYPERLINK(X64, H64)</f>
        <v>전체 팝업 윈도우 반환 및 접근 (브라우저 팝업 제외)</v>
      </c>
      <c r="Z64" s="4" t="str">
        <f>HYPERLINK(V64,H64)</f>
        <v>전체 팝업 윈도우 반환 및 접근 (브라우저 팝업 제외)</v>
      </c>
      <c r="AA64" s="4" t="str">
        <f>HYPERLINK(J64,H64)</f>
        <v>전체 팝업 윈도우 반환 및 접근 (브라우저 팝업 제외)</v>
      </c>
      <c r="AB64" s="39" t="str">
        <f t="shared" si="4"/>
        <v>https://docs.inswave.com/websquare/websquare.html?w2xPath=/support/api/guide/_p/PopUp/getPopupWindowList_p/getPopupWindowList_p.xml</v>
      </c>
    </row>
    <row r="65" spans="1:30" s="39" customFormat="1" ht="102" hidden="1" x14ac:dyDescent="0.45">
      <c r="A65" s="37">
        <f>SUBTOTAL(3, $T$2:T65)</f>
        <v>13</v>
      </c>
      <c r="B65" s="38" t="s">
        <v>1948</v>
      </c>
      <c r="C65" s="39" t="s">
        <v>1948</v>
      </c>
      <c r="D65" s="39" t="s">
        <v>4342</v>
      </c>
      <c r="E65" s="57" t="s">
        <v>3238</v>
      </c>
      <c r="F65" s="41" t="s">
        <v>177</v>
      </c>
      <c r="G65" s="39" t="s">
        <v>82</v>
      </c>
      <c r="H65" s="52" t="s">
        <v>3597</v>
      </c>
      <c r="I65" s="44" t="s">
        <v>238</v>
      </c>
      <c r="J65" s="14" t="s">
        <v>341</v>
      </c>
      <c r="K65" s="23" t="s">
        <v>3644</v>
      </c>
      <c r="L65" s="46">
        <v>44378</v>
      </c>
      <c r="M65" s="14"/>
      <c r="N65" s="45" t="s">
        <v>199</v>
      </c>
      <c r="O65" s="45" t="s">
        <v>199</v>
      </c>
      <c r="P65" s="45" t="s">
        <v>199</v>
      </c>
      <c r="Q65" s="45" t="s">
        <v>199</v>
      </c>
      <c r="R65" s="45" t="s">
        <v>199</v>
      </c>
      <c r="S65" s="45" t="s">
        <v>199</v>
      </c>
      <c r="T65" s="47" t="s">
        <v>4515</v>
      </c>
      <c r="U65" s="39" t="s">
        <v>3764</v>
      </c>
      <c r="V65" s="39" t="str">
        <f>CONCATENATE(U65, D65)</f>
        <v>https://example.websquare.kr/websquare/websquare.html?w2xPath=/guide/_config_xml/exceptEmptyValue_config_xml/exceptEmptyValue_config_xml.xml</v>
      </c>
      <c r="W65" s="39" t="s">
        <v>4220</v>
      </c>
      <c r="X65" s="39" t="str">
        <f>CONCATENATE(W65, D65)</f>
        <v>https://docs.inswave.com/websquare/websquare.html?w2xPath=/support/api/samples/_config_xml/exceptEmptyValue_config_xml/exceptEmptyValue_config_xml.xml</v>
      </c>
      <c r="Y65" s="48"/>
      <c r="Z65" s="4"/>
      <c r="AA65" s="4" t="str">
        <f>HYPERLINK(J65,H65)</f>
        <v>빈값 제외</v>
      </c>
      <c r="AB65" s="39" t="str">
        <f t="shared" si="4"/>
        <v>https://docs.inswave.com/websquare/websquare.html?w2xPath=/support/api/samples/_config_xml/exceptEmptyValue_config_xml/exceptEmptyValue_config_xml.xml</v>
      </c>
    </row>
    <row r="66" spans="1:30" s="39" customFormat="1" ht="102" x14ac:dyDescent="0.45">
      <c r="A66" s="37">
        <f>SUBTOTAL(3, $T$2:T66)</f>
        <v>14</v>
      </c>
      <c r="B66" s="38" t="s">
        <v>1</v>
      </c>
      <c r="C66" s="39" t="s">
        <v>1232</v>
      </c>
      <c r="D66" s="39" t="s">
        <v>4485</v>
      </c>
      <c r="E66" s="40" t="s">
        <v>4288</v>
      </c>
      <c r="F66" s="41" t="s">
        <v>4289</v>
      </c>
      <c r="G66" s="39" t="s">
        <v>1896</v>
      </c>
      <c r="H66" s="53" t="s">
        <v>4341</v>
      </c>
      <c r="I66" s="44" t="s">
        <v>1894</v>
      </c>
      <c r="J66" s="14" t="s">
        <v>1898</v>
      </c>
      <c r="K66" s="22" t="s">
        <v>2767</v>
      </c>
      <c r="L66" s="46">
        <v>44927</v>
      </c>
      <c r="M66" s="14"/>
      <c r="N66" s="45" t="s">
        <v>199</v>
      </c>
      <c r="O66" s="45" t="s">
        <v>199</v>
      </c>
      <c r="P66" s="45" t="s">
        <v>199</v>
      </c>
      <c r="Q66" s="45" t="s">
        <v>199</v>
      </c>
      <c r="R66" s="45" t="s">
        <v>199</v>
      </c>
      <c r="S66" s="45" t="s">
        <v>199</v>
      </c>
      <c r="T66" s="47" t="s">
        <v>4247</v>
      </c>
      <c r="U66" s="39" t="s">
        <v>3764</v>
      </c>
      <c r="V66" s="39" t="str">
        <f>CONCATENATE(U66, D66)</f>
        <v>https://example.websquare.kr/websquare/websquare.html?w2xPath=/guide/_p/PopUp/getAllPopupWindowList_p/getAllPopupWindowList_p.xml</v>
      </c>
      <c r="W66" s="39" t="s">
        <v>4512</v>
      </c>
      <c r="X66" s="39" t="str">
        <f>CONCATENATE(W66, D66)</f>
        <v>https://docs.inswave.com/websquare/websquare.html?w2xPath=/support/api/guide/_p/PopUp/getAllPopupWindowList_p/getAllPopupWindowList_p.xml</v>
      </c>
      <c r="Y66" s="48" t="str">
        <f>HYPERLINK(X66, H66)</f>
        <v>전체 팝업 윈도우 반환 및 접근 (브라우저 팝업 포함)</v>
      </c>
      <c r="Z66" s="4" t="str">
        <f>HYPERLINK(V66,H66)</f>
        <v>전체 팝업 윈도우 반환 및 접근 (브라우저 팝업 포함)</v>
      </c>
      <c r="AA66" s="4" t="str">
        <f>HYPERLINK(J66,H66)</f>
        <v>전체 팝업 윈도우 반환 및 접근 (브라우저 팝업 포함)</v>
      </c>
      <c r="AB66" s="39" t="str">
        <f t="shared" si="4"/>
        <v>https://docs.inswave.com/websquare/websquare.html?w2xPath=/support/api/guide/_p/PopUp/getAllPopupWindowList_p/getAllPopupWindowList_p.xml</v>
      </c>
      <c r="AC66" s="45"/>
      <c r="AD66" s="45"/>
    </row>
    <row r="67" spans="1:30" s="39" customFormat="1" ht="102" x14ac:dyDescent="0.45">
      <c r="A67" s="37">
        <f>SUBTOTAL(3, $T$2:T67)</f>
        <v>15</v>
      </c>
      <c r="B67" s="38" t="s">
        <v>1</v>
      </c>
      <c r="C67" s="39" t="s">
        <v>1232</v>
      </c>
      <c r="D67" s="39" t="s">
        <v>4486</v>
      </c>
      <c r="E67" s="40" t="s">
        <v>4272</v>
      </c>
      <c r="F67" s="41" t="s">
        <v>4273</v>
      </c>
      <c r="G67" s="39" t="s">
        <v>969</v>
      </c>
      <c r="H67" s="53" t="s">
        <v>4339</v>
      </c>
      <c r="I67" s="44" t="s">
        <v>968</v>
      </c>
      <c r="J67" s="14" t="s">
        <v>967</v>
      </c>
      <c r="K67" s="22" t="s">
        <v>2775</v>
      </c>
      <c r="L67" s="46">
        <v>44621</v>
      </c>
      <c r="M67" s="50" t="s">
        <v>199</v>
      </c>
      <c r="N67" s="45" t="s">
        <v>199</v>
      </c>
      <c r="O67" s="45" t="s">
        <v>199</v>
      </c>
      <c r="P67" s="47" t="s">
        <v>199</v>
      </c>
      <c r="Q67" s="45" t="s">
        <v>199</v>
      </c>
      <c r="R67" s="45" t="s">
        <v>199</v>
      </c>
      <c r="S67" s="45" t="s">
        <v>199</v>
      </c>
      <c r="T67" s="47" t="s">
        <v>4247</v>
      </c>
      <c r="U67" s="39" t="s">
        <v>3764</v>
      </c>
      <c r="V67" s="39" t="str">
        <f>CONCATENATE(U67, D67)</f>
        <v>https://example.websquare.kr/websquare/websquare.html?w2xPath=/guide/_p/PopUp/openPopup_closeAction_p.xml</v>
      </c>
      <c r="W67" s="39" t="s">
        <v>4512</v>
      </c>
      <c r="X67" s="39" t="str">
        <f>CONCATENATE(W67, D67)</f>
        <v>https://docs.inswave.com/websquare/websquare.html?w2xPath=/support/api/guide/_p/PopUp/openPopup_closeAction_p.xml</v>
      </c>
      <c r="Y67" s="48" t="str">
        <f>HYPERLINK(X67, H67)</f>
        <v>팝업 닫기 함수 지정</v>
      </c>
      <c r="Z67" s="4" t="str">
        <f>HYPERLINK(V67,H67)</f>
        <v>팝업 닫기 함수 지정</v>
      </c>
      <c r="AA67" s="4" t="str">
        <f>HYPERLINK(J67,H67)</f>
        <v>팝업 닫기 함수 지정</v>
      </c>
      <c r="AB67" s="39" t="str">
        <f t="shared" si="4"/>
        <v>https://docs.inswave.com/websquare/websquare.html?w2xPath=/support/api/guide/_p/PopUp/openPopup_closeAction_p.xml</v>
      </c>
    </row>
    <row r="68" spans="1:30" s="39" customFormat="1" ht="102" x14ac:dyDescent="0.45">
      <c r="A68" s="37">
        <f>SUBTOTAL(3, $T$2:T68)</f>
        <v>16</v>
      </c>
      <c r="B68" s="38" t="s">
        <v>1</v>
      </c>
      <c r="C68" s="39" t="s">
        <v>1232</v>
      </c>
      <c r="D68" s="39" t="s">
        <v>4409</v>
      </c>
      <c r="E68" s="39" t="s">
        <v>4294</v>
      </c>
      <c r="F68" s="61" t="s">
        <v>4295</v>
      </c>
      <c r="G68" s="44" t="s">
        <v>1418</v>
      </c>
      <c r="H68" s="53" t="s">
        <v>4480</v>
      </c>
      <c r="I68" s="44" t="s">
        <v>2135</v>
      </c>
      <c r="J68" s="14" t="s">
        <v>2136</v>
      </c>
      <c r="K68" s="22" t="s">
        <v>2772</v>
      </c>
      <c r="L68" s="46">
        <v>43922</v>
      </c>
      <c r="M68" s="50" t="s">
        <v>199</v>
      </c>
      <c r="N68" s="45" t="s">
        <v>199</v>
      </c>
      <c r="O68" s="45" t="s">
        <v>199</v>
      </c>
      <c r="P68" s="45" t="s">
        <v>199</v>
      </c>
      <c r="Q68" s="45" t="s">
        <v>199</v>
      </c>
      <c r="R68" s="45" t="s">
        <v>199</v>
      </c>
      <c r="S68" s="45" t="s">
        <v>199</v>
      </c>
      <c r="T68" s="47" t="s">
        <v>4247</v>
      </c>
      <c r="U68" s="39" t="s">
        <v>3764</v>
      </c>
      <c r="V68" s="39" t="str">
        <f>CONCATENATE(U68, D68)</f>
        <v>https://example.websquare.kr/websquare/websquare.html?w2xPath=/guide/_p/PopUp/openPopup_p/openPopup_p.xml</v>
      </c>
      <c r="W68" s="39" t="s">
        <v>4512</v>
      </c>
      <c r="X68" s="39" t="str">
        <f>CONCATENATE(W68, D68)</f>
        <v>https://docs.inswave.com/websquare/websquare.html?w2xPath=/support/api/guide/_p/PopUp/openPopup_p/openPopup_p.xml</v>
      </c>
      <c r="Y68" s="48" t="str">
        <f>HYPERLINK(X68, H68)</f>
        <v>팝업 생성 (PageFrame, WFrame, IFrame, 브라우저 팝업)</v>
      </c>
      <c r="Z68" s="4" t="str">
        <f>HYPERLINK(V68,H68)</f>
        <v>팝업 생성 (PageFrame, WFrame, IFrame, 브라우저 팝업)</v>
      </c>
      <c r="AA68" s="4" t="str">
        <f>HYPERLINK(J68,H68)</f>
        <v>팝업 생성 (PageFrame, WFrame, IFrame, 브라우저 팝업)</v>
      </c>
      <c r="AB68" s="39" t="str">
        <f t="shared" si="4"/>
        <v>https://docs.inswave.com/websquare/websquare.html?w2xPath=/support/api/guide/_p/PopUp/openPopup_p/openPopup_p.xml</v>
      </c>
    </row>
    <row r="69" spans="1:30" s="39" customFormat="1" ht="102" x14ac:dyDescent="0.45">
      <c r="A69" s="37">
        <f>SUBTOTAL(3, $T$2:T69)</f>
        <v>17</v>
      </c>
      <c r="B69" s="38" t="s">
        <v>1</v>
      </c>
      <c r="C69" s="39" t="s">
        <v>1232</v>
      </c>
      <c r="D69" s="39" t="s">
        <v>4412</v>
      </c>
      <c r="E69" s="40" t="s">
        <v>4308</v>
      </c>
      <c r="F69" s="41" t="s">
        <v>4309</v>
      </c>
      <c r="G69" s="39" t="s">
        <v>1009</v>
      </c>
      <c r="H69" s="53" t="s">
        <v>4370</v>
      </c>
      <c r="I69" s="44" t="s">
        <v>1007</v>
      </c>
      <c r="J69" s="14" t="s">
        <v>2535</v>
      </c>
      <c r="K69" s="22" t="s">
        <v>2768</v>
      </c>
      <c r="L69" s="46">
        <v>43617</v>
      </c>
      <c r="M69" s="14"/>
      <c r="N69" s="45" t="s">
        <v>199</v>
      </c>
      <c r="O69" s="45" t="s">
        <v>199</v>
      </c>
      <c r="P69" s="45" t="s">
        <v>199</v>
      </c>
      <c r="Q69" s="45" t="s">
        <v>199</v>
      </c>
      <c r="R69" s="45" t="s">
        <v>199</v>
      </c>
      <c r="S69" s="45" t="s">
        <v>199</v>
      </c>
      <c r="T69" s="47" t="s">
        <v>4247</v>
      </c>
      <c r="U69" s="39" t="s">
        <v>3764</v>
      </c>
      <c r="V69" s="39" t="str">
        <f>CONCATENATE(U69, D69)</f>
        <v>https://example.websquare.kr/websquare/websquare.html?w2xPath=/guide/_p/PopUp/getParameter_p_openPopup_p/getParameter_p_openPopup_p.xml</v>
      </c>
      <c r="W69" s="39" t="s">
        <v>4512</v>
      </c>
      <c r="X69" s="39" t="str">
        <f>CONCATENATE(W69, D69)</f>
        <v>https://docs.inswave.com/websquare/websquare.html?w2xPath=/support/api/guide/_p/PopUp/getParameter_p_openPopup_p/getParameter_p_openPopup_p.xml</v>
      </c>
      <c r="Y69" s="48" t="str">
        <f>HYPERLINK(X69, H69)</f>
        <v>팝업 생성 시 파라미터 전달</v>
      </c>
      <c r="Z69" s="4" t="str">
        <f>HYPERLINK(V69,H69)</f>
        <v>팝업 생성 시 파라미터 전달</v>
      </c>
      <c r="AA69" s="4" t="str">
        <f>HYPERLINK(J69,H69)</f>
        <v>팝업 생성 시 파라미터 전달</v>
      </c>
      <c r="AB69" s="39" t="str">
        <f t="shared" ref="AB69:AB132" si="5">CONCATENATE(W69, D69)</f>
        <v>https://docs.inswave.com/websquare/websquare.html?w2xPath=/support/api/guide/_p/PopUp/getParameter_p_openPopup_p/getParameter_p_openPopup_p.xml</v>
      </c>
      <c r="AC69" s="45"/>
      <c r="AD69" s="45"/>
    </row>
    <row r="70" spans="1:30" s="39" customFormat="1" ht="102" x14ac:dyDescent="0.45">
      <c r="A70" s="37">
        <f>SUBTOTAL(3, $T$2:T70)</f>
        <v>18</v>
      </c>
      <c r="B70" s="38" t="s">
        <v>1</v>
      </c>
      <c r="C70" s="39" t="s">
        <v>1232</v>
      </c>
      <c r="D70" s="39" t="s">
        <v>4482</v>
      </c>
      <c r="E70" s="40" t="s">
        <v>4259</v>
      </c>
      <c r="F70" s="41" t="s">
        <v>4260</v>
      </c>
      <c r="G70" s="39" t="s">
        <v>92</v>
      </c>
      <c r="H70" s="53" t="s">
        <v>4340</v>
      </c>
      <c r="I70" s="44" t="s">
        <v>241</v>
      </c>
      <c r="J70" s="14" t="s">
        <v>345</v>
      </c>
      <c r="K70" s="22" t="s">
        <v>2770</v>
      </c>
      <c r="L70" s="46">
        <v>44378</v>
      </c>
      <c r="M70" s="50" t="s">
        <v>199</v>
      </c>
      <c r="N70" s="45" t="s">
        <v>199</v>
      </c>
      <c r="O70" s="45" t="s">
        <v>199</v>
      </c>
      <c r="P70" s="45" t="s">
        <v>199</v>
      </c>
      <c r="Q70" s="45" t="s">
        <v>199</v>
      </c>
      <c r="R70" s="45" t="s">
        <v>199</v>
      </c>
      <c r="S70" s="45" t="s">
        <v>199</v>
      </c>
      <c r="T70" s="47" t="s">
        <v>4247</v>
      </c>
      <c r="U70" s="39" t="s">
        <v>3764</v>
      </c>
      <c r="V70" s="39" t="str">
        <f>CONCATENATE(U70, D70)</f>
        <v>https://example.websquare.kr/websquare/websquare.html?w2xPath=/guide/_p/PopUp/isPopUp_p/isPopUp_p.xml</v>
      </c>
      <c r="W70" s="39" t="s">
        <v>4512</v>
      </c>
      <c r="X70" s="39" t="str">
        <f>CONCATENATE(W70, D70)</f>
        <v>https://docs.inswave.com/websquare/websquare.html?w2xPath=/support/api/guide/_p/PopUp/isPopUp_p/isPopUp_p.xml</v>
      </c>
      <c r="Y70" s="48" t="str">
        <f>HYPERLINK(X70, H70)</f>
        <v>팝업 여부 확인</v>
      </c>
      <c r="Z70" s="4" t="str">
        <f>HYPERLINK(V70,H70)</f>
        <v>팝업 여부 확인</v>
      </c>
      <c r="AA70" s="4" t="str">
        <f>HYPERLINK(J70,H70)</f>
        <v>팝업 여부 확인</v>
      </c>
      <c r="AB70" s="39" t="str">
        <f t="shared" si="5"/>
        <v>https://docs.inswave.com/websquare/websquare.html?w2xPath=/support/api/guide/_p/PopUp/isPopUp_p/isPopUp_p.xml</v>
      </c>
    </row>
    <row r="71" spans="1:30" s="45" customFormat="1" ht="102" x14ac:dyDescent="0.45">
      <c r="A71" s="37">
        <f>SUBTOTAL(3, $T$2:T71)</f>
        <v>19</v>
      </c>
      <c r="B71" s="38" t="s">
        <v>1</v>
      </c>
      <c r="C71" s="39" t="s">
        <v>2021</v>
      </c>
      <c r="D71" s="39" t="s">
        <v>4408</v>
      </c>
      <c r="E71" s="40" t="s">
        <v>4290</v>
      </c>
      <c r="F71" s="41" t="s">
        <v>4291</v>
      </c>
      <c r="G71" s="39" t="s">
        <v>2023</v>
      </c>
      <c r="H71" s="53" t="s">
        <v>4337</v>
      </c>
      <c r="I71" s="44" t="s">
        <v>2024</v>
      </c>
      <c r="J71" s="14" t="s">
        <v>2034</v>
      </c>
      <c r="K71" s="22" t="s">
        <v>2776</v>
      </c>
      <c r="L71" s="46">
        <v>44986</v>
      </c>
      <c r="M71" s="50" t="s">
        <v>199</v>
      </c>
      <c r="N71" s="45" t="s">
        <v>199</v>
      </c>
      <c r="O71" s="45" t="s">
        <v>199</v>
      </c>
      <c r="P71" s="45" t="s">
        <v>199</v>
      </c>
      <c r="Q71" s="45" t="s">
        <v>199</v>
      </c>
      <c r="R71" s="45" t="s">
        <v>199</v>
      </c>
      <c r="S71" s="45" t="s">
        <v>199</v>
      </c>
      <c r="T71" s="47" t="s">
        <v>4247</v>
      </c>
      <c r="U71" s="39" t="s">
        <v>3764</v>
      </c>
      <c r="V71" s="39" t="str">
        <f>CONCATENATE(U71, D71)</f>
        <v>https://example.websquare.kr/websquare/websquare.html?w2xPath=/guide/_p/PopUp/openPopup_fixPosition_p.xml</v>
      </c>
      <c r="W71" s="39" t="s">
        <v>4512</v>
      </c>
      <c r="X71" s="39" t="str">
        <f>CONCATENATE(W71, D71)</f>
        <v>https://docs.inswave.com/websquare/websquare.html?w2xPath=/support/api/guide/_p/PopUp/openPopup_fixPosition_p.xml</v>
      </c>
      <c r="Y71" s="48" t="str">
        <f>HYPERLINK(X71, H71)</f>
        <v>팝업 위치 고정</v>
      </c>
      <c r="Z71" s="4" t="str">
        <f>HYPERLINK(V71,H71)</f>
        <v>팝업 위치 고정</v>
      </c>
      <c r="AA71" s="4" t="str">
        <f>HYPERLINK(J71,H71)</f>
        <v>팝업 위치 고정</v>
      </c>
      <c r="AB71" s="39" t="str">
        <f t="shared" si="5"/>
        <v>https://docs.inswave.com/websquare/websquare.html?w2xPath=/support/api/guide/_p/PopUp/openPopup_fixPosition_p.xml</v>
      </c>
      <c r="AC71" s="39"/>
      <c r="AD71" s="39"/>
    </row>
    <row r="72" spans="1:30" s="45" customFormat="1" ht="102" x14ac:dyDescent="0.45">
      <c r="A72" s="37">
        <f>SUBTOTAL(3, $T$2:T72)</f>
        <v>20</v>
      </c>
      <c r="B72" s="38" t="s">
        <v>2022</v>
      </c>
      <c r="C72" s="39" t="s">
        <v>2021</v>
      </c>
      <c r="D72" s="39" t="s">
        <v>4415</v>
      </c>
      <c r="E72" s="41" t="s">
        <v>4319</v>
      </c>
      <c r="F72" s="41" t="s">
        <v>4320</v>
      </c>
      <c r="G72" s="39" t="s">
        <v>3411</v>
      </c>
      <c r="H72" s="58" t="s">
        <v>4421</v>
      </c>
      <c r="I72" s="44" t="s">
        <v>3396</v>
      </c>
      <c r="J72" s="18" t="s">
        <v>3412</v>
      </c>
      <c r="K72" s="23" t="s">
        <v>3407</v>
      </c>
      <c r="L72" s="46">
        <v>45627</v>
      </c>
      <c r="M72" s="14"/>
      <c r="T72" s="47" t="s">
        <v>4247</v>
      </c>
      <c r="U72" s="39" t="s">
        <v>3764</v>
      </c>
      <c r="V72" s="39" t="str">
        <f>CONCATENATE(U72, D72)</f>
        <v>https://example.websquare.kr/websquare/websquare.html?w2xPath=/guide/_p/PopUp/openPopup_adaptiveFrame_p/openPopup_adaptiveFrame_p.xml</v>
      </c>
      <c r="W72" s="39" t="s">
        <v>4512</v>
      </c>
      <c r="X72" s="39" t="str">
        <f>CONCATENATE(W72, D72)</f>
        <v>https://docs.inswave.com/websquare/websquare.html?w2xPath=/support/api/guide/_p/PopUp/openPopup_adaptiveFrame_p/openPopup_adaptiveFrame_p.xml</v>
      </c>
      <c r="Y72" s="48" t="str">
        <f>HYPERLINK(X72, H72)</f>
        <v>팝업 크기 기반 적응형 디자인 적용</v>
      </c>
      <c r="Z72" s="4" t="str">
        <f>HYPERLINK(V72,H72)</f>
        <v>팝업 크기 기반 적응형 디자인 적용</v>
      </c>
      <c r="AA72" s="4" t="str">
        <f>HYPERLINK(J72,H72)</f>
        <v>팝업 크기 기반 적응형 디자인 적용</v>
      </c>
      <c r="AB72" s="39" t="str">
        <f t="shared" si="5"/>
        <v>https://docs.inswave.com/websquare/websquare.html?w2xPath=/support/api/guide/_p/PopUp/openPopup_adaptiveFrame_p/openPopup_adaptiveFrame_p.xml</v>
      </c>
      <c r="AC72" s="39"/>
      <c r="AD72" s="39"/>
    </row>
    <row r="73" spans="1:30" s="45" customFormat="1" ht="102" x14ac:dyDescent="0.45">
      <c r="A73" s="37">
        <f>SUBTOTAL(3, $T$2:T73)</f>
        <v>21</v>
      </c>
      <c r="B73" s="38" t="s">
        <v>1</v>
      </c>
      <c r="C73" s="39" t="s">
        <v>1232</v>
      </c>
      <c r="D73" s="39" t="s">
        <v>4403</v>
      </c>
      <c r="E73" s="40" t="s">
        <v>4265</v>
      </c>
      <c r="F73" s="41" t="s">
        <v>4266</v>
      </c>
      <c r="G73" s="39" t="s">
        <v>323</v>
      </c>
      <c r="H73" s="53" t="s">
        <v>3949</v>
      </c>
      <c r="I73" s="44" t="s">
        <v>308</v>
      </c>
      <c r="J73" s="14" t="s">
        <v>348</v>
      </c>
      <c r="K73" s="22" t="s">
        <v>2773</v>
      </c>
      <c r="L73" s="46">
        <v>44501</v>
      </c>
      <c r="M73" s="14"/>
      <c r="N73" s="45" t="s">
        <v>199</v>
      </c>
      <c r="O73" s="45" t="s">
        <v>199</v>
      </c>
      <c r="P73" s="45" t="s">
        <v>199</v>
      </c>
      <c r="Q73" s="45" t="s">
        <v>199</v>
      </c>
      <c r="R73" s="45" t="s">
        <v>199</v>
      </c>
      <c r="S73" s="45" t="s">
        <v>199</v>
      </c>
      <c r="T73" s="47" t="s">
        <v>4247</v>
      </c>
      <c r="U73" s="39" t="s">
        <v>3764</v>
      </c>
      <c r="V73" s="39" t="str">
        <f>CONCATENATE(U73, D73)</f>
        <v>https://example.websquare.kr/websquare/websquare.html?w2xPath=/guide/_p/PopUp/openPopup_frameModal_p/openPopup_frameModal_p.xml</v>
      </c>
      <c r="W73" s="39" t="s">
        <v>4512</v>
      </c>
      <c r="X73" s="39" t="str">
        <f>CONCATENATE(W73, D73)</f>
        <v>https://docs.inswave.com/websquare/websquare.html?w2xPath=/support/api/guide/_p/PopUp/openPopup_frameModal_p/openPopup_frameModal_p.xml</v>
      </c>
      <c r="Y73" s="48" t="str">
        <f>HYPERLINK(X73, H73)</f>
        <v>프레임 기반 모달 팝업 생성</v>
      </c>
      <c r="Z73" s="4" t="str">
        <f>HYPERLINK(V73,H73)</f>
        <v>프레임 기반 모달 팝업 생성</v>
      </c>
      <c r="AA73" s="4" t="str">
        <f>HYPERLINK(J73,H73)</f>
        <v>프레임 기반 모달 팝업 생성</v>
      </c>
      <c r="AB73" s="39" t="str">
        <f t="shared" si="5"/>
        <v>https://docs.inswave.com/websquare/websquare.html?w2xPath=/support/api/guide/_p/PopUp/openPopup_frameModal_p/openPopup_frameModal_p.xml</v>
      </c>
      <c r="AC73" s="39"/>
      <c r="AD73" s="39"/>
    </row>
    <row r="74" spans="1:30" s="45" customFormat="1" ht="102" hidden="1" x14ac:dyDescent="0.45">
      <c r="A74" s="37">
        <f>SUBTOTAL(3, $T$2:T74)</f>
        <v>21</v>
      </c>
      <c r="B74" s="38" t="s">
        <v>201</v>
      </c>
      <c r="C74" s="39" t="s">
        <v>201</v>
      </c>
      <c r="D74" s="39" t="s">
        <v>4352</v>
      </c>
      <c r="E74" s="57" t="s">
        <v>216</v>
      </c>
      <c r="F74" s="41" t="s">
        <v>181</v>
      </c>
      <c r="G74" s="39" t="s">
        <v>98</v>
      </c>
      <c r="H74" s="52" t="s">
        <v>3598</v>
      </c>
      <c r="I74" s="44" t="s">
        <v>243</v>
      </c>
      <c r="J74" s="14" t="s">
        <v>96</v>
      </c>
      <c r="K74" s="22" t="s">
        <v>3112</v>
      </c>
      <c r="L74" s="46">
        <v>44409</v>
      </c>
      <c r="M74" s="14"/>
      <c r="N74" s="45" t="s">
        <v>199</v>
      </c>
      <c r="O74" s="45" t="s">
        <v>199</v>
      </c>
      <c r="P74" s="45" t="s">
        <v>199</v>
      </c>
      <c r="Q74" s="45" t="s">
        <v>199</v>
      </c>
      <c r="R74" s="45" t="s">
        <v>199</v>
      </c>
      <c r="S74" s="45" t="s">
        <v>199</v>
      </c>
      <c r="T74" s="47" t="s">
        <v>4515</v>
      </c>
      <c r="U74" s="39" t="s">
        <v>3764</v>
      </c>
      <c r="V74" s="39" t="str">
        <f>CONCATENATE(U74, D74)</f>
        <v>https://example.websquare.kr/websquare/websquare.html?w2xPath=/guide/_Multi-Language/useLocale_localeRef_Multi_language/useLocale_localeRef_Multi_language.xml</v>
      </c>
      <c r="W74" s="39" t="s">
        <v>4220</v>
      </c>
      <c r="X74" s="39" t="str">
        <f>CONCATENATE(W74, D74)</f>
        <v>https://docs.inswave.com/websquare/websquare.html?w2xPath=/support/api/samples/_Multi-Language/useLocale_localeRef_Multi_language/useLocale_localeRef_Multi_language.xml</v>
      </c>
      <c r="Y74" s="48"/>
      <c r="Z74" s="4"/>
      <c r="AA74" s="4" t="str">
        <f>HYPERLINK(J74,H74)</f>
        <v>텍스트 다국어</v>
      </c>
      <c r="AB74" s="39" t="str">
        <f t="shared" si="5"/>
        <v>https://docs.inswave.com/websquare/websquare.html?w2xPath=/support/api/samples/_Multi-Language/useLocale_localeRef_Multi_language/useLocale_localeRef_Multi_language.xml</v>
      </c>
    </row>
    <row r="75" spans="1:30" s="45" customFormat="1" ht="119" hidden="1" x14ac:dyDescent="0.45">
      <c r="A75" s="37">
        <f>SUBTOTAL(3, $T$2:T75)</f>
        <v>21</v>
      </c>
      <c r="B75" s="38" t="s">
        <v>201</v>
      </c>
      <c r="C75" s="39" t="s">
        <v>201</v>
      </c>
      <c r="D75" s="39" t="s">
        <v>4353</v>
      </c>
      <c r="E75" s="57" t="s">
        <v>215</v>
      </c>
      <c r="F75" s="41" t="s">
        <v>182</v>
      </c>
      <c r="G75" s="39" t="s">
        <v>99</v>
      </c>
      <c r="H75" s="52" t="s">
        <v>3599</v>
      </c>
      <c r="I75" s="44" t="s">
        <v>244</v>
      </c>
      <c r="J75" s="14" t="s">
        <v>389</v>
      </c>
      <c r="K75" s="22" t="s">
        <v>3116</v>
      </c>
      <c r="L75" s="46">
        <v>44409</v>
      </c>
      <c r="M75" s="14"/>
      <c r="N75" s="45" t="s">
        <v>199</v>
      </c>
      <c r="O75" s="45" t="s">
        <v>199</v>
      </c>
      <c r="P75" s="45" t="s">
        <v>199</v>
      </c>
      <c r="Q75" s="45" t="s">
        <v>199</v>
      </c>
      <c r="R75" s="45" t="s">
        <v>199</v>
      </c>
      <c r="S75" s="45" t="s">
        <v>199</v>
      </c>
      <c r="T75" s="47" t="s">
        <v>4515</v>
      </c>
      <c r="U75" s="39" t="s">
        <v>3764</v>
      </c>
      <c r="V75" s="39" t="str">
        <f>CONCATENATE(U75, D75)</f>
        <v>https://example.websquare.kr/websquare/websquare.html?w2xPath=/guide/_Multi-Language/useLocale_useItemLocale_Multi_language/useLocale_useItemLocale_Multi_language.xml</v>
      </c>
      <c r="W75" s="39" t="s">
        <v>4220</v>
      </c>
      <c r="X75" s="39" t="str">
        <f>CONCATENATE(W75, D75)</f>
        <v>https://docs.inswave.com/websquare/websquare.html?w2xPath=/support/api/samples/_Multi-Language/useLocale_useItemLocale_Multi_language/useLocale_useItemLocale_Multi_language.xml</v>
      </c>
      <c r="Y75" s="48"/>
      <c r="Z75" s="4"/>
      <c r="AA75" s="4" t="str">
        <f>HYPERLINK(J75,H75)</f>
        <v>항목 다국어</v>
      </c>
      <c r="AB75" s="39" t="str">
        <f t="shared" si="5"/>
        <v>https://docs.inswave.com/websquare/websquare.html?w2xPath=/support/api/samples/_Multi-Language/useLocale_useItemLocale_Multi_language/useLocale_useItemLocale_Multi_language.xml</v>
      </c>
    </row>
    <row r="76" spans="1:30" s="45" customFormat="1" ht="153" hidden="1" x14ac:dyDescent="0.45">
      <c r="A76" s="37">
        <f>SUBTOTAL(3, $T$2:T76)</f>
        <v>21</v>
      </c>
      <c r="B76" s="38" t="s">
        <v>201</v>
      </c>
      <c r="C76" s="39" t="s">
        <v>201</v>
      </c>
      <c r="D76" s="39" t="s">
        <v>4354</v>
      </c>
      <c r="E76" s="57" t="s">
        <v>218</v>
      </c>
      <c r="F76" s="41" t="s">
        <v>183</v>
      </c>
      <c r="G76" s="39" t="s">
        <v>97</v>
      </c>
      <c r="H76" s="52" t="s">
        <v>3600</v>
      </c>
      <c r="I76" s="44" t="s">
        <v>245</v>
      </c>
      <c r="J76" s="14" t="s">
        <v>390</v>
      </c>
      <c r="K76" s="22" t="s">
        <v>3115</v>
      </c>
      <c r="L76" s="46">
        <v>44409</v>
      </c>
      <c r="M76" s="14"/>
      <c r="N76" s="45" t="s">
        <v>199</v>
      </c>
      <c r="O76" s="45" t="s">
        <v>199</v>
      </c>
      <c r="P76" s="45" t="s">
        <v>199</v>
      </c>
      <c r="Q76" s="45" t="s">
        <v>199</v>
      </c>
      <c r="R76" s="45" t="s">
        <v>199</v>
      </c>
      <c r="S76" s="45" t="s">
        <v>199</v>
      </c>
      <c r="T76" s="47" t="s">
        <v>4515</v>
      </c>
      <c r="U76" s="39" t="s">
        <v>3764</v>
      </c>
      <c r="V76" s="39" t="str">
        <f>CONCATENATE(U76, D76)</f>
        <v>https://example.websquare.kr/websquare/websquare.html?w2xPath=/guide/_Multi-Language/useLocale_useItemLocale_chooseOption_chooseOptionLabelLocaleRef_Multi_language/useLocale_useItemLocale_chooseOption_chooseOptionLabelLocaleRef_Multi_language.xml</v>
      </c>
      <c r="W76" s="39" t="s">
        <v>4220</v>
      </c>
      <c r="X76" s="39" t="str">
        <f>CONCATENATE(W76, D76)</f>
        <v>https://docs.inswave.com/websquare/websquare.html?w2xPath=/support/api/samples/_Multi-Language/useLocale_useItemLocale_chooseOption_chooseOptionLabelLocaleRef_Multi_language/useLocale_useItemLocale_chooseOption_chooseOptionLabelLocaleRef_Multi_language.xml</v>
      </c>
      <c r="Y76" s="48"/>
      <c r="Z76" s="4"/>
      <c r="AA76" s="4" t="str">
        <f>HYPERLINK(J76,H76)</f>
        <v>옵션 다국어</v>
      </c>
      <c r="AB76" s="39" t="str">
        <f t="shared" si="5"/>
        <v>https://docs.inswave.com/websquare/websquare.html?w2xPath=/support/api/samples/_Multi-Language/useLocale_useItemLocale_chooseOption_chooseOptionLabelLocaleRef_Multi_language/useLocale_useItemLocale_chooseOption_chooseOptionLabelLocaleRef_Multi_language.xml</v>
      </c>
    </row>
    <row r="77" spans="1:30" s="45" customFormat="1" ht="119" hidden="1" x14ac:dyDescent="0.45">
      <c r="A77" s="37">
        <f>SUBTOTAL(3, $T$2:T77)</f>
        <v>21</v>
      </c>
      <c r="B77" s="38" t="s">
        <v>201</v>
      </c>
      <c r="C77" s="39" t="s">
        <v>201</v>
      </c>
      <c r="D77" s="39" t="s">
        <v>4355</v>
      </c>
      <c r="E77" s="57" t="s">
        <v>217</v>
      </c>
      <c r="F77" s="41" t="s">
        <v>186</v>
      </c>
      <c r="G77" s="39" t="s">
        <v>100</v>
      </c>
      <c r="H77" s="52" t="s">
        <v>3601</v>
      </c>
      <c r="I77" s="44" t="s">
        <v>246</v>
      </c>
      <c r="J77" s="14" t="s">
        <v>187</v>
      </c>
      <c r="K77" s="22" t="s">
        <v>3113</v>
      </c>
      <c r="L77" s="46">
        <v>44409</v>
      </c>
      <c r="M77" s="14"/>
      <c r="N77" s="45" t="s">
        <v>199</v>
      </c>
      <c r="O77" s="45" t="s">
        <v>199</v>
      </c>
      <c r="P77" s="45" t="s">
        <v>199</v>
      </c>
      <c r="Q77" s="45" t="s">
        <v>199</v>
      </c>
      <c r="R77" s="45" t="s">
        <v>199</v>
      </c>
      <c r="S77" s="45" t="s">
        <v>199</v>
      </c>
      <c r="T77" s="47" t="s">
        <v>4515</v>
      </c>
      <c r="U77" s="39" t="s">
        <v>3764</v>
      </c>
      <c r="V77" s="39" t="str">
        <f>CONCATENATE(U77, D77)</f>
        <v>https://example.websquare.kr/websquare/websquare.html?w2xPath=/guide/_Multi-Language/useLocale_tooltipLocaleRef_Multi_language/useLocale_tooltipLocaleRef_Multi_language.xml</v>
      </c>
      <c r="W77" s="39" t="s">
        <v>4220</v>
      </c>
      <c r="X77" s="39" t="str">
        <f>CONCATENATE(W77, D77)</f>
        <v>https://docs.inswave.com/websquare/websquare.html?w2xPath=/support/api/samples/_Multi-Language/useLocale_tooltipLocaleRef_Multi_language/useLocale_tooltipLocaleRef_Multi_language.xml</v>
      </c>
      <c r="Y77" s="48"/>
      <c r="Z77" s="4"/>
      <c r="AA77" s="4" t="str">
        <f>HYPERLINK(J77,H77)</f>
        <v>툴팁 다국어</v>
      </c>
      <c r="AB77" s="39" t="str">
        <f t="shared" si="5"/>
        <v>https://docs.inswave.com/websquare/websquare.html?w2xPath=/support/api/samples/_Multi-Language/useLocale_tooltipLocaleRef_Multi_language/useLocale_tooltipLocaleRef_Multi_language.xml</v>
      </c>
    </row>
    <row r="78" spans="1:30" s="45" customFormat="1" ht="119" x14ac:dyDescent="0.45">
      <c r="A78" s="37">
        <f>SUBTOTAL(3, $T$2:T78)</f>
        <v>22</v>
      </c>
      <c r="B78" s="38" t="s">
        <v>1</v>
      </c>
      <c r="C78" s="39" t="s">
        <v>2284</v>
      </c>
      <c r="D78" s="39" t="s">
        <v>4410</v>
      </c>
      <c r="E78" s="40" t="s">
        <v>4302</v>
      </c>
      <c r="F78" s="41" t="s">
        <v>4303</v>
      </c>
      <c r="G78" s="39" t="s">
        <v>1245</v>
      </c>
      <c r="H78" s="53" t="s">
        <v>4333</v>
      </c>
      <c r="I78" s="44" t="s">
        <v>1246</v>
      </c>
      <c r="J78" s="14" t="s">
        <v>2334</v>
      </c>
      <c r="K78" s="22" t="s">
        <v>2782</v>
      </c>
      <c r="L78" s="46">
        <v>43800</v>
      </c>
      <c r="M78" s="14"/>
      <c r="N78" s="45" t="s">
        <v>199</v>
      </c>
      <c r="O78" s="45" t="s">
        <v>199</v>
      </c>
      <c r="P78" s="45" t="s">
        <v>199</v>
      </c>
      <c r="Q78" s="45" t="s">
        <v>199</v>
      </c>
      <c r="R78" s="45" t="s">
        <v>199</v>
      </c>
      <c r="S78" s="45" t="s">
        <v>199</v>
      </c>
      <c r="T78" s="47" t="s">
        <v>4247</v>
      </c>
      <c r="U78" s="39" t="s">
        <v>3764</v>
      </c>
      <c r="V78" s="39" t="str">
        <f>CONCATENATE(U78, D78)</f>
        <v>https://example.websquare.kr/websquare/websquare.html?w2xPath=/guide/_p/Submission/executeSubmission_p_DataList_Radio_SelectBox/executeSubmission_p_DataList_Radio_SelectBox.xml</v>
      </c>
      <c r="W78" s="39" t="s">
        <v>4512</v>
      </c>
      <c r="X78" s="39" t="str">
        <f>CONCATENATE(W78, D78)</f>
        <v>https://docs.inswave.com/websquare/websquare.html?w2xPath=/support/api/guide/_p/Submission/executeSubmission_p_DataList_Radio_SelectBox/executeSubmission_p_DataList_Radio_SelectBox.xml</v>
      </c>
      <c r="Y78" s="48" t="str">
        <f>HYPERLINK(X78, H78)</f>
        <v>DataList에 데이터를 로딩하여 BindItemList로 바인딩된 컴포넌트에 데이터를 표시</v>
      </c>
      <c r="Z78" s="4" t="str">
        <f>HYPERLINK(V78,H78)</f>
        <v>DataList에 데이터를 로딩하여 BindItemList로 바인딩된 컴포넌트에 데이터를 표시</v>
      </c>
      <c r="AA78" s="4" t="str">
        <f>HYPERLINK(J78,H78)</f>
        <v>DataList에 데이터를 로딩하여 BindItemList로 바인딩된 컴포넌트에 데이터를 표시</v>
      </c>
      <c r="AB78" s="39" t="str">
        <f t="shared" si="5"/>
        <v>https://docs.inswave.com/websquare/websquare.html?w2xPath=/support/api/guide/_p/Submission/executeSubmission_p_DataList_Radio_SelectBox/executeSubmission_p_DataList_Radio_SelectBox.xml</v>
      </c>
    </row>
    <row r="79" spans="1:30" s="45" customFormat="1" ht="102" x14ac:dyDescent="0.45">
      <c r="A79" s="37">
        <f>SUBTOTAL(3, $T$2:T79)</f>
        <v>23</v>
      </c>
      <c r="B79" s="38" t="s">
        <v>1</v>
      </c>
      <c r="C79" s="39" t="s">
        <v>1097</v>
      </c>
      <c r="D79" s="39" t="s">
        <v>4411</v>
      </c>
      <c r="E79" s="40" t="s">
        <v>4304</v>
      </c>
      <c r="F79" s="41" t="s">
        <v>4305</v>
      </c>
      <c r="G79" s="39" t="s">
        <v>1247</v>
      </c>
      <c r="H79" s="53" t="s">
        <v>4334</v>
      </c>
      <c r="I79" s="44" t="s">
        <v>1248</v>
      </c>
      <c r="J79" s="14" t="s">
        <v>2333</v>
      </c>
      <c r="K79" s="22" t="s">
        <v>2783</v>
      </c>
      <c r="L79" s="46">
        <v>43800</v>
      </c>
      <c r="M79" s="14"/>
      <c r="N79" s="45" t="s">
        <v>199</v>
      </c>
      <c r="O79" s="45" t="s">
        <v>199</v>
      </c>
      <c r="P79" s="45" t="s">
        <v>199</v>
      </c>
      <c r="Q79" s="45" t="s">
        <v>199</v>
      </c>
      <c r="R79" s="45" t="s">
        <v>199</v>
      </c>
      <c r="S79" s="45" t="s">
        <v>199</v>
      </c>
      <c r="T79" s="47" t="s">
        <v>4247</v>
      </c>
      <c r="U79" s="39" t="s">
        <v>3764</v>
      </c>
      <c r="V79" s="39" t="str">
        <f>CONCATENATE(U79, D79)</f>
        <v>https://example.websquare.kr/websquare/websquare.html?w2xPath=/guide/_p/Submission/executeSubmission_p_DataMap/executeSubmission_p_DataMap.xml</v>
      </c>
      <c r="W79" s="39" t="s">
        <v>4512</v>
      </c>
      <c r="X79" s="39" t="str">
        <f>CONCATENATE(W79, D79)</f>
        <v>https://docs.inswave.com/websquare/websquare.html?w2xPath=/support/api/guide/_p/Submission/executeSubmission_p_DataMap/executeSubmission_p_DataMap.xml</v>
      </c>
      <c r="Y79" s="48" t="str">
        <f>HYPERLINK(X79, H79)</f>
        <v>DataMap에 데이터를 로딩하여 ref로 바인딩된 컴포넌트에 데이터를 표시</v>
      </c>
      <c r="Z79" s="4" t="str">
        <f>HYPERLINK(V79,H79)</f>
        <v>DataMap에 데이터를 로딩하여 ref로 바인딩된 컴포넌트에 데이터를 표시</v>
      </c>
      <c r="AA79" s="4" t="str">
        <f>HYPERLINK(J79,H79)</f>
        <v>DataMap에 데이터를 로딩하여 ref로 바인딩된 컴포넌트에 데이터를 표시</v>
      </c>
      <c r="AB79" s="39" t="str">
        <f t="shared" si="5"/>
        <v>https://docs.inswave.com/websquare/websquare.html?w2xPath=/support/api/guide/_p/Submission/executeSubmission_p_DataMap/executeSubmission_p_DataMap.xml</v>
      </c>
      <c r="AC79" s="39"/>
      <c r="AD79" s="39"/>
    </row>
    <row r="80" spans="1:30" s="45" customFormat="1" ht="102" x14ac:dyDescent="0.45">
      <c r="A80" s="37">
        <f>SUBTOTAL(3, $T$2:T80)</f>
        <v>24</v>
      </c>
      <c r="B80" s="38" t="s">
        <v>1</v>
      </c>
      <c r="C80" s="39" t="s">
        <v>1097</v>
      </c>
      <c r="D80" s="39" t="s">
        <v>4456</v>
      </c>
      <c r="E80" s="40" t="s">
        <v>4274</v>
      </c>
      <c r="F80" s="41" t="s">
        <v>4275</v>
      </c>
      <c r="G80" s="39" t="s">
        <v>1227</v>
      </c>
      <c r="H80" s="53" t="s">
        <v>4335</v>
      </c>
      <c r="I80" s="44" t="s">
        <v>1228</v>
      </c>
      <c r="J80" s="14" t="s">
        <v>1244</v>
      </c>
      <c r="K80" s="22" t="s">
        <v>2781</v>
      </c>
      <c r="L80" s="46">
        <v>43678</v>
      </c>
      <c r="M80" s="14"/>
      <c r="N80" s="45" t="s">
        <v>199</v>
      </c>
      <c r="O80" s="45" t="s">
        <v>199</v>
      </c>
      <c r="P80" s="45" t="s">
        <v>199</v>
      </c>
      <c r="Q80" s="45" t="s">
        <v>199</v>
      </c>
      <c r="R80" s="45" t="s">
        <v>199</v>
      </c>
      <c r="S80" s="45" t="s">
        <v>199</v>
      </c>
      <c r="T80" s="47" t="s">
        <v>4247</v>
      </c>
      <c r="U80" s="39" t="s">
        <v>3764</v>
      </c>
      <c r="V80" s="39" t="str">
        <f>CONCATENATE(U80, D80)</f>
        <v>https://example.websquare.kr/websquare/websquare.html?w2xPath=/guide/_p/Submission/executeSubmission_p_DataList_GridView/executeSubmission_p_DataList_GridView.xml</v>
      </c>
      <c r="W80" s="39" t="s">
        <v>4512</v>
      </c>
      <c r="X80" s="39" t="str">
        <f>CONCATENATE(W80, D80)</f>
        <v>https://docs.inswave.com/websquare/websquare.html?w2xPath=/support/api/guide/_p/Submission/executeSubmission_p_DataList_GridView/executeSubmission_p_DataList_GridView.xml</v>
      </c>
      <c r="Y80" s="48" t="str">
        <f>HYPERLINK(X80, H80)</f>
        <v>Submission 생성 및 실행 (1)</v>
      </c>
      <c r="Z80" s="4" t="str">
        <f>HYPERLINK(V80,H80)</f>
        <v>Submission 생성 및 실행 (1)</v>
      </c>
      <c r="AA80" s="4" t="str">
        <f>HYPERLINK(J80,H80)</f>
        <v>Submission 생성 및 실행 (1)</v>
      </c>
      <c r="AB80" s="39" t="str">
        <f t="shared" si="5"/>
        <v>https://docs.inswave.com/websquare/websquare.html?w2xPath=/support/api/guide/_p/Submission/executeSubmission_p_DataList_GridView/executeSubmission_p_DataList_GridView.xml</v>
      </c>
      <c r="AC80" s="39"/>
      <c r="AD80" s="39"/>
    </row>
    <row r="81" spans="1:30" s="45" customFormat="1" ht="102" x14ac:dyDescent="0.45">
      <c r="A81" s="37">
        <f>SUBTOTAL(3, $T$2:T81)</f>
        <v>25</v>
      </c>
      <c r="B81" s="38" t="s">
        <v>1</v>
      </c>
      <c r="C81" s="39" t="s">
        <v>1097</v>
      </c>
      <c r="D81" s="39" t="s">
        <v>4455</v>
      </c>
      <c r="E81" s="40" t="s">
        <v>4306</v>
      </c>
      <c r="F81" s="41" t="s">
        <v>4307</v>
      </c>
      <c r="G81" s="39" t="s">
        <v>1242</v>
      </c>
      <c r="H81" s="53" t="s">
        <v>4336</v>
      </c>
      <c r="I81" s="39" t="s">
        <v>2522</v>
      </c>
      <c r="J81" s="14" t="s">
        <v>2523</v>
      </c>
      <c r="K81" s="22" t="s">
        <v>2780</v>
      </c>
      <c r="L81" s="46">
        <v>43739</v>
      </c>
      <c r="M81" s="14"/>
      <c r="N81" s="45" t="s">
        <v>199</v>
      </c>
      <c r="O81" s="45" t="s">
        <v>199</v>
      </c>
      <c r="P81" s="45" t="s">
        <v>199</v>
      </c>
      <c r="Q81" s="45" t="s">
        <v>199</v>
      </c>
      <c r="R81" s="45" t="s">
        <v>199</v>
      </c>
      <c r="S81" s="45" t="s">
        <v>199</v>
      </c>
      <c r="T81" s="47" t="s">
        <v>4247</v>
      </c>
      <c r="U81" s="39" t="s">
        <v>3764</v>
      </c>
      <c r="V81" s="39" t="str">
        <f>CONCATENATE(U81, D81)</f>
        <v>https://example.websquare.kr/websquare/websquare.html?w2xPath=/guide/_p/Submission/executeSubmission_p_DataList/executeSubmission_p_DataList.xml</v>
      </c>
      <c r="W81" s="39" t="s">
        <v>4512</v>
      </c>
      <c r="X81" s="39" t="str">
        <f>CONCATENATE(W81, D81)</f>
        <v>https://docs.inswave.com/websquare/websquare.html?w2xPath=/support/api/guide/_p/Submission/executeSubmission_p_DataList/executeSubmission_p_DataList.xml</v>
      </c>
      <c r="Y81" s="48" t="str">
        <f>HYPERLINK(X81, H81)</f>
        <v>Submission 생성 및 실행 (2)</v>
      </c>
      <c r="Z81" s="4" t="str">
        <f>HYPERLINK(V81,H81)</f>
        <v>Submission 생성 및 실행 (2)</v>
      </c>
      <c r="AA81" s="4" t="str">
        <f>HYPERLINK(J81,H81)</f>
        <v>Submission 생성 및 실행 (2)</v>
      </c>
      <c r="AB81" s="39" t="str">
        <f t="shared" si="5"/>
        <v>https://docs.inswave.com/websquare/websquare.html?w2xPath=/support/api/guide/_p/Submission/executeSubmission_p_DataList/executeSubmission_p_DataList.xml</v>
      </c>
      <c r="AC81" s="39"/>
      <c r="AD81" s="39"/>
    </row>
    <row r="82" spans="1:30" s="45" customFormat="1" ht="102" x14ac:dyDescent="0.45">
      <c r="A82" s="37">
        <f>SUBTOTAL(3, $T$2:T82)</f>
        <v>26</v>
      </c>
      <c r="B82" s="38" t="s">
        <v>1</v>
      </c>
      <c r="C82" s="39" t="s">
        <v>1097</v>
      </c>
      <c r="D82" s="39" t="s">
        <v>4405</v>
      </c>
      <c r="E82" s="40" t="s">
        <v>4276</v>
      </c>
      <c r="F82" s="41" t="s">
        <v>4277</v>
      </c>
      <c r="G82" s="39" t="s">
        <v>1584</v>
      </c>
      <c r="H82" s="53" t="s">
        <v>4331</v>
      </c>
      <c r="I82" s="44" t="s">
        <v>1590</v>
      </c>
      <c r="J82" s="14" t="s">
        <v>1586</v>
      </c>
      <c r="K82" s="22" t="s">
        <v>2785</v>
      </c>
      <c r="L82" s="46">
        <v>44713</v>
      </c>
      <c r="M82" s="14"/>
      <c r="N82" s="45" t="s">
        <v>199</v>
      </c>
      <c r="O82" s="45" t="s">
        <v>199</v>
      </c>
      <c r="P82" s="45" t="s">
        <v>199</v>
      </c>
      <c r="Q82" s="45" t="s">
        <v>199</v>
      </c>
      <c r="R82" s="45" t="s">
        <v>199</v>
      </c>
      <c r="S82" s="45" t="s">
        <v>199</v>
      </c>
      <c r="T82" s="47" t="s">
        <v>4247</v>
      </c>
      <c r="U82" s="39" t="s">
        <v>3764</v>
      </c>
      <c r="V82" s="39" t="str">
        <f>CONCATENATE(U82, D82)</f>
        <v>https://example.websquare.kr/websquare/websquare.html?w2xPath=/guide/_p/Submission/setRequestHeader_getSubmission_p/setRequestHeader_getSubmission_p.xml</v>
      </c>
      <c r="W82" s="39" t="s">
        <v>4512</v>
      </c>
      <c r="X82" s="39" t="str">
        <f>CONCATENATE(W82, D82)</f>
        <v>https://docs.inswave.com/websquare/websquare.html?w2xPath=/support/api/guide/_p/Submission/setRequestHeader_getSubmission_p/setRequestHeader_getSubmission_p.xml</v>
      </c>
      <c r="Y82" s="48" t="str">
        <f>HYPERLINK(X82, H82)</f>
        <v>Submission 헤더 설정</v>
      </c>
      <c r="Z82" s="4" t="str">
        <f>HYPERLINK(V82,H82)</f>
        <v>Submission 헤더 설정</v>
      </c>
      <c r="AA82" s="4" t="str">
        <f>HYPERLINK(J82,H82)</f>
        <v>Submission 헤더 설정</v>
      </c>
      <c r="AB82" s="39" t="str">
        <f t="shared" si="5"/>
        <v>https://docs.inswave.com/websquare/websquare.html?w2xPath=/support/api/guide/_p/Submission/setRequestHeader_getSubmission_p/setRequestHeader_getSubmission_p.xml</v>
      </c>
      <c r="AC82" s="39"/>
      <c r="AD82" s="39"/>
    </row>
    <row r="83" spans="1:30" s="45" customFormat="1" ht="102" x14ac:dyDescent="0.45">
      <c r="A83" s="37">
        <f>SUBTOTAL(3, $T$2:T83)</f>
        <v>27</v>
      </c>
      <c r="B83" s="38" t="s">
        <v>1</v>
      </c>
      <c r="C83" s="39" t="s">
        <v>1097</v>
      </c>
      <c r="D83" s="39" t="s">
        <v>4399</v>
      </c>
      <c r="E83" s="57" t="s">
        <v>4257</v>
      </c>
      <c r="F83" s="41" t="s">
        <v>4258</v>
      </c>
      <c r="G83" s="39" t="s">
        <v>1243</v>
      </c>
      <c r="H83" s="53" t="s">
        <v>4338</v>
      </c>
      <c r="I83" s="44" t="s">
        <v>236</v>
      </c>
      <c r="J83" s="14" t="s">
        <v>335</v>
      </c>
      <c r="K83" s="22" t="s">
        <v>2779</v>
      </c>
      <c r="L83" s="46">
        <v>44348</v>
      </c>
      <c r="M83" s="14"/>
      <c r="N83" s="45" t="s">
        <v>199</v>
      </c>
      <c r="O83" s="45" t="s">
        <v>199</v>
      </c>
      <c r="P83" s="45" t="s">
        <v>199</v>
      </c>
      <c r="Q83" s="45" t="s">
        <v>199</v>
      </c>
      <c r="R83" s="45" t="s">
        <v>199</v>
      </c>
      <c r="S83" s="45" t="s">
        <v>199</v>
      </c>
      <c r="T83" s="47" t="s">
        <v>4247</v>
      </c>
      <c r="U83" s="39" t="s">
        <v>3764</v>
      </c>
      <c r="V83" s="39" t="str">
        <f>CONCATENATE(U83, D83)</f>
        <v>https://example.websquare.kr/websquare/websquare.html?w2xPath=/guide/_p/Submission/executeSubmission_p/executeSubmission_p.xml</v>
      </c>
      <c r="W83" s="39" t="s">
        <v>4512</v>
      </c>
      <c r="X83" s="39" t="str">
        <f>CONCATENATE(W83, D83)</f>
        <v>https://docs.inswave.com/websquare/websquare.html?w2xPath=/support/api/guide/_p/Submission/executeSubmission_p/executeSubmission_p.xml</v>
      </c>
      <c r="Y83" s="48" t="str">
        <f>HYPERLINK(X83, H83)</f>
        <v>이벤트 - submit &amp; submitdone &amp; submiterror</v>
      </c>
      <c r="Z83" s="4" t="str">
        <f>HYPERLINK(V83,H83)</f>
        <v>이벤트 - submit &amp; submitdone &amp; submiterror</v>
      </c>
      <c r="AA83" s="4" t="str">
        <f>HYPERLINK(J83,H83)</f>
        <v>이벤트 - submit &amp; submitdone &amp; submiterror</v>
      </c>
      <c r="AB83" s="39" t="str">
        <f t="shared" si="5"/>
        <v>https://docs.inswave.com/websquare/websquare.html?w2xPath=/support/api/guide/_p/Submission/executeSubmission_p/executeSubmission_p.xml</v>
      </c>
      <c r="AC83" s="39"/>
      <c r="AD83" s="39"/>
    </row>
    <row r="84" spans="1:30" s="45" customFormat="1" ht="102" x14ac:dyDescent="0.45">
      <c r="A84" s="37">
        <f>SUBTOTAL(3, $T$2:T84)</f>
        <v>28</v>
      </c>
      <c r="B84" s="51" t="s">
        <v>2022</v>
      </c>
      <c r="C84" s="51" t="s">
        <v>2284</v>
      </c>
      <c r="D84" s="39" t="s">
        <v>4457</v>
      </c>
      <c r="E84" s="40" t="s">
        <v>4298</v>
      </c>
      <c r="F84" s="41" t="s">
        <v>4299</v>
      </c>
      <c r="G84" s="39" t="s">
        <v>2282</v>
      </c>
      <c r="H84" s="53" t="s">
        <v>4332</v>
      </c>
      <c r="I84" s="44" t="s">
        <v>2277</v>
      </c>
      <c r="J84" s="14" t="s">
        <v>2291</v>
      </c>
      <c r="K84" s="22" t="s">
        <v>2784</v>
      </c>
      <c r="L84" s="46">
        <v>45108</v>
      </c>
      <c r="M84" s="14"/>
      <c r="N84" s="45" t="s">
        <v>199</v>
      </c>
      <c r="O84" s="45" t="s">
        <v>199</v>
      </c>
      <c r="P84" s="45" t="s">
        <v>199</v>
      </c>
      <c r="Q84" s="45" t="s">
        <v>199</v>
      </c>
      <c r="R84" s="45" t="s">
        <v>199</v>
      </c>
      <c r="S84" s="45" t="s">
        <v>199</v>
      </c>
      <c r="T84" s="47" t="s">
        <v>4247</v>
      </c>
      <c r="U84" s="39" t="s">
        <v>3764</v>
      </c>
      <c r="V84" s="39" t="str">
        <f>CONCATENATE(U84, D84)</f>
        <v>https://example.websquare.kr/websquare/websquare.html?w2xPath=/guide/_p/Submission/getSubmissionList_p/getSubmissionList_p.xml</v>
      </c>
      <c r="W84" s="39" t="s">
        <v>4512</v>
      </c>
      <c r="X84" s="39" t="str">
        <f>CONCATENATE(W84, D84)</f>
        <v>https://docs.inswave.com/websquare/websquare.html?w2xPath=/support/api/guide/_p/Submission/getSubmissionList_p/getSubmissionList_p.xml</v>
      </c>
      <c r="Y84" s="48" t="str">
        <f>HYPERLINK(X84, H84)</f>
        <v>전체 Submission 객체 반환</v>
      </c>
      <c r="Z84" s="4" t="str">
        <f>HYPERLINK(V84,H84)</f>
        <v>전체 Submission 객체 반환</v>
      </c>
      <c r="AA84" s="4" t="str">
        <f>HYPERLINK(J84,H84)</f>
        <v>전체 Submission 객체 반환</v>
      </c>
      <c r="AB84" s="39" t="str">
        <f t="shared" si="5"/>
        <v>https://docs.inswave.com/websquare/websquare.html?w2xPath=/support/api/guide/_p/Submission/getSubmissionList_p/getSubmissionList_p.xml</v>
      </c>
      <c r="AC84" s="39"/>
      <c r="AD84" s="39"/>
    </row>
    <row r="85" spans="1:30" s="45" customFormat="1" ht="102" x14ac:dyDescent="0.45">
      <c r="A85" s="37">
        <f>SUBTOTAL(3, $T$2:T85)</f>
        <v>29</v>
      </c>
      <c r="B85" s="51" t="s">
        <v>1974</v>
      </c>
      <c r="C85" s="51" t="s">
        <v>1974</v>
      </c>
      <c r="D85" s="39" t="s">
        <v>4351</v>
      </c>
      <c r="E85" s="40" t="s">
        <v>2288</v>
      </c>
      <c r="F85" s="41" t="s">
        <v>2287</v>
      </c>
      <c r="G85" s="39" t="s">
        <v>2286</v>
      </c>
      <c r="H85" s="53" t="s">
        <v>4451</v>
      </c>
      <c r="I85" s="44"/>
      <c r="J85" s="14" t="s">
        <v>2292</v>
      </c>
      <c r="K85" s="22" t="s">
        <v>3110</v>
      </c>
      <c r="L85" s="46">
        <v>45108</v>
      </c>
      <c r="M85" s="14"/>
      <c r="N85" s="45" t="s">
        <v>199</v>
      </c>
      <c r="O85" s="45" t="s">
        <v>199</v>
      </c>
      <c r="P85" s="45" t="s">
        <v>199</v>
      </c>
      <c r="Q85" s="45" t="s">
        <v>199</v>
      </c>
      <c r="R85" s="45" t="s">
        <v>199</v>
      </c>
      <c r="S85" s="45" t="s">
        <v>199</v>
      </c>
      <c r="T85" s="47" t="s">
        <v>4247</v>
      </c>
      <c r="U85" s="39" t="s">
        <v>3764</v>
      </c>
      <c r="V85" s="39" t="str">
        <f>CONCATENATE(U85, D85)</f>
        <v>https://example.websquare.kr/websquare/websquare.html?w2xPath=/guide/_Debugging/View_Submission_Debugging/View_Submission_Debugging.xml</v>
      </c>
      <c r="W85" s="39" t="s">
        <v>4512</v>
      </c>
      <c r="X85" s="39" t="str">
        <f>CONCATENATE(W85, D85)</f>
        <v>https://docs.inswave.com/websquare/websquare.html?w2xPath=/support/api/guide/_Debugging/View_Submission_Debugging/View_Submission_Debugging.xml</v>
      </c>
      <c r="Y85" s="48" t="str">
        <f>HYPERLINK(X85, H85)</f>
        <v>화면의 Submission 객체 확인</v>
      </c>
      <c r="Z85" s="4" t="str">
        <f>HYPERLINK(V85,H85)</f>
        <v>화면의 Submission 객체 확인</v>
      </c>
      <c r="AA85" s="4" t="str">
        <f>HYPERLINK(J85,H85)</f>
        <v>화면의 Submission 객체 확인</v>
      </c>
      <c r="AB85" s="39" t="str">
        <f t="shared" si="5"/>
        <v>https://docs.inswave.com/websquare/websquare.html?w2xPath=/support/api/guide/_Debugging/View_Submission_Debugging/View_Submission_Debugging.xml</v>
      </c>
      <c r="AC85" s="39"/>
      <c r="AD85" s="39"/>
    </row>
    <row r="86" spans="1:30" s="45" customFormat="1" ht="102" x14ac:dyDescent="0.45">
      <c r="A86" s="37">
        <f>SUBTOTAL(3, $T$2:T86)</f>
        <v>30</v>
      </c>
      <c r="B86" s="38" t="s">
        <v>101</v>
      </c>
      <c r="C86" s="39" t="s">
        <v>101</v>
      </c>
      <c r="D86" s="39" t="s">
        <v>1326</v>
      </c>
      <c r="E86" s="40" t="s">
        <v>2066</v>
      </c>
      <c r="F86" s="41" t="s">
        <v>1296</v>
      </c>
      <c r="G86" s="39" t="s">
        <v>1297</v>
      </c>
      <c r="H86" s="53" t="s">
        <v>3790</v>
      </c>
      <c r="I86" s="39" t="s">
        <v>1223</v>
      </c>
      <c r="J86" s="14" t="s">
        <v>1301</v>
      </c>
      <c r="K86" s="22" t="s">
        <v>2785</v>
      </c>
      <c r="L86" s="46">
        <v>44682</v>
      </c>
      <c r="M86" s="14"/>
      <c r="N86" s="45" t="s">
        <v>199</v>
      </c>
      <c r="O86" s="45" t="s">
        <v>199</v>
      </c>
      <c r="P86" s="45" t="s">
        <v>199</v>
      </c>
      <c r="Q86" s="45" t="s">
        <v>199</v>
      </c>
      <c r="R86" s="45" t="s">
        <v>199</v>
      </c>
      <c r="S86" s="45" t="s">
        <v>199</v>
      </c>
      <c r="T86" s="47" t="s">
        <v>4247</v>
      </c>
      <c r="U86" s="39" t="s">
        <v>3764</v>
      </c>
      <c r="V86" s="39" t="str">
        <f>CONCATENATE(U86, D86)</f>
        <v>https://example.websquare.kr/websquare/websquare.html?w2xPath=/guide/Accordion/enterKeyPanelToggle_Accordion.xml</v>
      </c>
      <c r="W86" s="39" t="s">
        <v>4512</v>
      </c>
      <c r="X86" s="39" t="str">
        <f>CONCATENATE(W86, D86)</f>
        <v>https://docs.inswave.com/websquare/websquare.html?w2xPath=/support/api/guide/Accordion/enterKeyPanelToggle_Accordion.xml</v>
      </c>
      <c r="Y86" s="48" t="str">
        <f>HYPERLINK(X86, H86)</f>
        <v>Enter 키로 패널 열고 닫기</v>
      </c>
      <c r="Z86" s="4" t="str">
        <f>HYPERLINK(V86,H86)</f>
        <v>Enter 키로 패널 열고 닫기</v>
      </c>
      <c r="AA86" s="4" t="str">
        <f>HYPERLINK(J86,H86)</f>
        <v>Enter 키로 패널 열고 닫기</v>
      </c>
      <c r="AB86" s="39" t="str">
        <f t="shared" si="5"/>
        <v>https://docs.inswave.com/websquare/websquare.html?w2xPath=/support/api/guide/Accordion/enterKeyPanelToggle_Accordion.xml</v>
      </c>
      <c r="AC86" s="39"/>
      <c r="AD86" s="39"/>
    </row>
    <row r="87" spans="1:30" s="45" customFormat="1" ht="102" x14ac:dyDescent="0.45">
      <c r="A87" s="37">
        <f>SUBTOTAL(3, $T$2:T87)</f>
        <v>31</v>
      </c>
      <c r="B87" s="38" t="s">
        <v>101</v>
      </c>
      <c r="C87" s="39" t="s">
        <v>101</v>
      </c>
      <c r="D87" s="39" t="s">
        <v>1645</v>
      </c>
      <c r="E87" s="40" t="s">
        <v>1916</v>
      </c>
      <c r="F87" s="41" t="s">
        <v>1915</v>
      </c>
      <c r="G87" s="39" t="s">
        <v>1642</v>
      </c>
      <c r="H87" s="53" t="s">
        <v>3789</v>
      </c>
      <c r="I87" s="44" t="s">
        <v>1644</v>
      </c>
      <c r="J87" s="14" t="s">
        <v>1646</v>
      </c>
      <c r="K87" s="22" t="s">
        <v>2787</v>
      </c>
      <c r="L87" s="46">
        <v>44743</v>
      </c>
      <c r="M87" s="14"/>
      <c r="N87" s="45" t="s">
        <v>199</v>
      </c>
      <c r="O87" s="45" t="s">
        <v>199</v>
      </c>
      <c r="P87" s="45" t="s">
        <v>199</v>
      </c>
      <c r="Q87" s="45" t="s">
        <v>199</v>
      </c>
      <c r="R87" s="45" t="s">
        <v>199</v>
      </c>
      <c r="S87" s="45" t="s">
        <v>199</v>
      </c>
      <c r="T87" s="47" t="s">
        <v>4247</v>
      </c>
      <c r="U87" s="39" t="s">
        <v>3764</v>
      </c>
      <c r="V87" s="39" t="str">
        <f>CONCATENATE(U87, D87)</f>
        <v>https://example.websquare.kr/websquare/websquare.html?w2xPath=/guide/Accordion/getOpenPanelListInfo_Accordion.xml</v>
      </c>
      <c r="W87" s="39" t="s">
        <v>4512</v>
      </c>
      <c r="X87" s="39" t="str">
        <f>CONCATENATE(W87, D87)</f>
        <v>https://docs.inswave.com/websquare/websquare.html?w2xPath=/support/api/guide/Accordion/getOpenPanelListInfo_Accordion.xml</v>
      </c>
      <c r="Y87" s="48" t="str">
        <f>HYPERLINK(X87, H87)</f>
        <v>모든 열린 패널의 속성 확인</v>
      </c>
      <c r="Z87" s="4" t="str">
        <f>HYPERLINK(V87,H87)</f>
        <v>모든 열린 패널의 속성 확인</v>
      </c>
      <c r="AA87" s="4" t="str">
        <f>HYPERLINK(J87,H87)</f>
        <v>모든 열린 패널의 속성 확인</v>
      </c>
      <c r="AB87" s="39" t="str">
        <f t="shared" si="5"/>
        <v>https://docs.inswave.com/websquare/websquare.html?w2xPath=/support/api/guide/Accordion/getOpenPanelListInfo_Accordion.xml</v>
      </c>
      <c r="AC87" s="39"/>
      <c r="AD87" s="39"/>
    </row>
    <row r="88" spans="1:30" s="45" customFormat="1" ht="102" x14ac:dyDescent="0.45">
      <c r="A88" s="37">
        <f>SUBTOTAL(3, $T$2:T88)</f>
        <v>32</v>
      </c>
      <c r="B88" s="38" t="s">
        <v>101</v>
      </c>
      <c r="C88" s="39" t="s">
        <v>101</v>
      </c>
      <c r="D88" s="39" t="s">
        <v>263</v>
      </c>
      <c r="E88" s="57" t="s">
        <v>219</v>
      </c>
      <c r="F88" s="41" t="s">
        <v>184</v>
      </c>
      <c r="G88" s="39" t="s">
        <v>103</v>
      </c>
      <c r="H88" s="53" t="s">
        <v>4517</v>
      </c>
      <c r="I88" s="39" t="s">
        <v>102</v>
      </c>
      <c r="J88" s="14" t="s">
        <v>391</v>
      </c>
      <c r="K88" s="22" t="s">
        <v>2789</v>
      </c>
      <c r="L88" s="46">
        <v>44409</v>
      </c>
      <c r="M88" s="50" t="s">
        <v>199</v>
      </c>
      <c r="N88" s="45" t="s">
        <v>199</v>
      </c>
      <c r="O88" s="45" t="s">
        <v>199</v>
      </c>
      <c r="P88" s="45" t="s">
        <v>199</v>
      </c>
      <c r="Q88" s="45" t="s">
        <v>199</v>
      </c>
      <c r="R88" s="45" t="s">
        <v>199</v>
      </c>
      <c r="S88" s="45" t="s">
        <v>199</v>
      </c>
      <c r="T88" s="47" t="s">
        <v>4247</v>
      </c>
      <c r="U88" s="39" t="s">
        <v>3764</v>
      </c>
      <c r="V88" s="39" t="str">
        <f>CONCATENATE(U88, D88)</f>
        <v>https://example.websquare.kr/websquare/websquare.html?w2xPath=/guide/Accordion/unCollapseAll_Accordion.xml</v>
      </c>
      <c r="W88" s="39" t="s">
        <v>4512</v>
      </c>
      <c r="X88" s="39" t="str">
        <f>CONCATENATE(W88, D88)</f>
        <v>https://docs.inswave.com/websquare/websquare.html?w2xPath=/support/api/guide/Accordion/unCollapseAll_Accordion.xml</v>
      </c>
      <c r="Y88" s="48" t="str">
        <f>HYPERLINK(X88, H88)</f>
        <v>모든 패널을 열린 상태로 로딩</v>
      </c>
      <c r="Z88" s="4" t="str">
        <f>HYPERLINK(V88,H88)</f>
        <v>모든 패널을 열린 상태로 로딩</v>
      </c>
      <c r="AA88" s="4" t="str">
        <f>HYPERLINK(J88,H88)</f>
        <v>모든 패널을 열린 상태로 로딩</v>
      </c>
      <c r="AB88" s="39" t="str">
        <f t="shared" si="5"/>
        <v>https://docs.inswave.com/websquare/websquare.html?w2xPath=/support/api/guide/Accordion/unCollapseAll_Accordion.xml</v>
      </c>
      <c r="AC88" s="39"/>
      <c r="AD88" s="39"/>
    </row>
    <row r="89" spans="1:30" s="45" customFormat="1" ht="102" x14ac:dyDescent="0.45">
      <c r="A89" s="37">
        <f>SUBTOTAL(3, $T$2:T89)</f>
        <v>33</v>
      </c>
      <c r="B89" s="38" t="s">
        <v>2076</v>
      </c>
      <c r="C89" s="38" t="s">
        <v>2076</v>
      </c>
      <c r="D89" s="39" t="s">
        <v>3416</v>
      </c>
      <c r="E89" s="41" t="s">
        <v>3792</v>
      </c>
      <c r="F89" s="41" t="s">
        <v>3759</v>
      </c>
      <c r="G89" s="44" t="s">
        <v>3849</v>
      </c>
      <c r="H89" s="53" t="s">
        <v>3793</v>
      </c>
      <c r="I89" s="44" t="s">
        <v>3419</v>
      </c>
      <c r="J89" s="14" t="s">
        <v>3417</v>
      </c>
      <c r="K89" s="23" t="s">
        <v>3418</v>
      </c>
      <c r="L89" s="46">
        <v>45627</v>
      </c>
      <c r="M89" s="14"/>
      <c r="T89" s="47" t="s">
        <v>4247</v>
      </c>
      <c r="U89" s="39" t="s">
        <v>3764</v>
      </c>
      <c r="V89" s="39" t="str">
        <f>CONCATENATE(U89, D89)</f>
        <v>https://example.websquare.kr/websquare/websquare.html?w2xPath=/guide/Accordion/onpanelload_onpanelunload_Accordion.xml</v>
      </c>
      <c r="W89" s="39" t="s">
        <v>4512</v>
      </c>
      <c r="X89" s="39" t="str">
        <f>CONCATENATE(W89, D89)</f>
        <v>https://docs.inswave.com/websquare/websquare.html?w2xPath=/support/api/guide/Accordion/onpanelload_onpanelunload_Accordion.xml</v>
      </c>
      <c r="Y89" s="48" t="str">
        <f>HYPERLINK(X89, H89)</f>
        <v>이벤트 - onpanelload &amp; onpageunload</v>
      </c>
      <c r="Z89" s="4" t="str">
        <f>HYPERLINK(V89,H89)</f>
        <v>이벤트 - onpanelload &amp; onpageunload</v>
      </c>
      <c r="AA89" s="4" t="str">
        <f>HYPERLINK(J89,H89)</f>
        <v>이벤트 - onpanelload &amp; onpageunload</v>
      </c>
      <c r="AB89" s="39" t="str">
        <f t="shared" si="5"/>
        <v>https://docs.inswave.com/websquare/websquare.html?w2xPath=/support/api/guide/Accordion/onpanelload_onpanelunload_Accordion.xml</v>
      </c>
      <c r="AC89" s="39"/>
      <c r="AD89" s="39"/>
    </row>
    <row r="90" spans="1:30" s="45" customFormat="1" ht="102" x14ac:dyDescent="0.45">
      <c r="A90" s="37">
        <f>SUBTOTAL(3, $T$2:T90)</f>
        <v>34</v>
      </c>
      <c r="B90" s="38" t="s">
        <v>101</v>
      </c>
      <c r="C90" s="39" t="s">
        <v>101</v>
      </c>
      <c r="D90" s="39" t="s">
        <v>1649</v>
      </c>
      <c r="E90" s="40" t="s">
        <v>1917</v>
      </c>
      <c r="F90" s="41" t="s">
        <v>1648</v>
      </c>
      <c r="G90" s="39" t="s">
        <v>1650</v>
      </c>
      <c r="H90" s="53" t="s">
        <v>3788</v>
      </c>
      <c r="I90" s="44" t="s">
        <v>1643</v>
      </c>
      <c r="J90" s="14" t="s">
        <v>1647</v>
      </c>
      <c r="K90" s="22" t="s">
        <v>2786</v>
      </c>
      <c r="L90" s="46">
        <v>44743</v>
      </c>
      <c r="M90" s="14"/>
      <c r="N90" s="45" t="s">
        <v>199</v>
      </c>
      <c r="O90" s="45" t="s">
        <v>199</v>
      </c>
      <c r="P90" s="45" t="s">
        <v>199</v>
      </c>
      <c r="Q90" s="45" t="s">
        <v>199</v>
      </c>
      <c r="R90" s="45" t="s">
        <v>199</v>
      </c>
      <c r="S90" s="45" t="s">
        <v>199</v>
      </c>
      <c r="T90" s="47" t="s">
        <v>4247</v>
      </c>
      <c r="U90" s="39" t="s">
        <v>3764</v>
      </c>
      <c r="V90" s="39" t="str">
        <f>CONCATENATE(U90, D90)</f>
        <v>https://example.websquare.kr/websquare/websquare.html?w2xPath=/guide/Accordion/getOpenPanelInfo_Accordion.xml</v>
      </c>
      <c r="W90" s="39" t="s">
        <v>4512</v>
      </c>
      <c r="X90" s="39" t="str">
        <f>CONCATENATE(W90, D90)</f>
        <v>https://docs.inswave.com/websquare/websquare.html?w2xPath=/support/api/guide/Accordion/getOpenPanelInfo_Accordion.xml</v>
      </c>
      <c r="Y90" s="48" t="str">
        <f>HYPERLINK(X90, H90)</f>
        <v>특정 패널의 속성 확인</v>
      </c>
      <c r="Z90" s="4" t="str">
        <f>HYPERLINK(V90,H90)</f>
        <v>특정 패널의 속성 확인</v>
      </c>
      <c r="AA90" s="4" t="str">
        <f>HYPERLINK(J90,H90)</f>
        <v>특정 패널의 속성 확인</v>
      </c>
      <c r="AB90" s="39" t="str">
        <f t="shared" si="5"/>
        <v>https://docs.inswave.com/websquare/websquare.html?w2xPath=/support/api/guide/Accordion/getOpenPanelInfo_Accordion.xml</v>
      </c>
      <c r="AC90" s="39"/>
      <c r="AD90" s="39"/>
    </row>
    <row r="91" spans="1:30" s="45" customFormat="1" ht="102" x14ac:dyDescent="0.45">
      <c r="A91" s="37">
        <f>SUBTOTAL(3, $T$2:T91)</f>
        <v>35</v>
      </c>
      <c r="B91" s="38" t="s">
        <v>101</v>
      </c>
      <c r="C91" s="39" t="s">
        <v>101</v>
      </c>
      <c r="D91" s="39" t="s">
        <v>1819</v>
      </c>
      <c r="E91" s="40" t="s">
        <v>2137</v>
      </c>
      <c r="F91" s="41" t="s">
        <v>1816</v>
      </c>
      <c r="G91" s="44" t="s">
        <v>1818</v>
      </c>
      <c r="H91" s="53" t="s">
        <v>3791</v>
      </c>
      <c r="I91" s="44" t="s">
        <v>1817</v>
      </c>
      <c r="J91" s="14" t="s">
        <v>1820</v>
      </c>
      <c r="K91" s="22" t="s">
        <v>2788</v>
      </c>
      <c r="L91" s="46">
        <v>44835</v>
      </c>
      <c r="M91" s="50" t="s">
        <v>199</v>
      </c>
      <c r="N91" s="45" t="s">
        <v>199</v>
      </c>
      <c r="O91" s="45" t="s">
        <v>199</v>
      </c>
      <c r="P91" s="45" t="s">
        <v>199</v>
      </c>
      <c r="Q91" s="45" t="s">
        <v>199</v>
      </c>
      <c r="R91" s="45" t="s">
        <v>199</v>
      </c>
      <c r="S91" s="45" t="s">
        <v>199</v>
      </c>
      <c r="T91" s="47" t="s">
        <v>4247</v>
      </c>
      <c r="U91" s="39" t="s">
        <v>3764</v>
      </c>
      <c r="V91" s="39" t="str">
        <f>CONCATENATE(U91, D91)</f>
        <v>https://example.websquare.kr/websquare/websquare.html?w2xPath=/guide/Accordion/independentPanel_Accordion.xml</v>
      </c>
      <c r="W91" s="39" t="s">
        <v>4512</v>
      </c>
      <c r="X91" s="39" t="str">
        <f>CONCATENATE(W91, D91)</f>
        <v>https://docs.inswave.com/websquare/websquare.html?w2xPath=/support/api/guide/Accordion/independentPanel_Accordion.xml</v>
      </c>
      <c r="Y91" s="48" t="str">
        <f>HYPERLINK(X91, H91)</f>
        <v>패널의 열린 상태를 유지</v>
      </c>
      <c r="Z91" s="4" t="str">
        <f>HYPERLINK(V91,H91)</f>
        <v>패널의 열린 상태를 유지</v>
      </c>
      <c r="AA91" s="4" t="str">
        <f>HYPERLINK(J91,H91)</f>
        <v>패널의 열린 상태를 유지</v>
      </c>
      <c r="AB91" s="39" t="str">
        <f t="shared" si="5"/>
        <v>https://docs.inswave.com/websquare/websquare.html?w2xPath=/support/api/guide/Accordion/independentPanel_Accordion.xml</v>
      </c>
      <c r="AC91" s="39"/>
      <c r="AD91" s="39"/>
    </row>
    <row r="92" spans="1:30" s="45" customFormat="1" ht="102" x14ac:dyDescent="0.45">
      <c r="A92" s="37">
        <f>SUBTOTAL(3, $T$2:T92)</f>
        <v>36</v>
      </c>
      <c r="B92" s="38" t="s">
        <v>25</v>
      </c>
      <c r="C92" s="39" t="s">
        <v>25</v>
      </c>
      <c r="D92" s="39" t="s">
        <v>1222</v>
      </c>
      <c r="E92" s="40" t="s">
        <v>2492</v>
      </c>
      <c r="F92" s="41" t="s">
        <v>2494</v>
      </c>
      <c r="G92" s="39" t="s">
        <v>2497</v>
      </c>
      <c r="H92" s="53" t="s">
        <v>3795</v>
      </c>
      <c r="I92" s="44" t="s">
        <v>2495</v>
      </c>
      <c r="J92" s="14" t="s">
        <v>2496</v>
      </c>
      <c r="K92" s="22" t="s">
        <v>2791</v>
      </c>
      <c r="L92" s="46">
        <v>43709</v>
      </c>
      <c r="M92" s="14"/>
      <c r="N92" s="45" t="s">
        <v>199</v>
      </c>
      <c r="O92" s="45" t="s">
        <v>199</v>
      </c>
      <c r="P92" s="45" t="s">
        <v>199</v>
      </c>
      <c r="Q92" s="45" t="s">
        <v>199</v>
      </c>
      <c r="R92" s="45" t="s">
        <v>199</v>
      </c>
      <c r="S92" s="45" t="s">
        <v>199</v>
      </c>
      <c r="T92" s="47" t="s">
        <v>4247</v>
      </c>
      <c r="U92" s="39" t="s">
        <v>3764</v>
      </c>
      <c r="V92" s="39" t="str">
        <f>CONCATENATE(U92, D92)</f>
        <v>https://example.websquare.kr/websquare/websquare.html?w2xPath=/guide/AutoComplete/BindItemSet_allOption_chooseOption_chooseOptionLabel_AutoComplete.xml</v>
      </c>
      <c r="W92" s="39" t="s">
        <v>4512</v>
      </c>
      <c r="X92" s="39" t="str">
        <f>CONCATENATE(W92, D92)</f>
        <v>https://docs.inswave.com/websquare/websquare.html?w2xPath=/support/api/guide/AutoComplete/BindItemSet_allOption_chooseOption_chooseOptionLabel_AutoComplete.xml</v>
      </c>
      <c r="Y92" s="48" t="str">
        <f>HYPERLINK(X92, H92)</f>
        <v>DataList 바인딩</v>
      </c>
      <c r="Z92" s="4" t="str">
        <f>HYPERLINK(V92,H92)</f>
        <v>DataList 바인딩</v>
      </c>
      <c r="AA92" s="4" t="str">
        <f>HYPERLINK(J92,H92)</f>
        <v>DataList 바인딩</v>
      </c>
      <c r="AB92" s="39" t="str">
        <f t="shared" si="5"/>
        <v>https://docs.inswave.com/websquare/websquare.html?w2xPath=/support/api/guide/AutoComplete/BindItemSet_allOption_chooseOption_chooseOptionLabel_AutoComplete.xml</v>
      </c>
      <c r="AC92" s="39"/>
      <c r="AD92" s="39"/>
    </row>
    <row r="93" spans="1:30" s="45" customFormat="1" ht="102" x14ac:dyDescent="0.45">
      <c r="A93" s="37">
        <f>SUBTOTAL(3, $T$2:T93)</f>
        <v>37</v>
      </c>
      <c r="B93" s="38" t="s">
        <v>25</v>
      </c>
      <c r="C93" s="39" t="s">
        <v>25</v>
      </c>
      <c r="D93" s="39" t="s">
        <v>442</v>
      </c>
      <c r="E93" s="40" t="s">
        <v>433</v>
      </c>
      <c r="F93" s="41" t="s">
        <v>441</v>
      </c>
      <c r="G93" s="44" t="s">
        <v>3797</v>
      </c>
      <c r="H93" s="53" t="s">
        <v>3798</v>
      </c>
      <c r="I93" s="44" t="s">
        <v>452</v>
      </c>
      <c r="J93" s="14" t="s">
        <v>440</v>
      </c>
      <c r="K93" s="22" t="s">
        <v>2795</v>
      </c>
      <c r="L93" s="46">
        <v>44228</v>
      </c>
      <c r="M93" s="45" t="s">
        <v>199</v>
      </c>
      <c r="N93" s="45" t="s">
        <v>199</v>
      </c>
      <c r="O93" s="45" t="s">
        <v>199</v>
      </c>
      <c r="P93" s="45" t="s">
        <v>199</v>
      </c>
      <c r="Q93" s="45" t="s">
        <v>199</v>
      </c>
      <c r="R93" s="45" t="s">
        <v>199</v>
      </c>
      <c r="S93" s="45" t="s">
        <v>199</v>
      </c>
      <c r="T93" s="47" t="s">
        <v>4247</v>
      </c>
      <c r="U93" s="39" t="s">
        <v>3764</v>
      </c>
      <c r="V93" s="39" t="str">
        <f>CONCATENATE(U93, D93)</f>
        <v>https://example.websquare.kr/websquare/websquare.html?w2xPath=/guide/AutoComplete/nextTabByEnter_nextTabID_AutoComplete.xml</v>
      </c>
      <c r="W93" s="39" t="s">
        <v>4512</v>
      </c>
      <c r="X93" s="39" t="str">
        <f>CONCATENATE(W93, D93)</f>
        <v>https://docs.inswave.com/websquare/websquare.html?w2xPath=/support/api/guide/AutoComplete/nextTabByEnter_nextTabID_AutoComplete.xml</v>
      </c>
      <c r="Y93" s="48" t="str">
        <f>HYPERLINK(X93, H93)</f>
        <v>Enter 키를 통한 자동 포커스 이동</v>
      </c>
      <c r="Z93" s="4" t="str">
        <f>HYPERLINK(V93,H93)</f>
        <v>Enter 키를 통한 자동 포커스 이동</v>
      </c>
      <c r="AA93" s="4" t="str">
        <f>HYPERLINK(J93,H93)</f>
        <v>Enter 키를 통한 자동 포커스 이동</v>
      </c>
      <c r="AB93" s="39" t="str">
        <f t="shared" si="5"/>
        <v>https://docs.inswave.com/websquare/websquare.html?w2xPath=/support/api/guide/AutoComplete/nextTabByEnter_nextTabID_AutoComplete.xml</v>
      </c>
      <c r="AC93" s="39"/>
      <c r="AD93" s="39"/>
    </row>
    <row r="94" spans="1:30" s="45" customFormat="1" ht="102" x14ac:dyDescent="0.45">
      <c r="A94" s="25">
        <f>SUBTOTAL(3, $T$2:T94)</f>
        <v>38</v>
      </c>
      <c r="B94" s="26" t="s">
        <v>25</v>
      </c>
      <c r="C94" s="27" t="s">
        <v>25</v>
      </c>
      <c r="D94" s="27" t="s">
        <v>4545</v>
      </c>
      <c r="E94" s="28" t="s">
        <v>4546</v>
      </c>
      <c r="F94" s="29" t="s">
        <v>4549</v>
      </c>
      <c r="G94" s="27"/>
      <c r="H94" s="27" t="s">
        <v>4550</v>
      </c>
      <c r="I94" s="75" t="s">
        <v>4621</v>
      </c>
      <c r="J94" s="30" t="s">
        <v>2304</v>
      </c>
      <c r="K94" s="30" t="s">
        <v>2304</v>
      </c>
      <c r="L94" s="31" t="s">
        <v>4540</v>
      </c>
      <c r="M94" s="32"/>
      <c r="N94" s="79"/>
      <c r="O94" s="79"/>
      <c r="P94" s="79"/>
      <c r="Q94" s="79"/>
      <c r="R94" s="79"/>
      <c r="S94" s="79"/>
      <c r="T94" s="33" t="s">
        <v>4249</v>
      </c>
      <c r="U94" s="27" t="s">
        <v>3764</v>
      </c>
      <c r="V94" s="27" t="str">
        <f>CONCATENATE(U94, D94)</f>
        <v>https://example.websquare.kr/websquare/websquare.html?w2xPath=/guide/AutoComplete/searchTargetItemColumns_AutoComplete.xml</v>
      </c>
      <c r="W94" s="27" t="s">
        <v>4512</v>
      </c>
      <c r="X94" s="27" t="str">
        <f>CONCATENATE(W94, D94)</f>
        <v>https://docs.inswave.com/websquare/websquare.html?w2xPath=/support/api/guide/AutoComplete/searchTargetItemColumns_AutoComplete.xml</v>
      </c>
      <c r="Y94" s="34" t="str">
        <f>HYPERLINK(X94, H94)</f>
        <v>GridViewItemset과 바인딩 시 여러 컬럼의 검색 지원</v>
      </c>
      <c r="Z94" s="35" t="str">
        <f>HYPERLINK(V94,H94)</f>
        <v>GridViewItemset과 바인딩 시 여러 컬럼의 검색 지원</v>
      </c>
      <c r="AA94" s="30" t="s">
        <v>2304</v>
      </c>
      <c r="AB94" s="39" t="str">
        <f t="shared" si="5"/>
        <v>https://docs.inswave.com/websquare/websquare.html?w2xPath=/support/api/guide/AutoComplete/searchTargetItemColumns_AutoComplete.xml</v>
      </c>
      <c r="AC94" s="39"/>
      <c r="AD94" s="39"/>
    </row>
    <row r="95" spans="1:30" s="45" customFormat="1" ht="102" x14ac:dyDescent="0.45">
      <c r="A95" s="37">
        <f>SUBTOTAL(3, $T$2:T95)</f>
        <v>39</v>
      </c>
      <c r="B95" s="38" t="s">
        <v>1977</v>
      </c>
      <c r="C95" s="39" t="s">
        <v>1977</v>
      </c>
      <c r="D95" s="39" t="s">
        <v>2037</v>
      </c>
      <c r="E95" s="40" t="s">
        <v>1981</v>
      </c>
      <c r="F95" s="41" t="s">
        <v>1966</v>
      </c>
      <c r="G95" s="39" t="s">
        <v>1973</v>
      </c>
      <c r="H95" s="53" t="s">
        <v>3822</v>
      </c>
      <c r="I95" s="44" t="s">
        <v>1979</v>
      </c>
      <c r="J95" s="14" t="s">
        <v>2038</v>
      </c>
      <c r="K95" s="22" t="s">
        <v>2803</v>
      </c>
      <c r="L95" s="46">
        <v>44958</v>
      </c>
      <c r="M95" s="14"/>
      <c r="N95" s="45" t="s">
        <v>199</v>
      </c>
      <c r="O95" s="45" t="s">
        <v>199</v>
      </c>
      <c r="P95" s="45" t="s">
        <v>199</v>
      </c>
      <c r="Q95" s="45" t="s">
        <v>199</v>
      </c>
      <c r="R95" s="45" t="s">
        <v>199</v>
      </c>
      <c r="S95" s="45" t="s">
        <v>199</v>
      </c>
      <c r="T95" s="47" t="s">
        <v>4247</v>
      </c>
      <c r="U95" s="39" t="s">
        <v>3764</v>
      </c>
      <c r="V95" s="39" t="str">
        <f>CONCATENATE(U95, D95)</f>
        <v>https://example.websquare.kr/websquare/websquare.html?w2xPath=/guide/AutoComplete/setDisplayMode_AutoComplete.xml</v>
      </c>
      <c r="W95" s="39" t="s">
        <v>4512</v>
      </c>
      <c r="X95" s="39" t="str">
        <f>CONCATENATE(W95, D95)</f>
        <v>https://docs.inswave.com/websquare/websquare.html?w2xPath=/support/api/guide/AutoComplete/setDisplayMode_AutoComplete.xml</v>
      </c>
      <c r="Y95" s="48" t="str">
        <f>HYPERLINK(X95, H95)</f>
        <v>Label 및 Value 표시 방법 설정 (동적)</v>
      </c>
      <c r="Z95" s="4" t="str">
        <f>HYPERLINK(V95,H95)</f>
        <v>Label 및 Value 표시 방법 설정 (동적)</v>
      </c>
      <c r="AA95" s="4" t="str">
        <f>HYPERLINK(J95,H95)</f>
        <v>Label 및 Value 표시 방법 설정 (동적)</v>
      </c>
      <c r="AB95" s="39" t="str">
        <f t="shared" si="5"/>
        <v>https://docs.inswave.com/websquare/websquare.html?w2xPath=/support/api/guide/AutoComplete/setDisplayMode_AutoComplete.xml</v>
      </c>
      <c r="AC95" s="39"/>
      <c r="AD95" s="39"/>
    </row>
    <row r="96" spans="1:30" s="45" customFormat="1" ht="102" x14ac:dyDescent="0.45">
      <c r="A96" s="37">
        <f>SUBTOTAL(3, $T$2:T96)</f>
        <v>40</v>
      </c>
      <c r="B96" s="40" t="s">
        <v>25</v>
      </c>
      <c r="C96" s="44" t="s">
        <v>25</v>
      </c>
      <c r="D96" s="39" t="s">
        <v>1628</v>
      </c>
      <c r="E96" s="40" t="s">
        <v>2509</v>
      </c>
      <c r="F96" s="41" t="s">
        <v>2524</v>
      </c>
      <c r="G96" s="44" t="s">
        <v>2506</v>
      </c>
      <c r="H96" s="53" t="s">
        <v>3821</v>
      </c>
      <c r="I96" s="44" t="s">
        <v>1220</v>
      </c>
      <c r="J96" s="14" t="s">
        <v>2510</v>
      </c>
      <c r="K96" s="22" t="s">
        <v>2792</v>
      </c>
      <c r="L96" s="46">
        <v>43709</v>
      </c>
      <c r="M96" s="14"/>
      <c r="N96" s="45" t="s">
        <v>199</v>
      </c>
      <c r="O96" s="45" t="s">
        <v>199</v>
      </c>
      <c r="P96" s="45" t="s">
        <v>199</v>
      </c>
      <c r="Q96" s="45" t="s">
        <v>199</v>
      </c>
      <c r="R96" s="45" t="s">
        <v>199</v>
      </c>
      <c r="S96" s="45" t="s">
        <v>199</v>
      </c>
      <c r="T96" s="47" t="s">
        <v>4247</v>
      </c>
      <c r="U96" s="39" t="s">
        <v>3764</v>
      </c>
      <c r="V96" s="39" t="str">
        <f>CONCATENATE(U96, D96)</f>
        <v>https://example.websquare.kr/websquare/websquare.html?w2xPath=/guide/AutoComplete/displayMode_delimiter_AutoComplete.xml</v>
      </c>
      <c r="W96" s="39" t="s">
        <v>4512</v>
      </c>
      <c r="X96" s="39" t="str">
        <f>CONCATENATE(W96, D96)</f>
        <v>https://docs.inswave.com/websquare/websquare.html?w2xPath=/support/api/guide/AutoComplete/displayMode_delimiter_AutoComplete.xml</v>
      </c>
      <c r="Y96" s="48" t="str">
        <f>HYPERLINK(X96, H96)</f>
        <v>Label 및 Value 표시 방법 설정 (정적)</v>
      </c>
      <c r="Z96" s="4" t="str">
        <f>HYPERLINK(V96,H96)</f>
        <v>Label 및 Value 표시 방법 설정 (정적)</v>
      </c>
      <c r="AA96" s="4" t="str">
        <f>HYPERLINK(J96,H96)</f>
        <v>Label 및 Value 표시 방법 설정 (정적)</v>
      </c>
      <c r="AB96" s="39" t="str">
        <f t="shared" si="5"/>
        <v>https://docs.inswave.com/websquare/websquare.html?w2xPath=/support/api/guide/AutoComplete/displayMode_delimiter_AutoComplete.xml</v>
      </c>
      <c r="AC96" s="39"/>
      <c r="AD96" s="39"/>
    </row>
    <row r="97" spans="1:30" s="45" customFormat="1" ht="102" x14ac:dyDescent="0.45">
      <c r="A97" s="37">
        <f>SUBTOTAL(3, $T$2:T97)</f>
        <v>41</v>
      </c>
      <c r="B97" s="38" t="s">
        <v>1977</v>
      </c>
      <c r="C97" s="39" t="s">
        <v>1977</v>
      </c>
      <c r="D97" s="39" t="s">
        <v>2036</v>
      </c>
      <c r="E97" s="40" t="s">
        <v>1982</v>
      </c>
      <c r="F97" s="41" t="s">
        <v>1965</v>
      </c>
      <c r="G97" s="39" t="s">
        <v>1989</v>
      </c>
      <c r="H97" s="53" t="s">
        <v>3811</v>
      </c>
      <c r="I97" s="44" t="s">
        <v>1980</v>
      </c>
      <c r="J97" s="14" t="s">
        <v>2039</v>
      </c>
      <c r="K97" s="22" t="s">
        <v>2802</v>
      </c>
      <c r="L97" s="46">
        <v>44958</v>
      </c>
      <c r="M97" s="14"/>
      <c r="N97" s="45" t="s">
        <v>199</v>
      </c>
      <c r="O97" s="45" t="s">
        <v>199</v>
      </c>
      <c r="P97" s="45" t="s">
        <v>199</v>
      </c>
      <c r="Q97" s="45" t="s">
        <v>199</v>
      </c>
      <c r="R97" s="45" t="s">
        <v>199</v>
      </c>
      <c r="S97" s="45" t="s">
        <v>199</v>
      </c>
      <c r="T97" s="47" t="s">
        <v>4247</v>
      </c>
      <c r="U97" s="39" t="s">
        <v>3764</v>
      </c>
      <c r="V97" s="39" t="str">
        <f>CONCATENATE(U97, D97)</f>
        <v>https://example.websquare.kr/websquare/websquare.html?w2xPath=/guide/AutoComplete/setDelimiter_AutoComplete.xml</v>
      </c>
      <c r="W97" s="39" t="s">
        <v>4512</v>
      </c>
      <c r="X97" s="39" t="str">
        <f>CONCATENATE(W97, D97)</f>
        <v>https://docs.inswave.com/websquare/websquare.html?w2xPath=/support/api/guide/AutoComplete/setDelimiter_AutoComplete.xml</v>
      </c>
      <c r="Y97" s="48" t="str">
        <f>HYPERLINK(X97, H97)</f>
        <v>구분자 동적 설정</v>
      </c>
      <c r="Z97" s="4" t="str">
        <f>HYPERLINK(V97,H97)</f>
        <v>구분자 동적 설정</v>
      </c>
      <c r="AA97" s="4" t="str">
        <f>HYPERLINK(J97,H97)</f>
        <v>구분자 동적 설정</v>
      </c>
      <c r="AB97" s="39" t="str">
        <f t="shared" si="5"/>
        <v>https://docs.inswave.com/websquare/websquare.html?w2xPath=/support/api/guide/AutoComplete/setDelimiter_AutoComplete.xml</v>
      </c>
      <c r="AC97" s="39"/>
      <c r="AD97" s="39"/>
    </row>
    <row r="98" spans="1:30" s="45" customFormat="1" ht="102" x14ac:dyDescent="0.45">
      <c r="A98" s="37">
        <f>SUBTOTAL(3, $T$2:T98)</f>
        <v>42</v>
      </c>
      <c r="B98" s="38" t="s">
        <v>25</v>
      </c>
      <c r="C98" s="39" t="s">
        <v>25</v>
      </c>
      <c r="D98" s="39" t="s">
        <v>265</v>
      </c>
      <c r="E98" s="57" t="s">
        <v>3694</v>
      </c>
      <c r="F98" s="41" t="s">
        <v>147</v>
      </c>
      <c r="G98" s="39" t="s">
        <v>85</v>
      </c>
      <c r="H98" s="53" t="s">
        <v>85</v>
      </c>
      <c r="I98" s="44" t="s">
        <v>239</v>
      </c>
      <c r="J98" s="14" t="s">
        <v>83</v>
      </c>
      <c r="K98" s="22" t="s">
        <v>2791</v>
      </c>
      <c r="L98" s="46">
        <v>44378</v>
      </c>
      <c r="M98" s="14"/>
      <c r="N98" s="45" t="s">
        <v>199</v>
      </c>
      <c r="O98" s="45" t="s">
        <v>199</v>
      </c>
      <c r="P98" s="45" t="s">
        <v>199</v>
      </c>
      <c r="Q98" s="45" t="s">
        <v>199</v>
      </c>
      <c r="R98" s="45" t="s">
        <v>199</v>
      </c>
      <c r="S98" s="45" t="s">
        <v>199</v>
      </c>
      <c r="T98" s="47" t="s">
        <v>4247</v>
      </c>
      <c r="U98" s="39" t="s">
        <v>3764</v>
      </c>
      <c r="V98" s="39" t="str">
        <f>CONCATENATE(U98, D98)</f>
        <v>https://example.websquare.kr/websquare/websquare.html?w2xPath=/guide/AutoComplete/caseSensitive_search_useKeywordHighlight_AutoComplete.xml</v>
      </c>
      <c r="W98" s="39" t="s">
        <v>4512</v>
      </c>
      <c r="X98" s="39" t="str">
        <f>CONCATENATE(W98, D98)</f>
        <v>https://docs.inswave.com/websquare/websquare.html?w2xPath=/support/api/guide/AutoComplete/caseSensitive_search_useKeywordHighlight_AutoComplete.xml</v>
      </c>
      <c r="Y98" s="48" t="str">
        <f>HYPERLINK(X98, H98)</f>
        <v>대소문자 구분 검색</v>
      </c>
      <c r="Z98" s="4" t="str">
        <f>HYPERLINK(V98,H98)</f>
        <v>대소문자 구분 검색</v>
      </c>
      <c r="AA98" s="4" t="str">
        <f>HYPERLINK(J98,H98)</f>
        <v>대소문자 구분 검색</v>
      </c>
      <c r="AB98" s="39" t="str">
        <f t="shared" si="5"/>
        <v>https://docs.inswave.com/websquare/websquare.html?w2xPath=/support/api/guide/AutoComplete/caseSensitive_search_useKeywordHighlight_AutoComplete.xml</v>
      </c>
      <c r="AC98" s="39"/>
      <c r="AD98" s="39"/>
    </row>
    <row r="99" spans="1:30" s="45" customFormat="1" ht="102" x14ac:dyDescent="0.45">
      <c r="A99" s="37">
        <f>SUBTOTAL(3, $T$2:T99)</f>
        <v>43</v>
      </c>
      <c r="B99" s="38" t="s">
        <v>25</v>
      </c>
      <c r="C99" s="39" t="s">
        <v>25</v>
      </c>
      <c r="D99" s="39" t="s">
        <v>1358</v>
      </c>
      <c r="E99" s="40" t="s">
        <v>2332</v>
      </c>
      <c r="F99" s="41" t="s">
        <v>2348</v>
      </c>
      <c r="G99" s="39" t="s">
        <v>1350</v>
      </c>
      <c r="H99" s="53" t="s">
        <v>3810</v>
      </c>
      <c r="I99" s="44" t="s">
        <v>1328</v>
      </c>
      <c r="J99" s="14" t="s">
        <v>2336</v>
      </c>
      <c r="K99" s="22" t="s">
        <v>2806</v>
      </c>
      <c r="L99" s="46">
        <v>43800</v>
      </c>
      <c r="M99" s="14"/>
      <c r="N99" s="45" t="s">
        <v>199</v>
      </c>
      <c r="O99" s="45" t="s">
        <v>199</v>
      </c>
      <c r="P99" s="45" t="s">
        <v>199</v>
      </c>
      <c r="Q99" s="45" t="s">
        <v>199</v>
      </c>
      <c r="R99" s="45" t="s">
        <v>199</v>
      </c>
      <c r="S99" s="45" t="s">
        <v>199</v>
      </c>
      <c r="T99" s="47" t="s">
        <v>4247</v>
      </c>
      <c r="U99" s="39" t="s">
        <v>3764</v>
      </c>
      <c r="V99" s="39" t="str">
        <f>CONCATENATE(U99, D99)</f>
        <v>https://example.websquare.kr/websquare/websquare.html?w2xPath=/guide/AutoComplete/validate_mandatory_AutoComplete.xml</v>
      </c>
      <c r="W99" s="39" t="s">
        <v>4512</v>
      </c>
      <c r="X99" s="39" t="str">
        <f>CONCATENATE(W99, D99)</f>
        <v>https://docs.inswave.com/websquare/websquare.html?w2xPath=/support/api/guide/AutoComplete/validate_mandatory_AutoComplete.xml</v>
      </c>
      <c r="Y99" s="48" t="str">
        <f>HYPERLINK(X99, H99)</f>
        <v>데이터 입력 여부 검증</v>
      </c>
      <c r="Z99" s="4" t="str">
        <f>HYPERLINK(V99,H99)</f>
        <v>데이터 입력 여부 검증</v>
      </c>
      <c r="AA99" s="4" t="str">
        <f>HYPERLINK(J99,H99)</f>
        <v>데이터 입력 여부 검증</v>
      </c>
      <c r="AB99" s="39" t="str">
        <f t="shared" si="5"/>
        <v>https://docs.inswave.com/websquare/websquare.html?w2xPath=/support/api/guide/AutoComplete/validate_mandatory_AutoComplete.xml</v>
      </c>
      <c r="AC99" s="39"/>
      <c r="AD99" s="39"/>
    </row>
    <row r="100" spans="1:30" s="45" customFormat="1" ht="102" x14ac:dyDescent="0.45">
      <c r="A100" s="25">
        <f>SUBTOTAL(3, $T$2:T100)</f>
        <v>44</v>
      </c>
      <c r="B100" s="26" t="s">
        <v>25</v>
      </c>
      <c r="C100" s="27" t="s">
        <v>25</v>
      </c>
      <c r="D100" s="27" t="s">
        <v>4553</v>
      </c>
      <c r="E100" s="28" t="s">
        <v>4554</v>
      </c>
      <c r="F100" s="28" t="s">
        <v>4555</v>
      </c>
      <c r="G100" s="27" t="s">
        <v>1684</v>
      </c>
      <c r="H100" s="36" t="s">
        <v>3867</v>
      </c>
      <c r="I100" s="75" t="s">
        <v>4622</v>
      </c>
      <c r="J100" s="30" t="s">
        <v>2304</v>
      </c>
      <c r="K100" s="30" t="s">
        <v>2304</v>
      </c>
      <c r="L100" s="31" t="s">
        <v>4540</v>
      </c>
      <c r="M100" s="32"/>
      <c r="N100" s="79"/>
      <c r="O100" s="79"/>
      <c r="P100" s="79"/>
      <c r="Q100" s="79"/>
      <c r="R100" s="79"/>
      <c r="S100" s="79"/>
      <c r="T100" s="33" t="s">
        <v>4249</v>
      </c>
      <c r="U100" s="27" t="s">
        <v>3764</v>
      </c>
      <c r="V100" s="27" t="str">
        <f>CONCATENATE(U100, D100)</f>
        <v>https://example.websquare.kr/websquare/websquare.html?w2xPath=/guide/AutoComplete/valueNotInList_AutoComplete.xml</v>
      </c>
      <c r="W100" s="27" t="s">
        <v>4512</v>
      </c>
      <c r="X100" s="27" t="str">
        <f>CONCATENATE(W100, D100)</f>
        <v>https://docs.inswave.com/websquare/websquare.html?w2xPath=/support/api/guide/AutoComplete/valueNotInList_AutoComplete.xml</v>
      </c>
      <c r="Y100" s="34" t="str">
        <f>HYPERLINK(X100, H100)</f>
        <v>목록에 없는 값의 처리</v>
      </c>
      <c r="Z100" s="35" t="str">
        <f>HYPERLINK(V100,H100)</f>
        <v>목록에 없는 값의 처리</v>
      </c>
      <c r="AA100" s="27"/>
      <c r="AB100" s="39" t="str">
        <f t="shared" si="5"/>
        <v>https://docs.inswave.com/websquare/websquare.html?w2xPath=/support/api/guide/AutoComplete/valueNotInList_AutoComplete.xml</v>
      </c>
      <c r="AC100" s="39"/>
      <c r="AD100" s="39"/>
    </row>
    <row r="101" spans="1:30" s="45" customFormat="1" ht="102" x14ac:dyDescent="0.45">
      <c r="A101" s="37">
        <f>SUBTOTAL(3, $T$2:T101)</f>
        <v>45</v>
      </c>
      <c r="B101" s="38" t="s">
        <v>25</v>
      </c>
      <c r="C101" s="39" t="s">
        <v>25</v>
      </c>
      <c r="D101" s="39" t="s">
        <v>1725</v>
      </c>
      <c r="E101" s="40" t="s">
        <v>1724</v>
      </c>
      <c r="F101" s="41" t="s">
        <v>1727</v>
      </c>
      <c r="G101" s="39" t="s">
        <v>1723</v>
      </c>
      <c r="H101" s="53" t="s">
        <v>3812</v>
      </c>
      <c r="I101" s="44" t="s">
        <v>1722</v>
      </c>
      <c r="J101" s="14" t="s">
        <v>1726</v>
      </c>
      <c r="K101" s="22" t="s">
        <v>2805</v>
      </c>
      <c r="L101" s="46">
        <v>44774</v>
      </c>
      <c r="M101" s="14"/>
      <c r="N101" s="45" t="s">
        <v>199</v>
      </c>
      <c r="O101" s="45" t="s">
        <v>199</v>
      </c>
      <c r="P101" s="45" t="s">
        <v>199</v>
      </c>
      <c r="Q101" s="45" t="s">
        <v>199</v>
      </c>
      <c r="R101" s="45" t="s">
        <v>199</v>
      </c>
      <c r="S101" s="45" t="s">
        <v>199</v>
      </c>
      <c r="T101" s="47" t="s">
        <v>4247</v>
      </c>
      <c r="U101" s="39" t="s">
        <v>3764</v>
      </c>
      <c r="V101" s="39" t="str">
        <f>CONCATENATE(U101, D101)</f>
        <v>https://example.websquare.kr/websquare/websquare.html?w2xPath=/guide/AutoComplete/showChooseOption_changeChooseOption_AutoComplete.xml</v>
      </c>
      <c r="W101" s="39" t="s">
        <v>4512</v>
      </c>
      <c r="X101" s="39" t="str">
        <f>CONCATENATE(W101, D101)</f>
        <v>https://docs.inswave.com/websquare/websquare.html?w2xPath=/support/api/guide/AutoComplete/showChooseOption_changeChooseOption_AutoComplete.xml</v>
      </c>
      <c r="Y101" s="48" t="str">
        <f>HYPERLINK(X101, H101)</f>
        <v>선택 안내 메시지 설정</v>
      </c>
      <c r="Z101" s="4" t="str">
        <f>HYPERLINK(V101,H101)</f>
        <v>선택 안내 메시지 설정</v>
      </c>
      <c r="AA101" s="4" t="str">
        <f>HYPERLINK(J101,H101)</f>
        <v>선택 안내 메시지 설정</v>
      </c>
      <c r="AB101" s="39" t="str">
        <f t="shared" si="5"/>
        <v>https://docs.inswave.com/websquare/websquare.html?w2xPath=/support/api/guide/AutoComplete/showChooseOption_changeChooseOption_AutoComplete.xml</v>
      </c>
      <c r="AC101" s="39"/>
      <c r="AD101" s="39"/>
    </row>
    <row r="102" spans="1:30" s="45" customFormat="1" ht="102" x14ac:dyDescent="0.45">
      <c r="A102" s="37">
        <f>SUBTOTAL(3, $T$2:T102)</f>
        <v>46</v>
      </c>
      <c r="B102" s="38" t="s">
        <v>1977</v>
      </c>
      <c r="C102" s="39" t="s">
        <v>1977</v>
      </c>
      <c r="D102" s="39" t="s">
        <v>3267</v>
      </c>
      <c r="E102" s="40" t="s">
        <v>3259</v>
      </c>
      <c r="F102" s="41" t="s">
        <v>3258</v>
      </c>
      <c r="G102" s="39" t="s">
        <v>3266</v>
      </c>
      <c r="H102" s="49" t="s">
        <v>3794</v>
      </c>
      <c r="I102" s="39" t="s">
        <v>3260</v>
      </c>
      <c r="J102" s="14" t="s">
        <v>3272</v>
      </c>
      <c r="K102" s="23" t="s">
        <v>3268</v>
      </c>
      <c r="L102" s="46">
        <v>45505</v>
      </c>
      <c r="Q102" s="45" t="s">
        <v>199</v>
      </c>
      <c r="R102" s="45" t="s">
        <v>199</v>
      </c>
      <c r="S102" s="45" t="s">
        <v>199</v>
      </c>
      <c r="T102" s="47" t="s">
        <v>4247</v>
      </c>
      <c r="U102" s="39" t="s">
        <v>3764</v>
      </c>
      <c r="V102" s="39" t="str">
        <f>CONCATENATE(U102, D102)</f>
        <v>https://example.websquare.kr/websquare/websquare.html?w2xPath=/guide/AutoComplete/appearance_AutoComplete.xml</v>
      </c>
      <c r="W102" s="39" t="s">
        <v>4512</v>
      </c>
      <c r="X102" s="39" t="str">
        <f>CONCATENATE(W102, D102)</f>
        <v>https://docs.inswave.com/websquare/websquare.html?w2xPath=/support/api/guide/AutoComplete/appearance_AutoComplete.xml</v>
      </c>
      <c r="Y102" s="48" t="str">
        <f>HYPERLINK(X102, H102)</f>
        <v>선택 항목 목록의 화살표 표시/숨김</v>
      </c>
      <c r="Z102" s="4" t="str">
        <f>HYPERLINK(V102,H102)</f>
        <v>선택 항목 목록의 화살표 표시/숨김</v>
      </c>
      <c r="AA102" s="4" t="str">
        <f>HYPERLINK(J102,H102)</f>
        <v>선택 항목 목록의 화살표 표시/숨김</v>
      </c>
      <c r="AB102" s="39" t="str">
        <f t="shared" si="5"/>
        <v>https://docs.inswave.com/websquare/websquare.html?w2xPath=/support/api/guide/AutoComplete/appearance_AutoComplete.xml</v>
      </c>
      <c r="AC102" s="39"/>
      <c r="AD102" s="39"/>
    </row>
    <row r="103" spans="1:30" s="45" customFormat="1" ht="102" x14ac:dyDescent="0.45">
      <c r="A103" s="37">
        <f>SUBTOTAL(3, $T$2:T103)</f>
        <v>47</v>
      </c>
      <c r="B103" s="40" t="s">
        <v>1977</v>
      </c>
      <c r="C103" s="40" t="s">
        <v>1977</v>
      </c>
      <c r="D103" s="39" t="s">
        <v>3404</v>
      </c>
      <c r="E103" s="41" t="s">
        <v>3394</v>
      </c>
      <c r="F103" s="41" t="s">
        <v>3393</v>
      </c>
      <c r="G103" s="44" t="s">
        <v>3403</v>
      </c>
      <c r="H103" s="53" t="s">
        <v>3805</v>
      </c>
      <c r="I103" s="39" t="s">
        <v>3395</v>
      </c>
      <c r="J103" s="14" t="s">
        <v>3406</v>
      </c>
      <c r="K103" s="23" t="s">
        <v>3405</v>
      </c>
      <c r="L103" s="46">
        <v>45627</v>
      </c>
      <c r="M103" s="45" t="s">
        <v>200</v>
      </c>
      <c r="T103" s="47" t="s">
        <v>4247</v>
      </c>
      <c r="U103" s="39" t="s">
        <v>3764</v>
      </c>
      <c r="V103" s="39" t="str">
        <f>CONCATENATE(U103, D103)</f>
        <v>https://example.websquare.kr/websquare/websquare.html?w2xPath=/guide/AutoComplete/onbeforeselect_AutoComplete.xml</v>
      </c>
      <c r="W103" s="39" t="s">
        <v>4512</v>
      </c>
      <c r="X103" s="39" t="str">
        <f>CONCATENATE(W103, D103)</f>
        <v>https://docs.inswave.com/websquare/websquare.html?w2xPath=/support/api/guide/AutoComplete/onbeforeselect_AutoComplete.xml</v>
      </c>
      <c r="Y103" s="48" t="str">
        <f>HYPERLINK(X103, H103)</f>
        <v>이벤트 - onbeforeselect</v>
      </c>
      <c r="Z103" s="4" t="str">
        <f>HYPERLINK(V103,H103)</f>
        <v>이벤트 - onbeforeselect</v>
      </c>
      <c r="AA103" s="4" t="str">
        <f>HYPERLINK(J103,H103)</f>
        <v>이벤트 - onbeforeselect</v>
      </c>
      <c r="AB103" s="39" t="str">
        <f t="shared" si="5"/>
        <v>https://docs.inswave.com/websquare/websquare.html?w2xPath=/support/api/guide/AutoComplete/onbeforeselect_AutoComplete.xml</v>
      </c>
      <c r="AC103" s="39"/>
      <c r="AD103" s="39"/>
    </row>
    <row r="104" spans="1:30" s="45" customFormat="1" ht="102" x14ac:dyDescent="0.45">
      <c r="A104" s="37">
        <f>SUBTOTAL(3, $T$2:T104)</f>
        <v>48</v>
      </c>
      <c r="B104" s="38" t="s">
        <v>25</v>
      </c>
      <c r="C104" s="39" t="s">
        <v>25</v>
      </c>
      <c r="D104" s="39" t="s">
        <v>882</v>
      </c>
      <c r="E104" s="40" t="s">
        <v>881</v>
      </c>
      <c r="F104" s="41" t="s">
        <v>835</v>
      </c>
      <c r="G104" s="39" t="s">
        <v>836</v>
      </c>
      <c r="H104" s="53" t="s">
        <v>3804</v>
      </c>
      <c r="I104" s="44" t="s">
        <v>50</v>
      </c>
      <c r="J104" s="14" t="s">
        <v>834</v>
      </c>
      <c r="K104" s="22" t="s">
        <v>2796</v>
      </c>
      <c r="L104" s="46">
        <v>44166</v>
      </c>
      <c r="M104" s="45" t="s">
        <v>200</v>
      </c>
      <c r="N104" s="45" t="s">
        <v>199</v>
      </c>
      <c r="O104" s="45" t="s">
        <v>199</v>
      </c>
      <c r="P104" s="47" t="s">
        <v>199</v>
      </c>
      <c r="Q104" s="45" t="s">
        <v>199</v>
      </c>
      <c r="R104" s="45" t="s">
        <v>199</v>
      </c>
      <c r="S104" s="45" t="s">
        <v>199</v>
      </c>
      <c r="T104" s="47" t="s">
        <v>4247</v>
      </c>
      <c r="U104" s="39" t="s">
        <v>3764</v>
      </c>
      <c r="V104" s="39" t="str">
        <f>CONCATENATE(U104, D104)</f>
        <v>https://example.websquare.kr/websquare/websquare.html?w2xPath=/guide/AutoComplete/onchange_AutoComplete.xml</v>
      </c>
      <c r="W104" s="39" t="s">
        <v>4512</v>
      </c>
      <c r="X104" s="39" t="str">
        <f>CONCATENATE(W104, D104)</f>
        <v>https://docs.inswave.com/websquare/websquare.html?w2xPath=/support/api/guide/AutoComplete/onchange_AutoComplete.xml</v>
      </c>
      <c r="Y104" s="48" t="str">
        <f>HYPERLINK(X104, H104)</f>
        <v>이벤트 - onchange</v>
      </c>
      <c r="Z104" s="4" t="str">
        <f>HYPERLINK(V104,H104)</f>
        <v>이벤트 - onchange</v>
      </c>
      <c r="AA104" s="4" t="str">
        <f>HYPERLINK(J104,H104)</f>
        <v>이벤트 - onchange</v>
      </c>
      <c r="AB104" s="39" t="str">
        <f t="shared" si="5"/>
        <v>https://docs.inswave.com/websquare/websquare.html?w2xPath=/support/api/guide/AutoComplete/onchange_AutoComplete.xml</v>
      </c>
      <c r="AC104" s="39"/>
      <c r="AD104" s="39"/>
    </row>
    <row r="105" spans="1:30" s="39" customFormat="1" ht="102" x14ac:dyDescent="0.45">
      <c r="A105" s="37">
        <f>SUBTOTAL(3, $T$2:T105)</f>
        <v>49</v>
      </c>
      <c r="B105" s="38" t="s">
        <v>25</v>
      </c>
      <c r="C105" s="39" t="s">
        <v>25</v>
      </c>
      <c r="D105" s="39" t="s">
        <v>439</v>
      </c>
      <c r="E105" s="40" t="s">
        <v>409</v>
      </c>
      <c r="F105" s="41" t="s">
        <v>438</v>
      </c>
      <c r="G105" s="39" t="s">
        <v>428</v>
      </c>
      <c r="H105" s="53" t="s">
        <v>3802</v>
      </c>
      <c r="I105" s="44" t="s">
        <v>60</v>
      </c>
      <c r="J105" s="14" t="s">
        <v>437</v>
      </c>
      <c r="K105" s="22" t="s">
        <v>2797</v>
      </c>
      <c r="L105" s="46">
        <v>44228</v>
      </c>
      <c r="M105" s="14"/>
      <c r="N105" s="45" t="s">
        <v>199</v>
      </c>
      <c r="O105" s="45" t="s">
        <v>199</v>
      </c>
      <c r="P105" s="45" t="s">
        <v>199</v>
      </c>
      <c r="Q105" s="45" t="s">
        <v>199</v>
      </c>
      <c r="R105" s="45" t="s">
        <v>199</v>
      </c>
      <c r="S105" s="45" t="s">
        <v>199</v>
      </c>
      <c r="T105" s="47" t="s">
        <v>4247</v>
      </c>
      <c r="U105" s="39" t="s">
        <v>3764</v>
      </c>
      <c r="V105" s="39" t="str">
        <f>CONCATENATE(U105, D105)</f>
        <v>https://example.websquare.kr/websquare/websquare.html?w2xPath=/guide/AutoComplete/oneditenter_AutoComplete.xml</v>
      </c>
      <c r="W105" s="39" t="s">
        <v>4512</v>
      </c>
      <c r="X105" s="39" t="str">
        <f>CONCATENATE(W105, D105)</f>
        <v>https://docs.inswave.com/websquare/websquare.html?w2xPath=/support/api/guide/AutoComplete/oneditenter_AutoComplete.xml</v>
      </c>
      <c r="Y105" s="48" t="str">
        <f>HYPERLINK(X105, H105)</f>
        <v>이벤트 - oneditenter</v>
      </c>
      <c r="Z105" s="4" t="str">
        <f>HYPERLINK(V105,H105)</f>
        <v>이벤트 - oneditenter</v>
      </c>
      <c r="AA105" s="4" t="str">
        <f>HYPERLINK(J105,H105)</f>
        <v>이벤트 - oneditenter</v>
      </c>
      <c r="AB105" s="39" t="str">
        <f t="shared" si="5"/>
        <v>https://docs.inswave.com/websquare/websquare.html?w2xPath=/support/api/guide/AutoComplete/oneditenter_AutoComplete.xml</v>
      </c>
    </row>
    <row r="106" spans="1:30" s="39" customFormat="1" ht="102" x14ac:dyDescent="0.45">
      <c r="A106" s="37">
        <f>SUBTOTAL(3, $T$2:T106)</f>
        <v>50</v>
      </c>
      <c r="B106" s="38" t="s">
        <v>25</v>
      </c>
      <c r="C106" s="39" t="s">
        <v>25</v>
      </c>
      <c r="D106" s="39" t="s">
        <v>432</v>
      </c>
      <c r="E106" s="40" t="s">
        <v>3236</v>
      </c>
      <c r="F106" s="41" t="s">
        <v>430</v>
      </c>
      <c r="G106" s="39" t="s">
        <v>431</v>
      </c>
      <c r="H106" s="53" t="s">
        <v>3801</v>
      </c>
      <c r="I106" s="44" t="s">
        <v>451</v>
      </c>
      <c r="J106" s="14" t="s">
        <v>429</v>
      </c>
      <c r="K106" s="22" t="s">
        <v>2798</v>
      </c>
      <c r="L106" s="46">
        <v>44228</v>
      </c>
      <c r="M106" s="14"/>
      <c r="N106" s="45" t="s">
        <v>199</v>
      </c>
      <c r="O106" s="45" t="s">
        <v>199</v>
      </c>
      <c r="P106" s="45" t="s">
        <v>199</v>
      </c>
      <c r="Q106" s="45" t="s">
        <v>199</v>
      </c>
      <c r="R106" s="45" t="s">
        <v>199</v>
      </c>
      <c r="S106" s="45" t="s">
        <v>199</v>
      </c>
      <c r="T106" s="47" t="s">
        <v>4247</v>
      </c>
      <c r="U106" s="39" t="s">
        <v>3764</v>
      </c>
      <c r="V106" s="39" t="str">
        <f>CONCATENATE(U106, D106)</f>
        <v>https://example.websquare.kr/websquare/websquare.html?w2xPath=/guide/AutoComplete/oneditkeyup_AutoComplete.xml</v>
      </c>
      <c r="W106" s="39" t="s">
        <v>4512</v>
      </c>
      <c r="X106" s="39" t="str">
        <f>CONCATENATE(W106, D106)</f>
        <v>https://docs.inswave.com/websquare/websquare.html?w2xPath=/support/api/guide/AutoComplete/oneditkeyup_AutoComplete.xml</v>
      </c>
      <c r="Y106" s="48" t="str">
        <f>HYPERLINK(X106, H106)</f>
        <v>이벤트 - oneditkeyup</v>
      </c>
      <c r="Z106" s="4" t="str">
        <f>HYPERLINK(V106,H106)</f>
        <v>이벤트 - oneditkeyup</v>
      </c>
      <c r="AA106" s="4" t="str">
        <f>HYPERLINK(J106,H106)</f>
        <v>이벤트 - oneditkeyup</v>
      </c>
      <c r="AB106" s="39" t="str">
        <f t="shared" si="5"/>
        <v>https://docs.inswave.com/websquare/websquare.html?w2xPath=/support/api/guide/AutoComplete/oneditkeyup_AutoComplete.xml</v>
      </c>
    </row>
    <row r="107" spans="1:30" s="39" customFormat="1" ht="102" x14ac:dyDescent="0.45">
      <c r="A107" s="37">
        <f>SUBTOTAL(3, $T$2:T107)</f>
        <v>51</v>
      </c>
      <c r="B107" s="38" t="s">
        <v>25</v>
      </c>
      <c r="C107" s="39" t="s">
        <v>25</v>
      </c>
      <c r="D107" s="39" t="s">
        <v>264</v>
      </c>
      <c r="E107" s="57" t="s">
        <v>222</v>
      </c>
      <c r="F107" s="41" t="s">
        <v>173</v>
      </c>
      <c r="G107" s="39" t="s">
        <v>3850</v>
      </c>
      <c r="H107" s="53" t="s">
        <v>4487</v>
      </c>
      <c r="I107" s="44" t="s">
        <v>2498</v>
      </c>
      <c r="J107" s="14" t="s">
        <v>340</v>
      </c>
      <c r="K107" s="22" t="s">
        <v>2799</v>
      </c>
      <c r="L107" s="46">
        <v>44348</v>
      </c>
      <c r="M107" s="14"/>
      <c r="N107" s="45" t="s">
        <v>199</v>
      </c>
      <c r="O107" s="45" t="s">
        <v>199</v>
      </c>
      <c r="P107" s="45" t="s">
        <v>199</v>
      </c>
      <c r="Q107" s="45" t="s">
        <v>199</v>
      </c>
      <c r="R107" s="45" t="s">
        <v>199</v>
      </c>
      <c r="S107" s="45" t="s">
        <v>199</v>
      </c>
      <c r="T107" s="47" t="s">
        <v>4247</v>
      </c>
      <c r="U107" s="39" t="s">
        <v>3764</v>
      </c>
      <c r="V107" s="39" t="str">
        <f>CONCATENATE(U107, D107)</f>
        <v>https://example.websquare.kr/websquare/websquare.html?w2xPath=/guide/AutoComplete/onselected_AutoComplete.xml</v>
      </c>
      <c r="W107" s="39" t="s">
        <v>4512</v>
      </c>
      <c r="X107" s="39" t="str">
        <f>CONCATENATE(W107, D107)</f>
        <v>https://docs.inswave.com/websquare/websquare.html?w2xPath=/support/api/guide/AutoComplete/onselected_AutoComplete.xml</v>
      </c>
      <c r="Y107" s="48" t="str">
        <f>HYPERLINK(X107, H107)</f>
        <v>이벤트 - onitemclick &amp; onselected</v>
      </c>
      <c r="Z107" s="4" t="str">
        <f>HYPERLINK(V107,H107)</f>
        <v>이벤트 - onitemclick &amp; onselected</v>
      </c>
      <c r="AA107" s="4" t="str">
        <f>HYPERLINK(J107,H107)</f>
        <v>이벤트 - onitemclick &amp; onselected</v>
      </c>
      <c r="AB107" s="39" t="str">
        <f t="shared" si="5"/>
        <v>https://docs.inswave.com/websquare/websquare.html?w2xPath=/support/api/guide/AutoComplete/onselected_AutoComplete.xml</v>
      </c>
    </row>
    <row r="108" spans="1:30" s="39" customFormat="1" ht="102" x14ac:dyDescent="0.45">
      <c r="A108" s="37">
        <f>SUBTOTAL(3, $T$2:T108)</f>
        <v>52</v>
      </c>
      <c r="B108" s="38" t="s">
        <v>1977</v>
      </c>
      <c r="C108" s="39" t="s">
        <v>25</v>
      </c>
      <c r="D108" s="39" t="s">
        <v>2356</v>
      </c>
      <c r="E108" s="40" t="s">
        <v>2218</v>
      </c>
      <c r="F108" s="41" t="s">
        <v>2352</v>
      </c>
      <c r="G108" s="39" t="s">
        <v>3848</v>
      </c>
      <c r="H108" s="53" t="s">
        <v>3803</v>
      </c>
      <c r="I108" s="44" t="s">
        <v>2147</v>
      </c>
      <c r="J108" s="14" t="s">
        <v>2358</v>
      </c>
      <c r="K108" s="22" t="s">
        <v>2800</v>
      </c>
      <c r="L108" s="46">
        <v>45139</v>
      </c>
      <c r="M108" s="46" t="s">
        <v>199</v>
      </c>
      <c r="N108" s="45" t="s">
        <v>199</v>
      </c>
      <c r="O108" s="45" t="s">
        <v>199</v>
      </c>
      <c r="P108" s="45" t="s">
        <v>199</v>
      </c>
      <c r="Q108" s="45" t="s">
        <v>199</v>
      </c>
      <c r="R108" s="45" t="s">
        <v>199</v>
      </c>
      <c r="S108" s="45" t="s">
        <v>199</v>
      </c>
      <c r="T108" s="47" t="s">
        <v>4247</v>
      </c>
      <c r="U108" s="39" t="s">
        <v>3764</v>
      </c>
      <c r="V108" s="39" t="str">
        <f>CONCATENATE(U108, D108)</f>
        <v>https://example.websquare.kr/websquare/websquare.html?w2xPath=/guide/AutoComplete/onviewchange_AutoComplete.xml</v>
      </c>
      <c r="W108" s="39" t="s">
        <v>4512</v>
      </c>
      <c r="X108" s="39" t="str">
        <f>CONCATENATE(W108, D108)</f>
        <v>https://docs.inswave.com/websquare/websquare.html?w2xPath=/support/api/guide/AutoComplete/onviewchange_AutoComplete.xml</v>
      </c>
      <c r="Y108" s="48" t="str">
        <f>HYPERLINK(X108, H108)</f>
        <v>이벤트 - onviewchange</v>
      </c>
      <c r="Z108" s="4" t="str">
        <f>HYPERLINK(V108,H108)</f>
        <v>이벤트 - onviewchange</v>
      </c>
      <c r="AA108" s="4" t="str">
        <f>HYPERLINK(J108,H108)</f>
        <v>이벤트 - onviewchange</v>
      </c>
      <c r="AB108" s="39" t="str">
        <f t="shared" si="5"/>
        <v>https://docs.inswave.com/websquare/websquare.html?w2xPath=/support/api/guide/AutoComplete/onviewchange_AutoComplete.xml</v>
      </c>
    </row>
    <row r="109" spans="1:30" s="39" customFormat="1" ht="102" x14ac:dyDescent="0.45">
      <c r="A109" s="37">
        <f>SUBTOTAL(3, $T$2:T109)</f>
        <v>53</v>
      </c>
      <c r="B109" s="38" t="s">
        <v>25</v>
      </c>
      <c r="C109" s="39" t="s">
        <v>25</v>
      </c>
      <c r="D109" s="39" t="s">
        <v>577</v>
      </c>
      <c r="E109" s="40" t="s">
        <v>575</v>
      </c>
      <c r="F109" s="41" t="s">
        <v>579</v>
      </c>
      <c r="G109" s="39" t="s">
        <v>576</v>
      </c>
      <c r="H109" s="53" t="s">
        <v>3807</v>
      </c>
      <c r="I109" s="44" t="s">
        <v>574</v>
      </c>
      <c r="J109" s="14" t="s">
        <v>578</v>
      </c>
      <c r="K109" s="22" t="s">
        <v>2804</v>
      </c>
      <c r="L109" s="46">
        <v>44562</v>
      </c>
      <c r="M109" s="14"/>
      <c r="N109" s="45" t="s">
        <v>199</v>
      </c>
      <c r="O109" s="45" t="s">
        <v>199</v>
      </c>
      <c r="P109" s="47" t="s">
        <v>199</v>
      </c>
      <c r="Q109" s="45" t="s">
        <v>199</v>
      </c>
      <c r="R109" s="45" t="s">
        <v>199</v>
      </c>
      <c r="S109" s="45" t="s">
        <v>199</v>
      </c>
      <c r="T109" s="47" t="s">
        <v>4247</v>
      </c>
      <c r="U109" s="39" t="s">
        <v>3764</v>
      </c>
      <c r="V109" s="39" t="str">
        <f>CONCATENATE(U109, D109)</f>
        <v>https://example.websquare.kr/websquare/websquare.html?w2xPath=/guide/AutoComplete/setEnableColumn_AutoComplete.xml</v>
      </c>
      <c r="W109" s="39" t="s">
        <v>4512</v>
      </c>
      <c r="X109" s="39" t="str">
        <f>CONCATENATE(W109, D109)</f>
        <v>https://docs.inswave.com/websquare/websquare.html?w2xPath=/support/api/guide/AutoComplete/setEnableColumn_AutoComplete.xml</v>
      </c>
      <c r="Y109" s="48" t="str">
        <f>HYPERLINK(X109, H109)</f>
        <v>일부 선택 항목 (동적으로) 비활성화</v>
      </c>
      <c r="Z109" s="4" t="str">
        <f>HYPERLINK(V109,H109)</f>
        <v>일부 선택 항목 (동적으로) 비활성화</v>
      </c>
      <c r="AA109" s="4" t="str">
        <f>HYPERLINK(J109,H109)</f>
        <v>일부 선택 항목 (동적으로) 비활성화</v>
      </c>
      <c r="AB109" s="39" t="str">
        <f t="shared" si="5"/>
        <v>https://docs.inswave.com/websquare/websquare.html?w2xPath=/support/api/guide/AutoComplete/setEnableColumn_AutoComplete.xml</v>
      </c>
    </row>
    <row r="110" spans="1:30" s="39" customFormat="1" ht="102" x14ac:dyDescent="0.45">
      <c r="A110" s="37">
        <f>SUBTOTAL(3, $T$2:T110)</f>
        <v>54</v>
      </c>
      <c r="B110" s="38" t="s">
        <v>25</v>
      </c>
      <c r="C110" s="39" t="s">
        <v>25</v>
      </c>
      <c r="D110" s="39" t="s">
        <v>563</v>
      </c>
      <c r="E110" s="40" t="s">
        <v>3808</v>
      </c>
      <c r="F110" s="41" t="s">
        <v>566</v>
      </c>
      <c r="G110" s="39" t="s">
        <v>564</v>
      </c>
      <c r="H110" s="53" t="s">
        <v>3806</v>
      </c>
      <c r="I110" s="44" t="s">
        <v>567</v>
      </c>
      <c r="J110" s="14" t="s">
        <v>565</v>
      </c>
      <c r="K110" s="22" t="s">
        <v>2794</v>
      </c>
      <c r="L110" s="46">
        <v>44562</v>
      </c>
      <c r="M110" s="14"/>
      <c r="N110" s="45" t="s">
        <v>199</v>
      </c>
      <c r="O110" s="45" t="s">
        <v>199</v>
      </c>
      <c r="P110" s="47" t="s">
        <v>199</v>
      </c>
      <c r="Q110" s="45" t="s">
        <v>199</v>
      </c>
      <c r="R110" s="45" t="s">
        <v>199</v>
      </c>
      <c r="S110" s="45" t="s">
        <v>199</v>
      </c>
      <c r="T110" s="47" t="s">
        <v>4247</v>
      </c>
      <c r="U110" s="39" t="s">
        <v>3764</v>
      </c>
      <c r="V110" s="39" t="str">
        <f>CONCATENATE(U110, D110)</f>
        <v>https://example.websquare.kr/websquare/websquare.html?w2xPath=/guide/AutoComplete/enableColumn_enableColumnFalseValue_AutoComplete.xml</v>
      </c>
      <c r="W110" s="39" t="s">
        <v>4512</v>
      </c>
      <c r="X110" s="39" t="str">
        <f>CONCATENATE(W110, D110)</f>
        <v>https://docs.inswave.com/websquare/websquare.html?w2xPath=/support/api/guide/AutoComplete/enableColumn_enableColumnFalseValue_AutoComplete.xml</v>
      </c>
      <c r="Y110" s="48" t="str">
        <f>HYPERLINK(X110, H110)</f>
        <v>일부 선택 항목 (정적으로) 비활성화</v>
      </c>
      <c r="Z110" s="4" t="str">
        <f>HYPERLINK(V110,H110)</f>
        <v>일부 선택 항목 (정적으로) 비활성화</v>
      </c>
      <c r="AA110" s="4" t="str">
        <f>HYPERLINK(J110,H110)</f>
        <v>일부 선택 항목 (정적으로) 비활성화</v>
      </c>
      <c r="AB110" s="39" t="str">
        <f t="shared" si="5"/>
        <v>https://docs.inswave.com/websquare/websquare.html?w2xPath=/support/api/guide/AutoComplete/enableColumn_enableColumnFalseValue_AutoComplete.xml</v>
      </c>
    </row>
    <row r="111" spans="1:30" s="39" customFormat="1" ht="102" x14ac:dyDescent="0.45">
      <c r="A111" s="37">
        <f>SUBTOTAL(3, $T$2:T111)</f>
        <v>55</v>
      </c>
      <c r="B111" s="38" t="s">
        <v>25</v>
      </c>
      <c r="C111" s="39" t="s">
        <v>25</v>
      </c>
      <c r="D111" s="39" t="s">
        <v>585</v>
      </c>
      <c r="E111" s="40" t="s">
        <v>587</v>
      </c>
      <c r="F111" s="41" t="s">
        <v>583</v>
      </c>
      <c r="G111" s="39" t="s">
        <v>584</v>
      </c>
      <c r="H111" s="53" t="s">
        <v>3813</v>
      </c>
      <c r="I111" s="44" t="s">
        <v>607</v>
      </c>
      <c r="J111" s="14" t="s">
        <v>582</v>
      </c>
      <c r="K111" s="22" t="s">
        <v>2807</v>
      </c>
      <c r="L111" s="46">
        <v>43770</v>
      </c>
      <c r="M111" s="14"/>
      <c r="N111" s="45" t="s">
        <v>199</v>
      </c>
      <c r="O111" s="45" t="s">
        <v>199</v>
      </c>
      <c r="P111" s="47" t="s">
        <v>199</v>
      </c>
      <c r="Q111" s="45" t="s">
        <v>199</v>
      </c>
      <c r="R111" s="45" t="s">
        <v>199</v>
      </c>
      <c r="S111" s="45" t="s">
        <v>199</v>
      </c>
      <c r="T111" s="47" t="s">
        <v>4247</v>
      </c>
      <c r="U111" s="39" t="s">
        <v>3764</v>
      </c>
      <c r="V111" s="39" t="str">
        <f>CONCATENATE(U111, D111)</f>
        <v>https://example.websquare.kr/websquare/websquare.html?w2xPath=/guide/AutoComplete/visibleColumn_visibleColumnFalseValue_setVisibleColumn_AutoComplete.xml</v>
      </c>
      <c r="W111" s="39" t="s">
        <v>4512</v>
      </c>
      <c r="X111" s="39" t="str">
        <f>CONCATENATE(W111, D111)</f>
        <v>https://docs.inswave.com/websquare/websquare.html?w2xPath=/support/api/guide/AutoComplete/visibleColumn_visibleColumnFalseValue_setVisibleColumn_AutoComplete.xml</v>
      </c>
      <c r="Y111" s="48" t="str">
        <f>HYPERLINK(X111, H111)</f>
        <v>일부 선택 항목 숨기기</v>
      </c>
      <c r="Z111" s="4" t="str">
        <f>HYPERLINK(V111,H111)</f>
        <v>일부 선택 항목 숨기기</v>
      </c>
      <c r="AA111" s="4" t="str">
        <f>HYPERLINK(J111,H111)</f>
        <v>일부 선택 항목 숨기기</v>
      </c>
      <c r="AB111" s="39" t="str">
        <f t="shared" si="5"/>
        <v>https://docs.inswave.com/websquare/websquare.html?w2xPath=/support/api/guide/AutoComplete/visibleColumn_visibleColumnFalseValue_setVisibleColumn_AutoComplete.xml</v>
      </c>
      <c r="AC111" s="45"/>
      <c r="AD111" s="45"/>
    </row>
    <row r="112" spans="1:30" s="39" customFormat="1" ht="102" x14ac:dyDescent="0.45">
      <c r="A112" s="37">
        <f>SUBTOTAL(3, $T$2:T112)</f>
        <v>56</v>
      </c>
      <c r="B112" s="38" t="s">
        <v>25</v>
      </c>
      <c r="C112" s="39" t="s">
        <v>25</v>
      </c>
      <c r="D112" s="39" t="s">
        <v>476</v>
      </c>
      <c r="E112" s="40" t="s">
        <v>475</v>
      </c>
      <c r="F112" s="41" t="s">
        <v>486</v>
      </c>
      <c r="G112" s="39" t="s">
        <v>473</v>
      </c>
      <c r="H112" s="53" t="s">
        <v>3809</v>
      </c>
      <c r="I112" s="44" t="s">
        <v>472</v>
      </c>
      <c r="J112" s="14" t="s">
        <v>485</v>
      </c>
      <c r="K112" s="22" t="s">
        <v>2801</v>
      </c>
      <c r="L112" s="46">
        <v>44531</v>
      </c>
      <c r="M112" s="14"/>
      <c r="N112" s="45" t="s">
        <v>199</v>
      </c>
      <c r="O112" s="45" t="s">
        <v>199</v>
      </c>
      <c r="P112" s="45" t="s">
        <v>199</v>
      </c>
      <c r="Q112" s="45" t="s">
        <v>199</v>
      </c>
      <c r="R112" s="45" t="s">
        <v>199</v>
      </c>
      <c r="S112" s="45" t="s">
        <v>199</v>
      </c>
      <c r="T112" s="47" t="s">
        <v>4247</v>
      </c>
      <c r="U112" s="39" t="s">
        <v>3764</v>
      </c>
      <c r="V112" s="39" t="str">
        <f>CONCATENATE(U112, D112)</f>
        <v>https://example.websquare.kr/websquare/websquare.html?w2xPath=/guide/AutoComplete/preventKeyList_AutoComplete.xml</v>
      </c>
      <c r="W112" s="39" t="s">
        <v>4512</v>
      </c>
      <c r="X112" s="39" t="str">
        <f>CONCATENATE(W112, D112)</f>
        <v>https://docs.inswave.com/websquare/websquare.html?w2xPath=/support/api/guide/AutoComplete/preventKeyList_AutoComplete.xml</v>
      </c>
      <c r="Y112" s="48" t="str">
        <f>HYPERLINK(X112, H112)</f>
        <v>특정 키 동작 방지</v>
      </c>
      <c r="Z112" s="4" t="str">
        <f>HYPERLINK(V112,H112)</f>
        <v>특정 키 동작 방지</v>
      </c>
      <c r="AA112" s="4" t="str">
        <f>HYPERLINK(J112,H112)</f>
        <v>특정 키 동작 방지</v>
      </c>
      <c r="AB112" s="39" t="str">
        <f t="shared" si="5"/>
        <v>https://docs.inswave.com/websquare/websquare.html?w2xPath=/support/api/guide/AutoComplete/preventKeyList_AutoComplete.xml</v>
      </c>
    </row>
    <row r="113" spans="1:30" s="39" customFormat="1" ht="102" x14ac:dyDescent="0.45">
      <c r="A113" s="37">
        <f>SUBTOTAL(3, $T$2:T113)</f>
        <v>57</v>
      </c>
      <c r="B113" s="38" t="s">
        <v>25</v>
      </c>
      <c r="C113" s="39" t="s">
        <v>25</v>
      </c>
      <c r="D113" s="39" t="s">
        <v>1721</v>
      </c>
      <c r="E113" s="40" t="s">
        <v>1719</v>
      </c>
      <c r="F113" s="41" t="s">
        <v>1729</v>
      </c>
      <c r="G113" s="39" t="s">
        <v>1718</v>
      </c>
      <c r="H113" s="53" t="s">
        <v>3799</v>
      </c>
      <c r="I113" s="44" t="s">
        <v>1720</v>
      </c>
      <c r="J113" s="14" t="s">
        <v>1728</v>
      </c>
      <c r="K113" s="22" t="s">
        <v>2793</v>
      </c>
      <c r="L113" s="46">
        <v>44774</v>
      </c>
      <c r="M113" s="14"/>
      <c r="N113" s="45" t="s">
        <v>199</v>
      </c>
      <c r="O113" s="45" t="s">
        <v>199</v>
      </c>
      <c r="P113" s="45" t="s">
        <v>199</v>
      </c>
      <c r="Q113" s="45" t="s">
        <v>199</v>
      </c>
      <c r="R113" s="45" t="s">
        <v>199</v>
      </c>
      <c r="S113" s="45" t="s">
        <v>199</v>
      </c>
      <c r="T113" s="47" t="s">
        <v>4247</v>
      </c>
      <c r="U113" s="39" t="s">
        <v>3764</v>
      </c>
      <c r="V113" s="39" t="str">
        <f>CONCATENATE(U113, D113)</f>
        <v>https://example.websquare.kr/websquare/websquare.html?w2xPath=/guide/AutoComplete/displayModeSync_AutoComplete.xml</v>
      </c>
      <c r="W113" s="39" t="s">
        <v>4512</v>
      </c>
      <c r="X113" s="39" t="str">
        <f>CONCATENATE(W113, D113)</f>
        <v>https://docs.inswave.com/websquare/websquare.html?w2xPath=/support/api/guide/AutoComplete/displayModeSync_AutoComplete.xml</v>
      </c>
      <c r="Y113" s="48" t="str">
        <f>HYPERLINK(X113, H113)</f>
        <v>편집 모드에서 displayMode 표시</v>
      </c>
      <c r="Z113" s="4" t="str">
        <f>HYPERLINK(V113,H113)</f>
        <v>편집 모드에서 displayMode 표시</v>
      </c>
      <c r="AA113" s="4" t="str">
        <f>HYPERLINK(J113,H113)</f>
        <v>편집 모드에서 displayMode 표시</v>
      </c>
      <c r="AB113" s="39" t="str">
        <f t="shared" si="5"/>
        <v>https://docs.inswave.com/websquare/websquare.html?w2xPath=/support/api/guide/AutoComplete/displayModeSync_AutoComplete.xml</v>
      </c>
    </row>
    <row r="114" spans="1:30" s="39" customFormat="1" ht="102" x14ac:dyDescent="0.45">
      <c r="A114" s="37">
        <f>SUBTOTAL(3, $T$2:T114)</f>
        <v>58</v>
      </c>
      <c r="B114" s="38" t="s">
        <v>25</v>
      </c>
      <c r="C114" s="39" t="s">
        <v>25</v>
      </c>
      <c r="D114" s="39" t="s">
        <v>1343</v>
      </c>
      <c r="E114" s="40" t="s">
        <v>2061</v>
      </c>
      <c r="F114" s="41" t="s">
        <v>1341</v>
      </c>
      <c r="G114" s="39" t="s">
        <v>48</v>
      </c>
      <c r="H114" s="53" t="s">
        <v>3796</v>
      </c>
      <c r="I114" s="44" t="s">
        <v>1347</v>
      </c>
      <c r="J114" s="14" t="s">
        <v>1342</v>
      </c>
      <c r="K114" s="22" t="s">
        <v>2790</v>
      </c>
      <c r="L114" s="46">
        <v>44166</v>
      </c>
      <c r="M114" s="14"/>
      <c r="N114" s="45" t="s">
        <v>199</v>
      </c>
      <c r="O114" s="45" t="s">
        <v>199</v>
      </c>
      <c r="P114" s="45" t="s">
        <v>199</v>
      </c>
      <c r="Q114" s="45" t="s">
        <v>199</v>
      </c>
      <c r="R114" s="45" t="s">
        <v>199</v>
      </c>
      <c r="S114" s="45" t="s">
        <v>199</v>
      </c>
      <c r="T114" s="47" t="s">
        <v>4247</v>
      </c>
      <c r="U114" s="39" t="s">
        <v>3764</v>
      </c>
      <c r="V114" s="39" t="str">
        <f>CONCATENATE(U114, D114)</f>
        <v>https://example.websquare.kr/websquare/websquare.html?w2xPath=/guide/AutoComplete/autoFocus_nextTabID_AutoComplete.xml</v>
      </c>
      <c r="W114" s="39" t="s">
        <v>4512</v>
      </c>
      <c r="X114" s="39" t="str">
        <f>CONCATENATE(W114, D114)</f>
        <v>https://docs.inswave.com/websquare/websquare.html?w2xPath=/support/api/guide/AutoComplete/autoFocus_nextTabID_AutoComplete.xml</v>
      </c>
      <c r="Y114" s="48" t="str">
        <f>HYPERLINK(X114, H114)</f>
        <v>포커스 자동 이동</v>
      </c>
      <c r="Z114" s="4" t="str">
        <f>HYPERLINK(V114,H114)</f>
        <v>포커스 자동 이동</v>
      </c>
      <c r="AA114" s="4" t="str">
        <f>HYPERLINK(J114,H114)</f>
        <v>포커스 자동 이동</v>
      </c>
      <c r="AB114" s="39" t="str">
        <f t="shared" si="5"/>
        <v>https://docs.inswave.com/websquare/websquare.html?w2xPath=/support/api/guide/AutoComplete/autoFocus_nextTabID_AutoComplete.xml</v>
      </c>
    </row>
    <row r="115" spans="1:30" s="39" customFormat="1" ht="102" x14ac:dyDescent="0.45">
      <c r="A115" s="37">
        <f>SUBTOTAL(3, $T$2:T115)</f>
        <v>59</v>
      </c>
      <c r="B115" s="38" t="s">
        <v>7</v>
      </c>
      <c r="C115" s="39" t="s">
        <v>7</v>
      </c>
      <c r="D115" s="39" t="s">
        <v>714</v>
      </c>
      <c r="E115" s="40" t="s">
        <v>710</v>
      </c>
      <c r="F115" s="41" t="s">
        <v>709</v>
      </c>
      <c r="G115" s="44" t="s">
        <v>716</v>
      </c>
      <c r="H115" s="53" t="s">
        <v>3786</v>
      </c>
      <c r="I115" s="39" t="s">
        <v>712</v>
      </c>
      <c r="J115" s="14" t="s">
        <v>718</v>
      </c>
      <c r="K115" s="22" t="s">
        <v>2813</v>
      </c>
      <c r="L115" s="46">
        <v>44621</v>
      </c>
      <c r="M115" s="14"/>
      <c r="N115" s="45" t="s">
        <v>199</v>
      </c>
      <c r="O115" s="45" t="s">
        <v>199</v>
      </c>
      <c r="P115" s="47" t="s">
        <v>199</v>
      </c>
      <c r="Q115" s="45" t="s">
        <v>199</v>
      </c>
      <c r="R115" s="45" t="s">
        <v>199</v>
      </c>
      <c r="S115" s="45" t="s">
        <v>199</v>
      </c>
      <c r="T115" s="47" t="s">
        <v>4247</v>
      </c>
      <c r="U115" s="39" t="s">
        <v>3764</v>
      </c>
      <c r="V115" s="39" t="str">
        <f>CONCATENATE(U115, D115)</f>
        <v>https://example.websquare.kr/websquare/websquare.html?w2xPath=/guide/Calendar/setHolidayRef_Calendar.xml</v>
      </c>
      <c r="W115" s="39" t="s">
        <v>4512</v>
      </c>
      <c r="X115" s="39" t="str">
        <f>CONCATENATE(W115, D115)</f>
        <v>https://docs.inswave.com/websquare/websquare.html?w2xPath=/support/api/guide/Calendar/setHolidayRef_Calendar.xml</v>
      </c>
      <c r="Y115" s="48" t="str">
        <f>HYPERLINK(X115, H115)</f>
        <v>DataList의 날짜를 휴일로 지정</v>
      </c>
      <c r="Z115" s="4" t="str">
        <f>HYPERLINK(V115,H115)</f>
        <v>DataList의 날짜를 휴일로 지정</v>
      </c>
      <c r="AA115" s="4" t="str">
        <f>HYPERLINK(J115,H115)</f>
        <v>DataList의 날짜를 휴일로 지정</v>
      </c>
      <c r="AB115" s="39" t="str">
        <f t="shared" si="5"/>
        <v>https://docs.inswave.com/websquare/websquare.html?w2xPath=/support/api/guide/Calendar/setHolidayRef_Calendar.xml</v>
      </c>
    </row>
    <row r="116" spans="1:30" s="39" customFormat="1" ht="102" x14ac:dyDescent="0.45">
      <c r="A116" s="37">
        <f>SUBTOTAL(3, $T$2:T116)</f>
        <v>60</v>
      </c>
      <c r="B116" s="38" t="s">
        <v>7</v>
      </c>
      <c r="C116" s="39" t="s">
        <v>7</v>
      </c>
      <c r="D116" s="39" t="s">
        <v>4393</v>
      </c>
      <c r="E116" s="40" t="s">
        <v>370</v>
      </c>
      <c r="F116" s="41" t="s">
        <v>361</v>
      </c>
      <c r="G116" s="39" t="s">
        <v>359</v>
      </c>
      <c r="H116" s="53" t="s">
        <v>4532</v>
      </c>
      <c r="I116" s="39" t="s">
        <v>328</v>
      </c>
      <c r="J116" s="14" t="s">
        <v>360</v>
      </c>
      <c r="K116" s="22" t="s">
        <v>2808</v>
      </c>
      <c r="L116" s="46">
        <v>44531</v>
      </c>
      <c r="M116" s="14"/>
      <c r="N116" s="45" t="s">
        <v>199</v>
      </c>
      <c r="O116" s="45" t="s">
        <v>199</v>
      </c>
      <c r="P116" s="45" t="s">
        <v>199</v>
      </c>
      <c r="Q116" s="45" t="s">
        <v>199</v>
      </c>
      <c r="R116" s="45" t="s">
        <v>199</v>
      </c>
      <c r="S116" s="45" t="s">
        <v>199</v>
      </c>
      <c r="T116" s="47" t="s">
        <v>4247</v>
      </c>
      <c r="U116" s="39" t="s">
        <v>3764</v>
      </c>
      <c r="V116" s="39" t="str">
        <f>CONCATENATE(U116, D116)</f>
        <v>https://example.websquare.kr/websquare/websquare.html?w2xPath=/guide/Calendar/displayDayType_Calendar.xml</v>
      </c>
      <c r="W116" s="39" t="s">
        <v>4512</v>
      </c>
      <c r="X116" s="39" t="str">
        <f>CONCATENATE(W116, D116)</f>
        <v>https://docs.inswave.com/websquare/websquare.html?w2xPath=/support/api/guide/Calendar/displayDayType_Calendar.xml</v>
      </c>
      <c r="Y116" s="48" t="str">
        <f>HYPERLINK(X116, H116)</f>
        <v>달력 요일을 텍스트 또는 이미지로 표시</v>
      </c>
      <c r="Z116" s="4" t="str">
        <f>HYPERLINK(V116,H116)</f>
        <v>달력 요일을 텍스트 또는 이미지로 표시</v>
      </c>
      <c r="AA116" s="4" t="str">
        <f>HYPERLINK(J116,H116)</f>
        <v>달력 요일을 텍스트 또는 이미지로 표시</v>
      </c>
      <c r="AB116" s="39" t="str">
        <f t="shared" si="5"/>
        <v>https://docs.inswave.com/websquare/websquare.html?w2xPath=/support/api/guide/Calendar/displayDayType_Calendar.xml</v>
      </c>
    </row>
    <row r="117" spans="1:30" s="39" customFormat="1" ht="102" x14ac:dyDescent="0.45">
      <c r="A117" s="37">
        <f>SUBTOTAL(3, $T$2:T117)</f>
        <v>61</v>
      </c>
      <c r="B117" s="38" t="s">
        <v>7</v>
      </c>
      <c r="C117" s="39" t="s">
        <v>7</v>
      </c>
      <c r="D117" s="39" t="s">
        <v>687</v>
      </c>
      <c r="E117" s="40" t="s">
        <v>668</v>
      </c>
      <c r="F117" s="41" t="s">
        <v>674</v>
      </c>
      <c r="G117" s="39" t="s">
        <v>3288</v>
      </c>
      <c r="H117" s="53" t="s">
        <v>3783</v>
      </c>
      <c r="I117" s="39" t="s">
        <v>49</v>
      </c>
      <c r="J117" s="14" t="s">
        <v>673</v>
      </c>
      <c r="K117" s="22" t="s">
        <v>2814</v>
      </c>
      <c r="L117" s="46">
        <v>44228</v>
      </c>
      <c r="M117" s="14"/>
      <c r="N117" s="45" t="s">
        <v>199</v>
      </c>
      <c r="O117" s="45" t="s">
        <v>199</v>
      </c>
      <c r="P117" s="47" t="s">
        <v>199</v>
      </c>
      <c r="Q117" s="45" t="s">
        <v>199</v>
      </c>
      <c r="R117" s="45" t="s">
        <v>199</v>
      </c>
      <c r="S117" s="45" t="s">
        <v>199</v>
      </c>
      <c r="T117" s="47" t="s">
        <v>4247</v>
      </c>
      <c r="U117" s="39" t="s">
        <v>3764</v>
      </c>
      <c r="V117" s="39" t="str">
        <f>CONCATENATE(U117, D117)</f>
        <v>https://example.websquare.kr/websquare/websquare.html?w2xPath=/guide/Calendar/visibleWeekNum_Calendar.xml</v>
      </c>
      <c r="W117" s="39" t="s">
        <v>4512</v>
      </c>
      <c r="X117" s="39" t="str">
        <f>CONCATENATE(W117, D117)</f>
        <v>https://docs.inswave.com/websquare/websquare.html?w2xPath=/support/api/guide/Calendar/visibleWeekNum_Calendar.xml</v>
      </c>
      <c r="Y117" s="48" t="str">
        <f>HYPERLINK(X117, H117)</f>
        <v>달력 주(Week) 수 설정</v>
      </c>
      <c r="Z117" s="4" t="str">
        <f>HYPERLINK(V117,H117)</f>
        <v>달력 주(Week) 수 설정</v>
      </c>
      <c r="AA117" s="4" t="str">
        <f>HYPERLINK(J117,H117)</f>
        <v>달력 주(Week) 수 설정</v>
      </c>
      <c r="AB117" s="39" t="str">
        <f t="shared" si="5"/>
        <v>https://docs.inswave.com/websquare/websquare.html?w2xPath=/support/api/guide/Calendar/visibleWeekNum_Calendar.xml</v>
      </c>
    </row>
    <row r="118" spans="1:30" s="39" customFormat="1" ht="102" x14ac:dyDescent="0.45">
      <c r="A118" s="37">
        <f>SUBTOTAL(3, $T$2:T118)</f>
        <v>62</v>
      </c>
      <c r="B118" s="38" t="s">
        <v>7</v>
      </c>
      <c r="C118" s="39" t="s">
        <v>7</v>
      </c>
      <c r="D118" s="39" t="s">
        <v>1279</v>
      </c>
      <c r="E118" s="40" t="s">
        <v>3782</v>
      </c>
      <c r="F118" s="41" t="s">
        <v>2468</v>
      </c>
      <c r="G118" s="39" t="s">
        <v>2474</v>
      </c>
      <c r="H118" s="53" t="s">
        <v>3781</v>
      </c>
      <c r="I118" s="39" t="s">
        <v>1280</v>
      </c>
      <c r="J118" s="14" t="s">
        <v>2473</v>
      </c>
      <c r="K118" s="22" t="s">
        <v>2809</v>
      </c>
      <c r="L118" s="46">
        <v>43739</v>
      </c>
      <c r="M118" s="14"/>
      <c r="N118" s="45" t="s">
        <v>199</v>
      </c>
      <c r="O118" s="45" t="s">
        <v>199</v>
      </c>
      <c r="P118" s="45" t="s">
        <v>199</v>
      </c>
      <c r="Q118" s="45" t="s">
        <v>199</v>
      </c>
      <c r="R118" s="45" t="s">
        <v>199</v>
      </c>
      <c r="S118" s="45" t="s">
        <v>199</v>
      </c>
      <c r="T118" s="47" t="s">
        <v>4247</v>
      </c>
      <c r="U118" s="39" t="s">
        <v>3764</v>
      </c>
      <c r="V118" s="39" t="str">
        <f>CONCATENATE(U118, D118)</f>
        <v>https://example.websquare.kr/websquare/websquare.html?w2xPath=/guide/Calendar/highlightSelectedWeek_Calendar.xml</v>
      </c>
      <c r="W118" s="39" t="s">
        <v>4512</v>
      </c>
      <c r="X118" s="39" t="str">
        <f>CONCATENATE(W118, D118)</f>
        <v>https://docs.inswave.com/websquare/websquare.html?w2xPath=/support/api/guide/Calendar/highlightSelectedWeek_Calendar.xml</v>
      </c>
      <c r="Y118" s="48" t="str">
        <f>HYPERLINK(X118, H118)</f>
        <v>선택한 주를 다른 색으로 표시</v>
      </c>
      <c r="Z118" s="4" t="str">
        <f>HYPERLINK(V118,H118)</f>
        <v>선택한 주를 다른 색으로 표시</v>
      </c>
      <c r="AA118" s="4" t="str">
        <f>HYPERLINK(J118,H118)</f>
        <v>선택한 주를 다른 색으로 표시</v>
      </c>
      <c r="AB118" s="39" t="str">
        <f t="shared" si="5"/>
        <v>https://docs.inswave.com/websquare/websquare.html?w2xPath=/support/api/guide/Calendar/highlightSelectedWeek_Calendar.xml</v>
      </c>
    </row>
    <row r="119" spans="1:30" s="39" customFormat="1" ht="102" x14ac:dyDescent="0.45">
      <c r="A119" s="37">
        <f>SUBTOTAL(3, $T$2:T119)</f>
        <v>63</v>
      </c>
      <c r="B119" s="38" t="s">
        <v>7</v>
      </c>
      <c r="C119" s="39" t="s">
        <v>7</v>
      </c>
      <c r="D119" s="39" t="s">
        <v>1074</v>
      </c>
      <c r="E119" s="40" t="s">
        <v>1061</v>
      </c>
      <c r="F119" s="41" t="s">
        <v>1073</v>
      </c>
      <c r="G119" s="44" t="s">
        <v>1076</v>
      </c>
      <c r="H119" s="53" t="s">
        <v>3787</v>
      </c>
      <c r="I119" s="44" t="s">
        <v>1075</v>
      </c>
      <c r="J119" s="14" t="s">
        <v>1072</v>
      </c>
      <c r="K119" s="22" t="s">
        <v>2810</v>
      </c>
      <c r="L119" s="46">
        <v>44652</v>
      </c>
      <c r="M119" s="14"/>
      <c r="N119" s="45" t="s">
        <v>199</v>
      </c>
      <c r="O119" s="45" t="s">
        <v>199</v>
      </c>
      <c r="P119" s="47" t="s">
        <v>199</v>
      </c>
      <c r="Q119" s="45" t="s">
        <v>199</v>
      </c>
      <c r="R119" s="45" t="s">
        <v>199</v>
      </c>
      <c r="S119" s="45" t="s">
        <v>199</v>
      </c>
      <c r="T119" s="47" t="s">
        <v>4247</v>
      </c>
      <c r="U119" s="39" t="s">
        <v>3764</v>
      </c>
      <c r="V119" s="39" t="str">
        <f>CONCATENATE(U119, D119)</f>
        <v>https://example.websquare.kr/websquare/websquare.html?w2xPath=/guide/Calendar/onmonthselect_onyearselect_Calendar.xml</v>
      </c>
      <c r="W119" s="39" t="s">
        <v>4512</v>
      </c>
      <c r="X119" s="39" t="str">
        <f>CONCATENATE(W119, D119)</f>
        <v>https://docs.inswave.com/websquare/websquare.html?w2xPath=/support/api/guide/Calendar/onmonthselect_onyearselect_Calendar.xml</v>
      </c>
      <c r="Y119" s="48" t="str">
        <f>HYPERLINK(X119, H119)</f>
        <v>이벤트 - onmonthselect &amp; onyearselect</v>
      </c>
      <c r="Z119" s="4" t="str">
        <f>HYPERLINK(V119,H119)</f>
        <v>이벤트 - onmonthselect &amp; onyearselect</v>
      </c>
      <c r="AA119" s="4" t="str">
        <f>HYPERLINK(J119,H119)</f>
        <v>이벤트 - onmonthselect &amp; onyearselect</v>
      </c>
      <c r="AB119" s="39" t="str">
        <f t="shared" si="5"/>
        <v>https://docs.inswave.com/websquare/websquare.html?w2xPath=/support/api/guide/Calendar/onmonthselect_onyearselect_Calendar.xml</v>
      </c>
    </row>
    <row r="120" spans="1:30" s="39" customFormat="1" ht="102" x14ac:dyDescent="0.45">
      <c r="A120" s="37">
        <f>SUBTOTAL(3, $T$2:T120)</f>
        <v>64</v>
      </c>
      <c r="B120" s="38" t="s">
        <v>7</v>
      </c>
      <c r="C120" s="39" t="s">
        <v>7</v>
      </c>
      <c r="D120" s="39" t="s">
        <v>736</v>
      </c>
      <c r="E120" s="40" t="s">
        <v>739</v>
      </c>
      <c r="F120" s="41" t="s">
        <v>708</v>
      </c>
      <c r="G120" s="39" t="s">
        <v>715</v>
      </c>
      <c r="H120" s="53" t="s">
        <v>3607</v>
      </c>
      <c r="I120" s="44" t="s">
        <v>737</v>
      </c>
      <c r="J120" s="14" t="s">
        <v>726</v>
      </c>
      <c r="K120" s="22" t="s">
        <v>2811</v>
      </c>
      <c r="L120" s="46">
        <v>44621</v>
      </c>
      <c r="M120" s="14"/>
      <c r="N120" s="45" t="s">
        <v>199</v>
      </c>
      <c r="O120" s="45" t="s">
        <v>199</v>
      </c>
      <c r="P120" s="47" t="s">
        <v>199</v>
      </c>
      <c r="Q120" s="45" t="s">
        <v>199</v>
      </c>
      <c r="R120" s="45" t="s">
        <v>199</v>
      </c>
      <c r="S120" s="45" t="s">
        <v>199</v>
      </c>
      <c r="T120" s="47" t="s">
        <v>4247</v>
      </c>
      <c r="U120" s="39" t="s">
        <v>3764</v>
      </c>
      <c r="V120" s="39" t="str">
        <f>CONCATENATE(U120, D120)</f>
        <v>https://example.websquare.kr/websquare/websquare.html?w2xPath=/guide/Calendar/removeHoliday_Calendar.xml</v>
      </c>
      <c r="W120" s="39" t="s">
        <v>4512</v>
      </c>
      <c r="X120" s="39" t="str">
        <f>CONCATENATE(W120, D120)</f>
        <v>https://docs.inswave.com/websquare/websquare.html?w2xPath=/support/api/guide/Calendar/removeHoliday_Calendar.xml</v>
      </c>
      <c r="Y120" s="48" t="str">
        <f>HYPERLINK(X120, H120)</f>
        <v>휴일 지정 취소</v>
      </c>
      <c r="Z120" s="4" t="str">
        <f>HYPERLINK(V120,H120)</f>
        <v>휴일 지정 취소</v>
      </c>
      <c r="AA120" s="4" t="str">
        <f>HYPERLINK(J120,H120)</f>
        <v>휴일 지정 취소</v>
      </c>
      <c r="AB120" s="39" t="str">
        <f t="shared" si="5"/>
        <v>https://docs.inswave.com/websquare/websquare.html?w2xPath=/support/api/guide/Calendar/removeHoliday_Calendar.xml</v>
      </c>
    </row>
    <row r="121" spans="1:30" s="39" customFormat="1" ht="102" x14ac:dyDescent="0.45">
      <c r="A121" s="37">
        <f>SUBTOTAL(3, $T$2:T121)</f>
        <v>65</v>
      </c>
      <c r="B121" s="38" t="s">
        <v>7</v>
      </c>
      <c r="C121" s="39" t="s">
        <v>7</v>
      </c>
      <c r="D121" s="39" t="s">
        <v>713</v>
      </c>
      <c r="E121" s="40" t="s">
        <v>706</v>
      </c>
      <c r="F121" s="41" t="s">
        <v>707</v>
      </c>
      <c r="G121" s="44" t="s">
        <v>3785</v>
      </c>
      <c r="H121" s="53" t="s">
        <v>3784</v>
      </c>
      <c r="I121" s="44" t="s">
        <v>711</v>
      </c>
      <c r="J121" s="14" t="s">
        <v>717</v>
      </c>
      <c r="K121" s="22" t="s">
        <v>2812</v>
      </c>
      <c r="L121" s="46">
        <v>44621</v>
      </c>
      <c r="M121" s="14"/>
      <c r="N121" s="45" t="s">
        <v>199</v>
      </c>
      <c r="O121" s="45" t="s">
        <v>199</v>
      </c>
      <c r="P121" s="47" t="s">
        <v>199</v>
      </c>
      <c r="Q121" s="45" t="s">
        <v>199</v>
      </c>
      <c r="R121" s="45" t="s">
        <v>199</v>
      </c>
      <c r="S121" s="45" t="s">
        <v>199</v>
      </c>
      <c r="T121" s="47" t="s">
        <v>4247</v>
      </c>
      <c r="U121" s="39" t="s">
        <v>3764</v>
      </c>
      <c r="V121" s="39" t="str">
        <f>CONCATENATE(U121, D121)</f>
        <v>https://example.websquare.kr/websquare/websquare.html?w2xPath=/guide/Calendar/setHoliday_Calendar.xml</v>
      </c>
      <c r="W121" s="39" t="s">
        <v>4512</v>
      </c>
      <c r="X121" s="39" t="str">
        <f>CONCATENATE(W121, D121)</f>
        <v>https://docs.inswave.com/websquare/websquare.html?w2xPath=/support/api/guide/Calendar/setHoliday_Calendar.xml</v>
      </c>
      <c r="Y121" s="48" t="str">
        <f>HYPERLINK(X121, H121)</f>
        <v>휴일 직접 지정</v>
      </c>
      <c r="Z121" s="4" t="str">
        <f>HYPERLINK(V121,H121)</f>
        <v>휴일 직접 지정</v>
      </c>
      <c r="AA121" s="4" t="str">
        <f>HYPERLINK(J121,H121)</f>
        <v>휴일 직접 지정</v>
      </c>
      <c r="AB121" s="39" t="str">
        <f t="shared" si="5"/>
        <v>https://docs.inswave.com/websquare/websquare.html?w2xPath=/support/api/guide/Calendar/setHoliday_Calendar.xml</v>
      </c>
    </row>
    <row r="122" spans="1:30" s="39" customFormat="1" ht="102" x14ac:dyDescent="0.45">
      <c r="A122" s="37">
        <f>SUBTOTAL(3, $T$2:T122)</f>
        <v>66</v>
      </c>
      <c r="B122" s="38" t="s">
        <v>26</v>
      </c>
      <c r="C122" s="39" t="s">
        <v>26</v>
      </c>
      <c r="D122" s="39" t="s">
        <v>3734</v>
      </c>
      <c r="E122" s="40" t="s">
        <v>2499</v>
      </c>
      <c r="F122" s="41" t="s">
        <v>2493</v>
      </c>
      <c r="G122" s="39" t="s">
        <v>1215</v>
      </c>
      <c r="H122" s="53" t="s">
        <v>3814</v>
      </c>
      <c r="I122" s="39" t="s">
        <v>29</v>
      </c>
      <c r="J122" s="14" t="s">
        <v>2500</v>
      </c>
      <c r="K122" s="22" t="s">
        <v>2815</v>
      </c>
      <c r="L122" s="46">
        <v>43709</v>
      </c>
      <c r="M122" s="14"/>
      <c r="N122" s="45" t="s">
        <v>199</v>
      </c>
      <c r="O122" s="45" t="s">
        <v>199</v>
      </c>
      <c r="P122" s="45" t="s">
        <v>199</v>
      </c>
      <c r="Q122" s="45" t="s">
        <v>199</v>
      </c>
      <c r="R122" s="45" t="s">
        <v>199</v>
      </c>
      <c r="S122" s="45" t="s">
        <v>199</v>
      </c>
      <c r="T122" s="47" t="s">
        <v>4247</v>
      </c>
      <c r="U122" s="39" t="s">
        <v>3764</v>
      </c>
      <c r="V122" s="39" t="str">
        <f>CONCATENATE(U122, D122)</f>
        <v>https://example.websquare.kr/websquare/websquare.html?w2xPath=/guide/CheckBox/BindItemSet_CheckBox/BindItemSet_CheckBox.xml</v>
      </c>
      <c r="W122" s="39" t="s">
        <v>4512</v>
      </c>
      <c r="X122" s="39" t="str">
        <f>CONCATENATE(W122, D122)</f>
        <v>https://docs.inswave.com/websquare/websquare.html?w2xPath=/support/api/guide/CheckBox/BindItemSet_CheckBox/BindItemSet_CheckBox.xml</v>
      </c>
      <c r="Y122" s="48" t="str">
        <f>HYPERLINK(X122, H122)</f>
        <v>DataList와 바인딩</v>
      </c>
      <c r="Z122" s="4" t="str">
        <f>HYPERLINK(V122,H122)</f>
        <v>DataList와 바인딩</v>
      </c>
      <c r="AA122" s="4" t="str">
        <f>HYPERLINK(J122,H122)</f>
        <v>DataList와 바인딩</v>
      </c>
      <c r="AB122" s="39" t="str">
        <f t="shared" si="5"/>
        <v>https://docs.inswave.com/websquare/websquare.html?w2xPath=/support/api/guide/CheckBox/BindItemSet_CheckBox/BindItemSet_CheckBox.xml</v>
      </c>
    </row>
    <row r="123" spans="1:30" s="39" customFormat="1" ht="102" x14ac:dyDescent="0.45">
      <c r="A123" s="37">
        <f>SUBTOTAL(3, $T$2:T123)</f>
        <v>67</v>
      </c>
      <c r="B123" s="38" t="s">
        <v>26</v>
      </c>
      <c r="C123" s="39" t="s">
        <v>26</v>
      </c>
      <c r="D123" s="39" t="s">
        <v>629</v>
      </c>
      <c r="E123" s="40" t="s">
        <v>626</v>
      </c>
      <c r="F123" s="41" t="s">
        <v>628</v>
      </c>
      <c r="G123" s="39" t="s">
        <v>576</v>
      </c>
      <c r="H123" s="53" t="s">
        <v>3807</v>
      </c>
      <c r="I123" s="44" t="s">
        <v>574</v>
      </c>
      <c r="J123" s="14" t="s">
        <v>627</v>
      </c>
      <c r="K123" s="22" t="s">
        <v>2817</v>
      </c>
      <c r="L123" s="46">
        <v>44593</v>
      </c>
      <c r="M123" s="14"/>
      <c r="N123" s="45" t="s">
        <v>199</v>
      </c>
      <c r="O123" s="45" t="s">
        <v>199</v>
      </c>
      <c r="P123" s="47" t="s">
        <v>199</v>
      </c>
      <c r="Q123" s="45" t="s">
        <v>199</v>
      </c>
      <c r="R123" s="45" t="s">
        <v>199</v>
      </c>
      <c r="S123" s="45" t="s">
        <v>199</v>
      </c>
      <c r="T123" s="47" t="s">
        <v>4247</v>
      </c>
      <c r="U123" s="39" t="s">
        <v>3764</v>
      </c>
      <c r="V123" s="39" t="str">
        <f>CONCATENATE(U123, D123)</f>
        <v>https://example.websquare.kr/websquare/websquare.html?w2xPath=/guide/CheckBox/setEnableColumn_CheckBox.xml</v>
      </c>
      <c r="W123" s="39" t="s">
        <v>4512</v>
      </c>
      <c r="X123" s="39" t="str">
        <f>CONCATENATE(W123, D123)</f>
        <v>https://docs.inswave.com/websquare/websquare.html?w2xPath=/support/api/guide/CheckBox/setEnableColumn_CheckBox.xml</v>
      </c>
      <c r="Y123" s="48" t="str">
        <f>HYPERLINK(X123, H123)</f>
        <v>일부 선택 항목 (동적으로) 비활성화</v>
      </c>
      <c r="Z123" s="4" t="str">
        <f>HYPERLINK(V123,H123)</f>
        <v>일부 선택 항목 (동적으로) 비활성화</v>
      </c>
      <c r="AA123" s="4" t="str">
        <f>HYPERLINK(J123,H123)</f>
        <v>일부 선택 항목 (동적으로) 비활성화</v>
      </c>
      <c r="AB123" s="39" t="str">
        <f t="shared" si="5"/>
        <v>https://docs.inswave.com/websquare/websquare.html?w2xPath=/support/api/guide/CheckBox/setEnableColumn_CheckBox.xml</v>
      </c>
    </row>
    <row r="124" spans="1:30" s="39" customFormat="1" ht="102" x14ac:dyDescent="0.45">
      <c r="A124" s="37">
        <f>SUBTOTAL(3, $T$2:T124)</f>
        <v>68</v>
      </c>
      <c r="B124" s="38" t="s">
        <v>26</v>
      </c>
      <c r="C124" s="39" t="s">
        <v>26</v>
      </c>
      <c r="D124" s="39" t="s">
        <v>598</v>
      </c>
      <c r="E124" s="40" t="s">
        <v>597</v>
      </c>
      <c r="F124" s="41" t="s">
        <v>618</v>
      </c>
      <c r="G124" s="39" t="s">
        <v>564</v>
      </c>
      <c r="H124" s="53" t="s">
        <v>3806</v>
      </c>
      <c r="I124" s="44" t="s">
        <v>567</v>
      </c>
      <c r="J124" s="14" t="s">
        <v>617</v>
      </c>
      <c r="K124" s="22" t="s">
        <v>2816</v>
      </c>
      <c r="L124" s="46">
        <v>44593</v>
      </c>
      <c r="M124" s="14"/>
      <c r="N124" s="45" t="s">
        <v>199</v>
      </c>
      <c r="O124" s="45" t="s">
        <v>199</v>
      </c>
      <c r="P124" s="47" t="s">
        <v>199</v>
      </c>
      <c r="Q124" s="45" t="s">
        <v>199</v>
      </c>
      <c r="R124" s="45" t="s">
        <v>199</v>
      </c>
      <c r="S124" s="45" t="s">
        <v>199</v>
      </c>
      <c r="T124" s="47" t="s">
        <v>4247</v>
      </c>
      <c r="U124" s="39" t="s">
        <v>3764</v>
      </c>
      <c r="V124" s="39" t="str">
        <f>CONCATENATE(U124, D124)</f>
        <v>https://example.websquare.kr/websquare/websquare.html?w2xPath=/guide/CheckBox/enableColumn_enableColumnFalseValue_CheckBox.xml</v>
      </c>
      <c r="W124" s="39" t="s">
        <v>4512</v>
      </c>
      <c r="X124" s="39" t="str">
        <f>CONCATENATE(W124, D124)</f>
        <v>https://docs.inswave.com/websquare/websquare.html?w2xPath=/support/api/guide/CheckBox/enableColumn_enableColumnFalseValue_CheckBox.xml</v>
      </c>
      <c r="Y124" s="48" t="str">
        <f>HYPERLINK(X124, H124)</f>
        <v>일부 선택 항목 (정적으로) 비활성화</v>
      </c>
      <c r="Z124" s="4" t="str">
        <f>HYPERLINK(V124,H124)</f>
        <v>일부 선택 항목 (정적으로) 비활성화</v>
      </c>
      <c r="AA124" s="4" t="str">
        <f>HYPERLINK(J124,H124)</f>
        <v>일부 선택 항목 (정적으로) 비활성화</v>
      </c>
      <c r="AB124" s="39" t="str">
        <f t="shared" si="5"/>
        <v>https://docs.inswave.com/websquare/websquare.html?w2xPath=/support/api/guide/CheckBox/enableColumn_enableColumnFalseValue_CheckBox.xml</v>
      </c>
    </row>
    <row r="125" spans="1:30" s="39" customFormat="1" ht="102" x14ac:dyDescent="0.45">
      <c r="A125" s="37">
        <f>SUBTOTAL(3, $T$2:T125)</f>
        <v>69</v>
      </c>
      <c r="B125" s="38" t="s">
        <v>26</v>
      </c>
      <c r="C125" s="39" t="s">
        <v>26</v>
      </c>
      <c r="D125" s="39" t="s">
        <v>620</v>
      </c>
      <c r="E125" s="40" t="s">
        <v>588</v>
      </c>
      <c r="F125" s="41" t="s">
        <v>586</v>
      </c>
      <c r="G125" s="39" t="s">
        <v>584</v>
      </c>
      <c r="H125" s="53" t="s">
        <v>3813</v>
      </c>
      <c r="I125" s="44" t="s">
        <v>607</v>
      </c>
      <c r="J125" s="14" t="s">
        <v>619</v>
      </c>
      <c r="K125" s="22" t="s">
        <v>2819</v>
      </c>
      <c r="L125" s="46">
        <v>43770</v>
      </c>
      <c r="M125" s="14"/>
      <c r="N125" s="45" t="s">
        <v>199</v>
      </c>
      <c r="O125" s="45" t="s">
        <v>199</v>
      </c>
      <c r="P125" s="47" t="s">
        <v>199</v>
      </c>
      <c r="Q125" s="45" t="s">
        <v>199</v>
      </c>
      <c r="R125" s="45" t="s">
        <v>199</v>
      </c>
      <c r="S125" s="45" t="s">
        <v>199</v>
      </c>
      <c r="T125" s="47" t="s">
        <v>4247</v>
      </c>
      <c r="U125" s="39" t="s">
        <v>3764</v>
      </c>
      <c r="V125" s="39" t="str">
        <f>CONCATENATE(U125, D125)</f>
        <v>https://example.websquare.kr/websquare/websquare.html?w2xPath=/guide/CheckBox/visibleColumn_visibleColumnFalseValue_setVisibleColumn_CheckBox.xml</v>
      </c>
      <c r="W125" s="39" t="s">
        <v>4512</v>
      </c>
      <c r="X125" s="39" t="str">
        <f>CONCATENATE(W125, D125)</f>
        <v>https://docs.inswave.com/websquare/websquare.html?w2xPath=/support/api/guide/CheckBox/visibleColumn_visibleColumnFalseValue_setVisibleColumn_CheckBox.xml</v>
      </c>
      <c r="Y125" s="48" t="str">
        <f>HYPERLINK(X125, H125)</f>
        <v>일부 선택 항목 숨기기</v>
      </c>
      <c r="Z125" s="4" t="str">
        <f>HYPERLINK(V125,H125)</f>
        <v>일부 선택 항목 숨기기</v>
      </c>
      <c r="AA125" s="4" t="str">
        <f>HYPERLINK(J125,H125)</f>
        <v>일부 선택 항목 숨기기</v>
      </c>
      <c r="AB125" s="39" t="str">
        <f t="shared" si="5"/>
        <v>https://docs.inswave.com/websquare/websquare.html?w2xPath=/support/api/guide/CheckBox/visibleColumn_visibleColumnFalseValue_setVisibleColumn_CheckBox.xml</v>
      </c>
      <c r="AC125" s="45"/>
      <c r="AD125" s="45"/>
    </row>
    <row r="126" spans="1:30" s="39" customFormat="1" ht="102" x14ac:dyDescent="0.45">
      <c r="A126" s="37">
        <f>SUBTOTAL(3, $T$2:T126)</f>
        <v>70</v>
      </c>
      <c r="B126" s="38" t="s">
        <v>26</v>
      </c>
      <c r="C126" s="39" t="s">
        <v>26</v>
      </c>
      <c r="D126" s="39" t="s">
        <v>1360</v>
      </c>
      <c r="E126" s="40" t="s">
        <v>3816</v>
      </c>
      <c r="F126" s="41" t="s">
        <v>2349</v>
      </c>
      <c r="G126" s="44" t="s">
        <v>1361</v>
      </c>
      <c r="H126" s="53" t="s">
        <v>3815</v>
      </c>
      <c r="I126" s="44" t="s">
        <v>1330</v>
      </c>
      <c r="J126" s="14" t="s">
        <v>2338</v>
      </c>
      <c r="K126" s="22" t="s">
        <v>2818</v>
      </c>
      <c r="L126" s="46">
        <v>43800</v>
      </c>
      <c r="M126" s="14"/>
      <c r="N126" s="45" t="s">
        <v>199</v>
      </c>
      <c r="O126" s="45" t="s">
        <v>199</v>
      </c>
      <c r="P126" s="45" t="s">
        <v>199</v>
      </c>
      <c r="Q126" s="45" t="s">
        <v>199</v>
      </c>
      <c r="R126" s="45" t="s">
        <v>199</v>
      </c>
      <c r="S126" s="45" t="s">
        <v>199</v>
      </c>
      <c r="T126" s="47" t="s">
        <v>4247</v>
      </c>
      <c r="U126" s="39" t="s">
        <v>3764</v>
      </c>
      <c r="V126" s="39" t="str">
        <f>CONCATENATE(U126, D126)</f>
        <v>https://example.websquare.kr/websquare/websquare.html?w2xPath=/guide/CheckBox/tooltipDisplay_tooltipShowAlways_tooltipFormatter_CheckBox.xml</v>
      </c>
      <c r="W126" s="39" t="s">
        <v>4512</v>
      </c>
      <c r="X126" s="39" t="str">
        <f>CONCATENATE(W126, D126)</f>
        <v>https://docs.inswave.com/websquare/websquare.html?w2xPath=/support/api/guide/CheckBox/tooltipDisplay_tooltipShowAlways_tooltipFormatter_CheckBox.xml</v>
      </c>
      <c r="Y126" s="48" t="str">
        <f>HYPERLINK(X126, H126)</f>
        <v>툴팁 설정</v>
      </c>
      <c r="Z126" s="4" t="str">
        <f>HYPERLINK(V126,H126)</f>
        <v>툴팁 설정</v>
      </c>
      <c r="AA126" s="4" t="str">
        <f>HYPERLINK(J126,H126)</f>
        <v>툴팁 설정</v>
      </c>
      <c r="AB126" s="39" t="str">
        <f t="shared" si="5"/>
        <v>https://docs.inswave.com/websquare/websquare.html?w2xPath=/support/api/guide/CheckBox/tooltipDisplay_tooltipShowAlways_tooltipFormatter_CheckBox.xml</v>
      </c>
    </row>
    <row r="127" spans="1:30" s="39" customFormat="1" ht="153" x14ac:dyDescent="0.45">
      <c r="A127" s="37">
        <f>SUBTOTAL(3, $T$2:T127)</f>
        <v>71</v>
      </c>
      <c r="B127" s="38" t="s">
        <v>15</v>
      </c>
      <c r="C127" s="39" t="s">
        <v>15</v>
      </c>
      <c r="D127" s="39" t="s">
        <v>3737</v>
      </c>
      <c r="E127" s="40" t="s">
        <v>2502</v>
      </c>
      <c r="F127" s="41" t="s">
        <v>2525</v>
      </c>
      <c r="G127" s="40" t="s">
        <v>1219</v>
      </c>
      <c r="H127" s="53" t="s">
        <v>3814</v>
      </c>
      <c r="I127" s="44" t="s">
        <v>1216</v>
      </c>
      <c r="J127" s="14" t="s">
        <v>2501</v>
      </c>
      <c r="K127" s="22" t="s">
        <v>2820</v>
      </c>
      <c r="L127" s="46">
        <v>43709</v>
      </c>
      <c r="M127" s="14"/>
      <c r="N127" s="45" t="s">
        <v>199</v>
      </c>
      <c r="O127" s="45" t="s">
        <v>199</v>
      </c>
      <c r="P127" s="45" t="s">
        <v>199</v>
      </c>
      <c r="Q127" s="45" t="s">
        <v>199</v>
      </c>
      <c r="R127" s="45" t="s">
        <v>199</v>
      </c>
      <c r="S127" s="45" t="s">
        <v>199</v>
      </c>
      <c r="T127" s="47" t="s">
        <v>4247</v>
      </c>
      <c r="U127" s="39" t="s">
        <v>3764</v>
      </c>
      <c r="V127" s="39" t="str">
        <f>CONCATENATE(U127, D127)</f>
        <v>https://example.websquare.kr/websquare/websquare.html?w2xPath=/guide/CheckComboBox/BindItemSet_allOption_chooseOption_chooseOptionLabel_CheckComboBox/BindItemSet_allOption_chooseOption_chooseOptionLabel_CheckComboBox.xml</v>
      </c>
      <c r="W127" s="39" t="s">
        <v>4512</v>
      </c>
      <c r="X127" s="39" t="str">
        <f>CONCATENATE(W127, D127)</f>
        <v>https://docs.inswave.com/websquare/websquare.html?w2xPath=/support/api/guide/CheckComboBox/BindItemSet_allOption_chooseOption_chooseOptionLabel_CheckComboBox/BindItemSet_allOption_chooseOption_chooseOptionLabel_CheckComboBox.xml</v>
      </c>
      <c r="Y127" s="48" t="str">
        <f>HYPERLINK(X127, H127)</f>
        <v>DataList와 바인딩</v>
      </c>
      <c r="Z127" s="4" t="str">
        <f>HYPERLINK(V127,H127)</f>
        <v>DataList와 바인딩</v>
      </c>
      <c r="AA127" s="4" t="str">
        <f>HYPERLINK(J127,H127)</f>
        <v>DataList와 바인딩</v>
      </c>
      <c r="AB127" s="39" t="str">
        <f t="shared" si="5"/>
        <v>https://docs.inswave.com/websquare/websquare.html?w2xPath=/support/api/guide/CheckComboBox/BindItemSet_allOption_chooseOption_chooseOptionLabel_CheckComboBox/BindItemSet_allOption_chooseOption_chooseOptionLabel_CheckComboBox.xml</v>
      </c>
    </row>
    <row r="128" spans="1:30" s="39" customFormat="1" ht="102" x14ac:dyDescent="0.45">
      <c r="A128" s="37">
        <f>SUBTOTAL(3, $T$2:T128)</f>
        <v>72</v>
      </c>
      <c r="B128" s="38" t="s">
        <v>1919</v>
      </c>
      <c r="C128" s="39" t="s">
        <v>1919</v>
      </c>
      <c r="D128" s="39" t="s">
        <v>2046</v>
      </c>
      <c r="E128" s="40" t="s">
        <v>1985</v>
      </c>
      <c r="F128" s="41" t="s">
        <v>1970</v>
      </c>
      <c r="G128" s="39" t="s">
        <v>1973</v>
      </c>
      <c r="H128" s="53" t="s">
        <v>3822</v>
      </c>
      <c r="I128" s="44" t="s">
        <v>1979</v>
      </c>
      <c r="J128" s="14" t="s">
        <v>2058</v>
      </c>
      <c r="K128" s="22" t="s">
        <v>2825</v>
      </c>
      <c r="L128" s="46">
        <v>44986</v>
      </c>
      <c r="M128" s="14"/>
      <c r="N128" s="45" t="s">
        <v>199</v>
      </c>
      <c r="O128" s="45" t="s">
        <v>199</v>
      </c>
      <c r="P128" s="45" t="s">
        <v>199</v>
      </c>
      <c r="Q128" s="45" t="s">
        <v>199</v>
      </c>
      <c r="R128" s="45" t="s">
        <v>199</v>
      </c>
      <c r="S128" s="45" t="s">
        <v>199</v>
      </c>
      <c r="T128" s="47" t="s">
        <v>4247</v>
      </c>
      <c r="U128" s="39" t="s">
        <v>3764</v>
      </c>
      <c r="V128" s="39" t="str">
        <f>CONCATENATE(U128, D128)</f>
        <v>https://example.websquare.kr/websquare/websquare.html?w2xPath=/guide/CheckComboBox/setDisplayMode_CheckComboBox.xml</v>
      </c>
      <c r="W128" s="39" t="s">
        <v>4512</v>
      </c>
      <c r="X128" s="39" t="str">
        <f>CONCATENATE(W128, D128)</f>
        <v>https://docs.inswave.com/websquare/websquare.html?w2xPath=/support/api/guide/CheckComboBox/setDisplayMode_CheckComboBox.xml</v>
      </c>
      <c r="Y128" s="48" t="str">
        <f>HYPERLINK(X128, H128)</f>
        <v>Label 및 Value 표시 방법 설정 (동적)</v>
      </c>
      <c r="Z128" s="4" t="str">
        <f>HYPERLINK(V128,H128)</f>
        <v>Label 및 Value 표시 방법 설정 (동적)</v>
      </c>
      <c r="AA128" s="4" t="str">
        <f>HYPERLINK(J128,H128)</f>
        <v>Label 및 Value 표시 방법 설정 (동적)</v>
      </c>
      <c r="AB128" s="39" t="str">
        <f t="shared" si="5"/>
        <v>https://docs.inswave.com/websquare/websquare.html?w2xPath=/support/api/guide/CheckComboBox/setDisplayMode_CheckComboBox.xml</v>
      </c>
    </row>
    <row r="129" spans="1:30" s="39" customFormat="1" ht="102" x14ac:dyDescent="0.45">
      <c r="A129" s="37">
        <f>SUBTOTAL(3, $T$2:T129)</f>
        <v>73</v>
      </c>
      <c r="B129" s="38" t="s">
        <v>15</v>
      </c>
      <c r="C129" s="39" t="s">
        <v>15</v>
      </c>
      <c r="D129" s="39" t="s">
        <v>1629</v>
      </c>
      <c r="E129" s="40" t="s">
        <v>2503</v>
      </c>
      <c r="F129" s="41" t="s">
        <v>2526</v>
      </c>
      <c r="G129" s="44" t="s">
        <v>2506</v>
      </c>
      <c r="H129" s="53" t="s">
        <v>3821</v>
      </c>
      <c r="I129" s="44" t="s">
        <v>1220</v>
      </c>
      <c r="J129" s="14" t="s">
        <v>2505</v>
      </c>
      <c r="K129" s="22" t="s">
        <v>2822</v>
      </c>
      <c r="L129" s="46">
        <v>43709</v>
      </c>
      <c r="M129" s="14"/>
      <c r="N129" s="45" t="s">
        <v>199</v>
      </c>
      <c r="O129" s="45" t="s">
        <v>199</v>
      </c>
      <c r="P129" s="45" t="s">
        <v>199</v>
      </c>
      <c r="Q129" s="45" t="s">
        <v>199</v>
      </c>
      <c r="R129" s="45" t="s">
        <v>199</v>
      </c>
      <c r="S129" s="45" t="s">
        <v>199</v>
      </c>
      <c r="T129" s="47" t="s">
        <v>4247</v>
      </c>
      <c r="U129" s="39" t="s">
        <v>3764</v>
      </c>
      <c r="V129" s="39" t="str">
        <f>CONCATENATE(U129, D129)</f>
        <v>https://example.websquare.kr/websquare/websquare.html?w2xPath=/guide/CheckComboBox/displayMode_delimiter_CheckComboBox.xml</v>
      </c>
      <c r="W129" s="39" t="s">
        <v>4512</v>
      </c>
      <c r="X129" s="39" t="str">
        <f>CONCATENATE(W129, D129)</f>
        <v>https://docs.inswave.com/websquare/websquare.html?w2xPath=/support/api/guide/CheckComboBox/displayMode_delimiter_CheckComboBox.xml</v>
      </c>
      <c r="Y129" s="48" t="str">
        <f>HYPERLINK(X129, H129)</f>
        <v>Label 및 Value 표시 방법 설정 (정적)</v>
      </c>
      <c r="Z129" s="4" t="str">
        <f>HYPERLINK(V129,H129)</f>
        <v>Label 및 Value 표시 방법 설정 (정적)</v>
      </c>
      <c r="AA129" s="4" t="str">
        <f>HYPERLINK(J129,H129)</f>
        <v>Label 및 Value 표시 방법 설정 (정적)</v>
      </c>
      <c r="AB129" s="39" t="str">
        <f t="shared" si="5"/>
        <v>https://docs.inswave.com/websquare/websquare.html?w2xPath=/support/api/guide/CheckComboBox/displayMode_delimiter_CheckComboBox.xml</v>
      </c>
      <c r="AC129" s="45"/>
      <c r="AD129" s="45"/>
    </row>
    <row r="130" spans="1:30" s="39" customFormat="1" ht="102" x14ac:dyDescent="0.45">
      <c r="A130" s="37">
        <f>SUBTOTAL(3, $T$2:T130)</f>
        <v>74</v>
      </c>
      <c r="B130" s="38" t="s">
        <v>1919</v>
      </c>
      <c r="C130" s="39" t="s">
        <v>1919</v>
      </c>
      <c r="D130" s="39" t="s">
        <v>2047</v>
      </c>
      <c r="E130" s="40" t="s">
        <v>1986</v>
      </c>
      <c r="F130" s="41" t="s">
        <v>1969</v>
      </c>
      <c r="G130" s="39" t="s">
        <v>2045</v>
      </c>
      <c r="H130" s="53" t="s">
        <v>3811</v>
      </c>
      <c r="I130" s="44" t="s">
        <v>1980</v>
      </c>
      <c r="J130" s="14" t="s">
        <v>2059</v>
      </c>
      <c r="K130" s="22" t="s">
        <v>2824</v>
      </c>
      <c r="L130" s="46">
        <v>44986</v>
      </c>
      <c r="M130" s="14"/>
      <c r="N130" s="45" t="s">
        <v>199</v>
      </c>
      <c r="O130" s="45" t="s">
        <v>199</v>
      </c>
      <c r="P130" s="45" t="s">
        <v>199</v>
      </c>
      <c r="Q130" s="45" t="s">
        <v>199</v>
      </c>
      <c r="R130" s="45" t="s">
        <v>199</v>
      </c>
      <c r="S130" s="45" t="s">
        <v>199</v>
      </c>
      <c r="T130" s="47" t="s">
        <v>4247</v>
      </c>
      <c r="U130" s="39" t="s">
        <v>3764</v>
      </c>
      <c r="V130" s="39" t="str">
        <f>CONCATENATE(U130, D130)</f>
        <v>https://example.websquare.kr/websquare/websquare.html?w2xPath=/guide/CheckComboBox/setDelimiter_CheckComboBox.xml</v>
      </c>
      <c r="W130" s="39" t="s">
        <v>4512</v>
      </c>
      <c r="X130" s="39" t="str">
        <f>CONCATENATE(W130, D130)</f>
        <v>https://docs.inswave.com/websquare/websquare.html?w2xPath=/support/api/guide/CheckComboBox/setDelimiter_CheckComboBox.xml</v>
      </c>
      <c r="Y130" s="48" t="str">
        <f>HYPERLINK(X130, H130)</f>
        <v>구분자 동적 설정</v>
      </c>
      <c r="Z130" s="4" t="str">
        <f>HYPERLINK(V130,H130)</f>
        <v>구분자 동적 설정</v>
      </c>
      <c r="AA130" s="4" t="str">
        <f>HYPERLINK(J130,H130)</f>
        <v>구분자 동적 설정</v>
      </c>
      <c r="AB130" s="39" t="str">
        <f t="shared" si="5"/>
        <v>https://docs.inswave.com/websquare/websquare.html?w2xPath=/support/api/guide/CheckComboBox/setDelimiter_CheckComboBox.xml</v>
      </c>
    </row>
    <row r="131" spans="1:30" s="39" customFormat="1" ht="102" x14ac:dyDescent="0.45">
      <c r="A131" s="37">
        <f>SUBTOTAL(3, $T$2:T131)</f>
        <v>75</v>
      </c>
      <c r="B131" s="38" t="s">
        <v>15</v>
      </c>
      <c r="C131" s="39" t="s">
        <v>15</v>
      </c>
      <c r="D131" s="39" t="s">
        <v>402</v>
      </c>
      <c r="E131" s="57" t="s">
        <v>3827</v>
      </c>
      <c r="F131" s="41" t="s">
        <v>191</v>
      </c>
      <c r="G131" s="39" t="s">
        <v>111</v>
      </c>
      <c r="H131" s="53" t="s">
        <v>3826</v>
      </c>
      <c r="I131" s="44" t="s">
        <v>251</v>
      </c>
      <c r="J131" s="14" t="s">
        <v>401</v>
      </c>
      <c r="K131" s="22" t="s">
        <v>2829</v>
      </c>
      <c r="L131" s="46">
        <v>44440</v>
      </c>
      <c r="M131" s="50" t="s">
        <v>199</v>
      </c>
      <c r="N131" s="45" t="s">
        <v>199</v>
      </c>
      <c r="O131" s="45" t="s">
        <v>199</v>
      </c>
      <c r="P131" s="45" t="s">
        <v>199</v>
      </c>
      <c r="Q131" s="45" t="s">
        <v>199</v>
      </c>
      <c r="R131" s="45" t="s">
        <v>199</v>
      </c>
      <c r="S131" s="45" t="s">
        <v>199</v>
      </c>
      <c r="T131" s="47" t="s">
        <v>4247</v>
      </c>
      <c r="U131" s="39" t="s">
        <v>3764</v>
      </c>
      <c r="V131" s="39" t="str">
        <f>CONCATENATE(U131, D131)</f>
        <v>https://example.websquare.kr/websquare/websquare.html?w2xPath=/guide/CheckComboBox/useDrag_rangeSeparator_CheckComboBox.xml</v>
      </c>
      <c r="W131" s="39" t="s">
        <v>4512</v>
      </c>
      <c r="X131" s="39" t="str">
        <f>CONCATENATE(W131, D131)</f>
        <v>https://docs.inswave.com/websquare/websquare.html?w2xPath=/support/api/guide/CheckComboBox/useDrag_rangeSeparator_CheckComboBox.xml</v>
      </c>
      <c r="Y131" s="48" t="str">
        <f>HYPERLINK(X131, H131)</f>
        <v>마우스 드래깅을 통한 연속된 값 선택</v>
      </c>
      <c r="Z131" s="4" t="str">
        <f>HYPERLINK(V131,H131)</f>
        <v>마우스 드래깅을 통한 연속된 값 선택</v>
      </c>
      <c r="AA131" s="4" t="str">
        <f>HYPERLINK(J131,H131)</f>
        <v>마우스 드래깅을 통한 연속된 값 선택</v>
      </c>
      <c r="AB131" s="39" t="str">
        <f t="shared" si="5"/>
        <v>https://docs.inswave.com/websquare/websquare.html?w2xPath=/support/api/guide/CheckComboBox/useDrag_rangeSeparator_CheckComboBox.xml</v>
      </c>
    </row>
    <row r="132" spans="1:30" s="39" customFormat="1" ht="102" x14ac:dyDescent="0.45">
      <c r="A132" s="37">
        <f>SUBTOTAL(3, $T$2:T132)</f>
        <v>76</v>
      </c>
      <c r="B132" s="38" t="s">
        <v>1919</v>
      </c>
      <c r="C132" s="38" t="s">
        <v>1919</v>
      </c>
      <c r="D132" s="39" t="s">
        <v>2631</v>
      </c>
      <c r="E132" s="40" t="s">
        <v>3817</v>
      </c>
      <c r="F132" s="41" t="s">
        <v>2623</v>
      </c>
      <c r="G132" s="39" t="s">
        <v>2630</v>
      </c>
      <c r="H132" s="53" t="s">
        <v>3818</v>
      </c>
      <c r="I132" s="44" t="s">
        <v>2628</v>
      </c>
      <c r="J132" s="14" t="s">
        <v>2633</v>
      </c>
      <c r="K132" s="22" t="s">
        <v>2821</v>
      </c>
      <c r="L132" s="46">
        <v>45352</v>
      </c>
      <c r="M132" s="45" t="s">
        <v>199</v>
      </c>
      <c r="N132" s="45" t="s">
        <v>199</v>
      </c>
      <c r="O132" s="45" t="s">
        <v>199</v>
      </c>
      <c r="P132" s="45" t="s">
        <v>199</v>
      </c>
      <c r="Q132" s="45" t="s">
        <v>199</v>
      </c>
      <c r="R132" s="45" t="s">
        <v>199</v>
      </c>
      <c r="S132" s="45" t="s">
        <v>199</v>
      </c>
      <c r="T132" s="47" t="s">
        <v>4247</v>
      </c>
      <c r="U132" s="39" t="s">
        <v>3764</v>
      </c>
      <c r="V132" s="39" t="str">
        <f>CONCATENATE(U132, D132)</f>
        <v>https://example.websquare.kr/websquare/websquare.html?w2xPath=/guide/CheckComboBox/columnEllipsis_CheckComboBox.xml</v>
      </c>
      <c r="W132" s="39" t="s">
        <v>4512</v>
      </c>
      <c r="X132" s="39" t="str">
        <f>CONCATENATE(W132, D132)</f>
        <v>https://docs.inswave.com/websquare/websquare.html?w2xPath=/support/api/guide/CheckComboBox/columnEllipsis_CheckComboBox.xml</v>
      </c>
      <c r="Y132" s="48" t="str">
        <f>HYPERLINK(X132, H132)</f>
        <v>말 줄임표 표시</v>
      </c>
      <c r="Z132" s="4" t="str">
        <f>HYPERLINK(V132,H132)</f>
        <v>말 줄임표 표시</v>
      </c>
      <c r="AA132" s="4" t="str">
        <f>HYPERLINK(J132,H132)</f>
        <v>말 줄임표 표시</v>
      </c>
      <c r="AB132" s="39" t="str">
        <f t="shared" si="5"/>
        <v>https://docs.inswave.com/websquare/websquare.html?w2xPath=/support/api/guide/CheckComboBox/columnEllipsis_CheckComboBox.xml</v>
      </c>
    </row>
    <row r="133" spans="1:30" s="39" customFormat="1" ht="102" x14ac:dyDescent="0.45">
      <c r="A133" s="37">
        <f>SUBTOTAL(3, $T$2:T133)</f>
        <v>77</v>
      </c>
      <c r="B133" s="38" t="s">
        <v>1919</v>
      </c>
      <c r="C133" s="38" t="s">
        <v>1919</v>
      </c>
      <c r="D133" s="39" t="s">
        <v>2634</v>
      </c>
      <c r="E133" s="40" t="s">
        <v>2624</v>
      </c>
      <c r="F133" s="41" t="s">
        <v>2622</v>
      </c>
      <c r="G133" s="39" t="s">
        <v>2629</v>
      </c>
      <c r="H133" s="53" t="s">
        <v>3825</v>
      </c>
      <c r="I133" s="39" t="s">
        <v>2627</v>
      </c>
      <c r="J133" s="14" t="s">
        <v>2632</v>
      </c>
      <c r="K133" s="22" t="s">
        <v>2828</v>
      </c>
      <c r="L133" s="46">
        <v>45352</v>
      </c>
      <c r="M133" s="45" t="s">
        <v>199</v>
      </c>
      <c r="N133" s="45" t="s">
        <v>199</v>
      </c>
      <c r="O133" s="45" t="s">
        <v>199</v>
      </c>
      <c r="P133" s="45" t="s">
        <v>199</v>
      </c>
      <c r="Q133" s="45" t="s">
        <v>199</v>
      </c>
      <c r="R133" s="45" t="s">
        <v>199</v>
      </c>
      <c r="S133" s="45" t="s">
        <v>199</v>
      </c>
      <c r="T133" s="47" t="s">
        <v>4247</v>
      </c>
      <c r="U133" s="39" t="s">
        <v>3764</v>
      </c>
      <c r="V133" s="39" t="str">
        <f>CONCATENATE(U133, D133)</f>
        <v>https://example.websquare.kr/websquare/websquare.html?w2xPath=/guide/CheckComboBox/submenuSize_CheckComboBox.xml</v>
      </c>
      <c r="W133" s="39" t="s">
        <v>4512</v>
      </c>
      <c r="X133" s="39" t="str">
        <f>CONCATENATE(W133, D133)</f>
        <v>https://docs.inswave.com/websquare/websquare.html?w2xPath=/support/api/guide/CheckComboBox/submenuSize_CheckComboBox.xml</v>
      </c>
      <c r="Y133" s="48" t="str">
        <f>HYPERLINK(X133, H133)</f>
        <v>선택 항목 목록 너비 설정</v>
      </c>
      <c r="Z133" s="4" t="str">
        <f>HYPERLINK(V133,H133)</f>
        <v>선택 항목 목록 너비 설정</v>
      </c>
      <c r="AA133" s="4" t="str">
        <f>HYPERLINK(J133,H133)</f>
        <v>선택 항목 목록 너비 설정</v>
      </c>
      <c r="AB133" s="39" t="str">
        <f t="shared" ref="AB133:AB196" si="6">CONCATENATE(W133, D133)</f>
        <v>https://docs.inswave.com/websquare/websquare.html?w2xPath=/support/api/guide/CheckComboBox/submenuSize_CheckComboBox.xml</v>
      </c>
    </row>
    <row r="134" spans="1:30" s="39" customFormat="1" ht="102" x14ac:dyDescent="0.45">
      <c r="A134" s="37">
        <f>SUBTOTAL(3, $T$2:T134)</f>
        <v>78</v>
      </c>
      <c r="B134" s="38" t="s">
        <v>1919</v>
      </c>
      <c r="C134" s="39" t="s">
        <v>1919</v>
      </c>
      <c r="D134" s="39" t="s">
        <v>1936</v>
      </c>
      <c r="E134" s="40" t="s">
        <v>3824</v>
      </c>
      <c r="F134" s="41" t="s">
        <v>1924</v>
      </c>
      <c r="G134" s="39" t="s">
        <v>1944</v>
      </c>
      <c r="H134" s="53" t="s">
        <v>3823</v>
      </c>
      <c r="I134" s="44" t="s">
        <v>1925</v>
      </c>
      <c r="J134" s="14" t="s">
        <v>1942</v>
      </c>
      <c r="K134" s="22" t="s">
        <v>2827</v>
      </c>
      <c r="L134" s="46">
        <v>44927</v>
      </c>
      <c r="M134" s="50" t="s">
        <v>199</v>
      </c>
      <c r="N134" s="45" t="s">
        <v>199</v>
      </c>
      <c r="O134" s="45" t="s">
        <v>199</v>
      </c>
      <c r="P134" s="45" t="s">
        <v>199</v>
      </c>
      <c r="Q134" s="45" t="s">
        <v>199</v>
      </c>
      <c r="R134" s="45" t="s">
        <v>199</v>
      </c>
      <c r="S134" s="45" t="s">
        <v>199</v>
      </c>
      <c r="T134" s="47" t="s">
        <v>4247</v>
      </c>
      <c r="U134" s="39" t="s">
        <v>3764</v>
      </c>
      <c r="V134" s="39" t="str">
        <f>CONCATENATE(U134, D134)</f>
        <v>https://example.websquare.kr/websquare/websquare.html?w2xPath=/guide/CheckComboBox/showCheckedTop_checkboxClickSync_CheckComboBox.xml</v>
      </c>
      <c r="W134" s="39" t="s">
        <v>4512</v>
      </c>
      <c r="X134" s="39" t="str">
        <f>CONCATENATE(W134, D134)</f>
        <v>https://docs.inswave.com/websquare/websquare.html?w2xPath=/support/api/guide/CheckComboBox/showCheckedTop_checkboxClickSync_CheckComboBox.xml</v>
      </c>
      <c r="Y134" s="48" t="str">
        <f>HYPERLINK(X134, H134)</f>
        <v>선택된 항목을 목록 상단에 표시</v>
      </c>
      <c r="Z134" s="4" t="str">
        <f>HYPERLINK(V134,H134)</f>
        <v>선택된 항목을 목록 상단에 표시</v>
      </c>
      <c r="AA134" s="4" t="str">
        <f>HYPERLINK(J134,H134)</f>
        <v>선택된 항목을 목록 상단에 표시</v>
      </c>
      <c r="AB134" s="39" t="str">
        <f t="shared" si="6"/>
        <v>https://docs.inswave.com/websquare/websquare.html?w2xPath=/support/api/guide/CheckComboBox/showCheckedTop_checkboxClickSync_CheckComboBox.xml</v>
      </c>
    </row>
    <row r="135" spans="1:30" s="39" customFormat="1" ht="102" x14ac:dyDescent="0.45">
      <c r="A135" s="37">
        <f>SUBTOTAL(3, $T$2:T135)</f>
        <v>79</v>
      </c>
      <c r="B135" s="38" t="s">
        <v>15</v>
      </c>
      <c r="C135" s="39" t="s">
        <v>15</v>
      </c>
      <c r="D135" s="39" t="s">
        <v>266</v>
      </c>
      <c r="E135" s="57" t="s">
        <v>232</v>
      </c>
      <c r="F135" s="41" t="s">
        <v>190</v>
      </c>
      <c r="G135" s="39" t="s">
        <v>110</v>
      </c>
      <c r="H135" s="53" t="s">
        <v>3819</v>
      </c>
      <c r="I135" s="39" t="s">
        <v>107</v>
      </c>
      <c r="J135" s="14" t="s">
        <v>398</v>
      </c>
      <c r="K135" s="22" t="s">
        <v>2833</v>
      </c>
      <c r="L135" s="46">
        <v>44440</v>
      </c>
      <c r="M135" s="50" t="s">
        <v>199</v>
      </c>
      <c r="N135" s="45" t="s">
        <v>199</v>
      </c>
      <c r="O135" s="45" t="s">
        <v>199</v>
      </c>
      <c r="P135" s="45" t="s">
        <v>199</v>
      </c>
      <c r="Q135" s="45" t="s">
        <v>199</v>
      </c>
      <c r="R135" s="45" t="s">
        <v>199</v>
      </c>
      <c r="S135" s="45" t="s">
        <v>199</v>
      </c>
      <c r="T135" s="47" t="s">
        <v>4247</v>
      </c>
      <c r="U135" s="39" t="s">
        <v>3764</v>
      </c>
      <c r="V135" s="39" t="str">
        <f>CONCATENATE(U135, D135)</f>
        <v>https://example.websquare.kr/websquare/websquare.html?w2xPath=/guide/CheckComboBox/visibleColNum_CheckComboBox.xml</v>
      </c>
      <c r="W135" s="39" t="s">
        <v>4512</v>
      </c>
      <c r="X135" s="39" t="str">
        <f>CONCATENATE(W135, D135)</f>
        <v>https://docs.inswave.com/websquare/websquare.html?w2xPath=/support/api/guide/CheckComboBox/visibleColNum_CheckComboBox.xml</v>
      </c>
      <c r="Y135" s="48" t="str">
        <f>HYPERLINK(X135, H135)</f>
        <v>열 개수 설정</v>
      </c>
      <c r="Z135" s="4" t="str">
        <f>HYPERLINK(V135,H135)</f>
        <v>열 개수 설정</v>
      </c>
      <c r="AA135" s="4" t="str">
        <f>HYPERLINK(J135,H135)</f>
        <v>열 개수 설정</v>
      </c>
      <c r="AB135" s="39" t="str">
        <f t="shared" si="6"/>
        <v>https://docs.inswave.com/websquare/websquare.html?w2xPath=/support/api/guide/CheckComboBox/visibleColNum_CheckComboBox.xml</v>
      </c>
    </row>
    <row r="136" spans="1:30" s="39" customFormat="1" ht="102" x14ac:dyDescent="0.45">
      <c r="A136" s="37">
        <f>SUBTOTAL(3, $T$2:T136)</f>
        <v>80</v>
      </c>
      <c r="B136" s="38" t="s">
        <v>15</v>
      </c>
      <c r="C136" s="39" t="s">
        <v>15</v>
      </c>
      <c r="D136" s="39" t="s">
        <v>635</v>
      </c>
      <c r="E136" s="40" t="s">
        <v>636</v>
      </c>
      <c r="F136" s="41" t="s">
        <v>641</v>
      </c>
      <c r="G136" s="39" t="s">
        <v>576</v>
      </c>
      <c r="H136" s="53" t="s">
        <v>3807</v>
      </c>
      <c r="I136" s="44" t="s">
        <v>574</v>
      </c>
      <c r="J136" s="14" t="s">
        <v>640</v>
      </c>
      <c r="K136" s="22" t="s">
        <v>2826</v>
      </c>
      <c r="L136" s="46">
        <v>44593</v>
      </c>
      <c r="M136" s="14"/>
      <c r="N136" s="45" t="s">
        <v>199</v>
      </c>
      <c r="O136" s="45" t="s">
        <v>199</v>
      </c>
      <c r="P136" s="47" t="s">
        <v>199</v>
      </c>
      <c r="Q136" s="45" t="s">
        <v>199</v>
      </c>
      <c r="R136" s="45" t="s">
        <v>199</v>
      </c>
      <c r="S136" s="45" t="s">
        <v>199</v>
      </c>
      <c r="T136" s="47" t="s">
        <v>4247</v>
      </c>
      <c r="U136" s="39" t="s">
        <v>3764</v>
      </c>
      <c r="V136" s="39" t="str">
        <f>CONCATENATE(U136, D136)</f>
        <v>https://example.websquare.kr/websquare/websquare.html?w2xPath=/guide/CheckComboBox/setEnableColumn_CheckComboBox.xml</v>
      </c>
      <c r="W136" s="39" t="s">
        <v>4512</v>
      </c>
      <c r="X136" s="39" t="str">
        <f>CONCATENATE(W136, D136)</f>
        <v>https://docs.inswave.com/websquare/websquare.html?w2xPath=/support/api/guide/CheckComboBox/setEnableColumn_CheckComboBox.xml</v>
      </c>
      <c r="Y136" s="48" t="str">
        <f>HYPERLINK(X136, H136)</f>
        <v>일부 선택 항목 (동적으로) 비활성화</v>
      </c>
      <c r="Z136" s="4" t="str">
        <f>HYPERLINK(V136,H136)</f>
        <v>일부 선택 항목 (동적으로) 비활성화</v>
      </c>
      <c r="AA136" s="4" t="str">
        <f>HYPERLINK(J136,H136)</f>
        <v>일부 선택 항목 (동적으로) 비활성화</v>
      </c>
      <c r="AB136" s="39" t="str">
        <f t="shared" si="6"/>
        <v>https://docs.inswave.com/websquare/websquare.html?w2xPath=/support/api/guide/CheckComboBox/setEnableColumn_CheckComboBox.xml</v>
      </c>
    </row>
    <row r="137" spans="1:30" s="39" customFormat="1" ht="102" x14ac:dyDescent="0.45">
      <c r="A137" s="37">
        <f>SUBTOTAL(3, $T$2:T137)</f>
        <v>81</v>
      </c>
      <c r="B137" s="38" t="s">
        <v>15</v>
      </c>
      <c r="C137" s="39" t="s">
        <v>15</v>
      </c>
      <c r="D137" s="39" t="s">
        <v>600</v>
      </c>
      <c r="E137" s="40" t="s">
        <v>599</v>
      </c>
      <c r="F137" s="41" t="s">
        <v>612</v>
      </c>
      <c r="G137" s="39" t="s">
        <v>564</v>
      </c>
      <c r="H137" s="53" t="s">
        <v>3806</v>
      </c>
      <c r="I137" s="44" t="s">
        <v>567</v>
      </c>
      <c r="J137" s="14" t="s">
        <v>611</v>
      </c>
      <c r="K137" s="22" t="s">
        <v>2823</v>
      </c>
      <c r="L137" s="46">
        <v>44593</v>
      </c>
      <c r="M137" s="14"/>
      <c r="N137" s="45" t="s">
        <v>199</v>
      </c>
      <c r="O137" s="45" t="s">
        <v>199</v>
      </c>
      <c r="P137" s="47" t="s">
        <v>199</v>
      </c>
      <c r="Q137" s="45" t="s">
        <v>199</v>
      </c>
      <c r="R137" s="45" t="s">
        <v>199</v>
      </c>
      <c r="S137" s="45" t="s">
        <v>199</v>
      </c>
      <c r="T137" s="47" t="s">
        <v>4247</v>
      </c>
      <c r="U137" s="39" t="s">
        <v>3764</v>
      </c>
      <c r="V137" s="39" t="str">
        <f>CONCATENATE(U137, D137)</f>
        <v>https://example.websquare.kr/websquare/websquare.html?w2xPath=/guide/CheckComboBox/enableColumn_enableColumnFalseValue_CheckComboBox.xml</v>
      </c>
      <c r="W137" s="39" t="s">
        <v>4512</v>
      </c>
      <c r="X137" s="39" t="str">
        <f>CONCATENATE(W137, D137)</f>
        <v>https://docs.inswave.com/websquare/websquare.html?w2xPath=/support/api/guide/CheckComboBox/enableColumn_enableColumnFalseValue_CheckComboBox.xml</v>
      </c>
      <c r="Y137" s="48" t="str">
        <f>HYPERLINK(X137, H137)</f>
        <v>일부 선택 항목 (정적으로) 비활성화</v>
      </c>
      <c r="Z137" s="4" t="str">
        <f>HYPERLINK(V137,H137)</f>
        <v>일부 선택 항목 (정적으로) 비활성화</v>
      </c>
      <c r="AA137" s="4" t="str">
        <f>HYPERLINK(J137,H137)</f>
        <v>일부 선택 항목 (정적으로) 비활성화</v>
      </c>
      <c r="AB137" s="39" t="str">
        <f t="shared" si="6"/>
        <v>https://docs.inswave.com/websquare/websquare.html?w2xPath=/support/api/guide/CheckComboBox/enableColumn_enableColumnFalseValue_CheckComboBox.xml</v>
      </c>
    </row>
    <row r="138" spans="1:30" s="39" customFormat="1" ht="102" x14ac:dyDescent="0.45">
      <c r="A138" s="37">
        <f>SUBTOTAL(3, $T$2:T138)</f>
        <v>82</v>
      </c>
      <c r="B138" s="38" t="s">
        <v>15</v>
      </c>
      <c r="C138" s="39" t="s">
        <v>15</v>
      </c>
      <c r="D138" s="39" t="s">
        <v>621</v>
      </c>
      <c r="E138" s="40" t="s">
        <v>568</v>
      </c>
      <c r="F138" s="41" t="s">
        <v>606</v>
      </c>
      <c r="G138" s="39" t="s">
        <v>584</v>
      </c>
      <c r="H138" s="53" t="s">
        <v>3832</v>
      </c>
      <c r="I138" s="44" t="s">
        <v>607</v>
      </c>
      <c r="J138" s="14" t="s">
        <v>605</v>
      </c>
      <c r="K138" s="22" t="s">
        <v>2834</v>
      </c>
      <c r="L138" s="46">
        <v>43770</v>
      </c>
      <c r="M138" s="14"/>
      <c r="N138" s="45" t="s">
        <v>199</v>
      </c>
      <c r="O138" s="45" t="s">
        <v>199</v>
      </c>
      <c r="P138" s="47" t="s">
        <v>199</v>
      </c>
      <c r="Q138" s="45" t="s">
        <v>199</v>
      </c>
      <c r="R138" s="45" t="s">
        <v>199</v>
      </c>
      <c r="S138" s="45" t="s">
        <v>199</v>
      </c>
      <c r="T138" s="47" t="s">
        <v>4247</v>
      </c>
      <c r="U138" s="39" t="s">
        <v>3764</v>
      </c>
      <c r="V138" s="39" t="str">
        <f>CONCATENATE(U138, D138)</f>
        <v xml:space="preserve">https://example.websquare.kr/websquare/websquare.html?w2xPath=/guide/CheckComboBox/visibleColumn_visibleColumnFalseValue_setVisibleColumn_CheckComboBox.xml </v>
      </c>
      <c r="W138" s="39" t="s">
        <v>4512</v>
      </c>
      <c r="X138" s="39" t="str">
        <f>CONCATENATE(W138, D138)</f>
        <v xml:space="preserve">https://docs.inswave.com/websquare/websquare.html?w2xPath=/support/api/guide/CheckComboBox/visibleColumn_visibleColumnFalseValue_setVisibleColumn_CheckComboBox.xml </v>
      </c>
      <c r="Y138" s="48" t="str">
        <f>HYPERLINK(X138, H138)</f>
        <v>일부 선택 항목 숨기기</v>
      </c>
      <c r="Z138" s="4" t="str">
        <f>HYPERLINK(V138,H138)</f>
        <v>일부 선택 항목 숨기기</v>
      </c>
      <c r="AA138" s="4" t="str">
        <f>HYPERLINK(J138,H138)</f>
        <v>일부 선택 항목 숨기기</v>
      </c>
      <c r="AB138" s="39" t="str">
        <f t="shared" si="6"/>
        <v xml:space="preserve">https://docs.inswave.com/websquare/websquare.html?w2xPath=/support/api/guide/CheckComboBox/visibleColumn_visibleColumnFalseValue_setVisibleColumn_CheckComboBox.xml </v>
      </c>
    </row>
    <row r="139" spans="1:30" s="39" customFormat="1" ht="102" x14ac:dyDescent="0.45">
      <c r="A139" s="37">
        <f>SUBTOTAL(3, $T$2:T139)</f>
        <v>83</v>
      </c>
      <c r="B139" s="38" t="s">
        <v>15</v>
      </c>
      <c r="C139" s="39" t="s">
        <v>15</v>
      </c>
      <c r="D139" s="39" t="s">
        <v>405</v>
      </c>
      <c r="E139" s="57" t="s">
        <v>3829</v>
      </c>
      <c r="F139" s="41" t="s">
        <v>193</v>
      </c>
      <c r="G139" s="39" t="s">
        <v>109</v>
      </c>
      <c r="H139" s="53" t="s">
        <v>3828</v>
      </c>
      <c r="I139" s="44" t="s">
        <v>252</v>
      </c>
      <c r="J139" s="14" t="s">
        <v>404</v>
      </c>
      <c r="K139" s="22" t="s">
        <v>2831</v>
      </c>
      <c r="L139" s="46">
        <v>44440</v>
      </c>
      <c r="M139" s="14"/>
      <c r="N139" s="45" t="s">
        <v>199</v>
      </c>
      <c r="O139" s="45" t="s">
        <v>199</v>
      </c>
      <c r="P139" s="45" t="s">
        <v>199</v>
      </c>
      <c r="Q139" s="45" t="s">
        <v>199</v>
      </c>
      <c r="R139" s="45" t="s">
        <v>199</v>
      </c>
      <c r="S139" s="45" t="s">
        <v>199</v>
      </c>
      <c r="T139" s="47" t="s">
        <v>4247</v>
      </c>
      <c r="U139" s="39" t="s">
        <v>3764</v>
      </c>
      <c r="V139" s="39" t="str">
        <f>CONCATENATE(U139, D139)</f>
        <v>https://example.websquare.kr/websquare/websquare.html?w2xPath=/guide/CheckComboBox/validateOnInput_CheckComboBox.xml</v>
      </c>
      <c r="W139" s="39" t="s">
        <v>4512</v>
      </c>
      <c r="X139" s="39" t="str">
        <f>CONCATENATE(W139, D139)</f>
        <v>https://docs.inswave.com/websquare/websquare.html?w2xPath=/support/api/guide/CheckComboBox/validateOnInput_CheckComboBox.xml</v>
      </c>
      <c r="Y139" s="48" t="str">
        <f>HYPERLINK(X139, H139)</f>
        <v>입력 시 검증</v>
      </c>
      <c r="Z139" s="4" t="str">
        <f>HYPERLINK(V139,H139)</f>
        <v>입력 시 검증</v>
      </c>
      <c r="AA139" s="4" t="str">
        <f>HYPERLINK(J139,H139)</f>
        <v>입력 시 검증</v>
      </c>
      <c r="AB139" s="39" t="str">
        <f t="shared" si="6"/>
        <v>https://docs.inswave.com/websquare/websquare.html?w2xPath=/support/api/guide/CheckComboBox/validateOnInput_CheckComboBox.xml</v>
      </c>
    </row>
    <row r="140" spans="1:30" s="39" customFormat="1" ht="102" x14ac:dyDescent="0.45">
      <c r="A140" s="37">
        <f>SUBTOTAL(3, $T$2:T140)</f>
        <v>84</v>
      </c>
      <c r="B140" s="38" t="s">
        <v>15</v>
      </c>
      <c r="C140" s="39" t="s">
        <v>15</v>
      </c>
      <c r="D140" s="39" t="s">
        <v>400</v>
      </c>
      <c r="E140" s="57" t="s">
        <v>233</v>
      </c>
      <c r="F140" s="41" t="s">
        <v>189</v>
      </c>
      <c r="G140" s="39" t="s">
        <v>106</v>
      </c>
      <c r="H140" s="53" t="s">
        <v>3820</v>
      </c>
      <c r="I140" s="44" t="s">
        <v>250</v>
      </c>
      <c r="J140" s="14" t="s">
        <v>399</v>
      </c>
      <c r="K140" s="22" t="s">
        <v>2832</v>
      </c>
      <c r="L140" s="46">
        <v>44440</v>
      </c>
      <c r="M140" s="14"/>
      <c r="N140" s="45" t="s">
        <v>199</v>
      </c>
      <c r="O140" s="45" t="s">
        <v>199</v>
      </c>
      <c r="P140" s="45" t="s">
        <v>199</v>
      </c>
      <c r="Q140" s="45" t="s">
        <v>199</v>
      </c>
      <c r="R140" s="45" t="s">
        <v>199</v>
      </c>
      <c r="S140" s="45" t="s">
        <v>199</v>
      </c>
      <c r="T140" s="47" t="s">
        <v>4247</v>
      </c>
      <c r="U140" s="39" t="s">
        <v>3764</v>
      </c>
      <c r="V140" s="39" t="str">
        <f>CONCATENATE(U140, D140)</f>
        <v>https://example.websquare.kr/websquare/websquare.html?w2xPath=/guide/CheckComboBox/visibleColMax_CheckComboBox.xml</v>
      </c>
      <c r="W140" s="39" t="s">
        <v>4512</v>
      </c>
      <c r="X140" s="39" t="str">
        <f>CONCATENATE(W140, D140)</f>
        <v>https://docs.inswave.com/websquare/websquare.html?w2xPath=/support/api/guide/CheckComboBox/visibleColMax_CheckComboBox.xml</v>
      </c>
      <c r="Y140" s="48" t="str">
        <f>HYPERLINK(X140, H140)</f>
        <v>최대 열 개수 설정</v>
      </c>
      <c r="Z140" s="4" t="str">
        <f>HYPERLINK(V140,H140)</f>
        <v>최대 열 개수 설정</v>
      </c>
      <c r="AA140" s="4" t="str">
        <f>HYPERLINK(J140,H140)</f>
        <v>최대 열 개수 설정</v>
      </c>
      <c r="AB140" s="39" t="str">
        <f t="shared" si="6"/>
        <v>https://docs.inswave.com/websquare/websquare.html?w2xPath=/support/api/guide/CheckComboBox/visibleColMax_CheckComboBox.xml</v>
      </c>
    </row>
    <row r="141" spans="1:30" s="39" customFormat="1" ht="102" x14ac:dyDescent="0.45">
      <c r="A141" s="37">
        <f>SUBTOTAL(3, $T$2:T141)</f>
        <v>85</v>
      </c>
      <c r="B141" s="38" t="s">
        <v>15</v>
      </c>
      <c r="C141" s="39" t="s">
        <v>15</v>
      </c>
      <c r="D141" s="39" t="s">
        <v>267</v>
      </c>
      <c r="E141" s="57" t="s">
        <v>3831</v>
      </c>
      <c r="F141" s="41" t="s">
        <v>192</v>
      </c>
      <c r="G141" s="39" t="s">
        <v>113</v>
      </c>
      <c r="H141" s="53" t="s">
        <v>3830</v>
      </c>
      <c r="I141" s="39" t="s">
        <v>108</v>
      </c>
      <c r="J141" s="14" t="s">
        <v>403</v>
      </c>
      <c r="K141" s="22" t="s">
        <v>2830</v>
      </c>
      <c r="L141" s="46">
        <v>44440</v>
      </c>
      <c r="M141" s="14"/>
      <c r="N141" s="45" t="s">
        <v>199</v>
      </c>
      <c r="O141" s="45" t="s">
        <v>199</v>
      </c>
      <c r="P141" s="45" t="s">
        <v>199</v>
      </c>
      <c r="Q141" s="45" t="s">
        <v>199</v>
      </c>
      <c r="R141" s="45" t="s">
        <v>199</v>
      </c>
      <c r="S141" s="45" t="s">
        <v>199</v>
      </c>
      <c r="T141" s="47" t="s">
        <v>4247</v>
      </c>
      <c r="U141" s="39" t="s">
        <v>3764</v>
      </c>
      <c r="V141" s="39" t="str">
        <f>CONCATENATE(U141, D141)</f>
        <v>https://example.websquare.kr/websquare/websquare.html?w2xPath=/guide/CheckComboBox/useEdit_CheckComboBox.xml</v>
      </c>
      <c r="W141" s="39" t="s">
        <v>4512</v>
      </c>
      <c r="X141" s="39" t="str">
        <f>CONCATENATE(W141, D141)</f>
        <v>https://docs.inswave.com/websquare/websquare.html?w2xPath=/support/api/guide/CheckComboBox/useEdit_CheckComboBox.xml</v>
      </c>
      <c r="Y141" s="48" t="str">
        <f>HYPERLINK(X141, H141)</f>
        <v>키보드 입력을 통한 선택 허용</v>
      </c>
      <c r="Z141" s="4" t="str">
        <f>HYPERLINK(V141,H141)</f>
        <v>키보드 입력을 통한 선택 허용</v>
      </c>
      <c r="AA141" s="4" t="str">
        <f>HYPERLINK(J141,H141)</f>
        <v>키보드 입력을 통한 선택 허용</v>
      </c>
      <c r="AB141" s="39" t="str">
        <f t="shared" si="6"/>
        <v>https://docs.inswave.com/websquare/websquare.html?w2xPath=/support/api/guide/CheckComboBox/useEdit_CheckComboBox.xml</v>
      </c>
    </row>
    <row r="142" spans="1:30" s="39" customFormat="1" ht="102" x14ac:dyDescent="0.45">
      <c r="A142" s="37">
        <f>SUBTOTAL(3, $T$2:T142)</f>
        <v>86</v>
      </c>
      <c r="B142" s="38" t="s">
        <v>1919</v>
      </c>
      <c r="C142" s="39" t="s">
        <v>1919</v>
      </c>
      <c r="D142" s="39" t="s">
        <v>2713</v>
      </c>
      <c r="E142" s="40" t="s">
        <v>2711</v>
      </c>
      <c r="F142" s="41" t="s">
        <v>2710</v>
      </c>
      <c r="G142" s="39" t="s">
        <v>2712</v>
      </c>
      <c r="H142" s="53" t="s">
        <v>3833</v>
      </c>
      <c r="I142" s="44" t="s">
        <v>2714</v>
      </c>
      <c r="J142" s="14" t="s">
        <v>2715</v>
      </c>
      <c r="K142" s="22" t="s">
        <v>2835</v>
      </c>
      <c r="L142" s="46">
        <v>45413</v>
      </c>
      <c r="M142" s="45" t="s">
        <v>200</v>
      </c>
      <c r="N142" s="45"/>
      <c r="O142" s="45"/>
      <c r="P142" s="45"/>
      <c r="Q142" s="45" t="s">
        <v>199</v>
      </c>
      <c r="R142" s="45" t="s">
        <v>199</v>
      </c>
      <c r="S142" s="45" t="s">
        <v>199</v>
      </c>
      <c r="T142" s="47" t="s">
        <v>4247</v>
      </c>
      <c r="U142" s="39" t="s">
        <v>3764</v>
      </c>
      <c r="V142" s="39" t="str">
        <f>CONCATENATE(U142, D142)</f>
        <v>https://example.websquare.kr/websquare/websquare.html?w2xPath=/guide/CheckComboBox/visibleRowNum_setVisibleRowNum_CheckComboBox.xml</v>
      </c>
      <c r="W142" s="39" t="s">
        <v>4512</v>
      </c>
      <c r="X142" s="39" t="str">
        <f>CONCATENATE(W142, D142)</f>
        <v>https://docs.inswave.com/websquare/websquare.html?w2xPath=/support/api/guide/CheckComboBox/visibleRowNum_setVisibleRowNum_CheckComboBox.xml</v>
      </c>
      <c r="Y142" s="48" t="str">
        <f>HYPERLINK(X142, H142)</f>
        <v>표시할 행의 개수 설정</v>
      </c>
      <c r="Z142" s="4" t="str">
        <f>HYPERLINK(V142,H142)</f>
        <v>표시할 행의 개수 설정</v>
      </c>
      <c r="AA142" s="4" t="str">
        <f>HYPERLINK(J142,H142)</f>
        <v>표시할 행의 개수 설정</v>
      </c>
      <c r="AB142" s="39" t="str">
        <f t="shared" si="6"/>
        <v>https://docs.inswave.com/websquare/websquare.html?w2xPath=/support/api/guide/CheckComboBox/visibleRowNum_setVisibleRowNum_CheckComboBox.xml</v>
      </c>
    </row>
    <row r="143" spans="1:30" s="39" customFormat="1" ht="102" x14ac:dyDescent="0.45">
      <c r="A143" s="37">
        <f>SUBTOTAL(3, $T$2:T143)</f>
        <v>87</v>
      </c>
      <c r="B143" s="40" t="s">
        <v>19</v>
      </c>
      <c r="C143" s="39" t="s">
        <v>3649</v>
      </c>
      <c r="D143" s="39" t="s">
        <v>3533</v>
      </c>
      <c r="E143" s="40" t="s">
        <v>2402</v>
      </c>
      <c r="F143" s="41" t="s">
        <v>2461</v>
      </c>
      <c r="G143" s="39" t="s">
        <v>1255</v>
      </c>
      <c r="H143" s="53" t="s">
        <v>4388</v>
      </c>
      <c r="I143" s="44" t="s">
        <v>1254</v>
      </c>
      <c r="J143" s="14" t="s">
        <v>4462</v>
      </c>
      <c r="K143" s="22" t="s">
        <v>3075</v>
      </c>
      <c r="L143" s="46">
        <v>43770</v>
      </c>
      <c r="M143" s="14"/>
      <c r="N143" s="45" t="s">
        <v>199</v>
      </c>
      <c r="O143" s="45" t="s">
        <v>199</v>
      </c>
      <c r="P143" s="45"/>
      <c r="Q143" s="45" t="s">
        <v>199</v>
      </c>
      <c r="R143" s="45" t="s">
        <v>199</v>
      </c>
      <c r="S143" s="45" t="s">
        <v>199</v>
      </c>
      <c r="T143" s="47" t="s">
        <v>4247</v>
      </c>
      <c r="U143" s="39" t="s">
        <v>3764</v>
      </c>
      <c r="V143" s="39" t="str">
        <f>CONCATENATE(U143, D143)</f>
        <v>https://example.websquare.kr/websquare/websquare.html?w2xPath=/guide/_DataCollection/DataList/setData_setJSON_setXML_DataList.xml</v>
      </c>
      <c r="W143" s="39" t="s">
        <v>4512</v>
      </c>
      <c r="X143" s="39" t="str">
        <f>CONCATENATE(W143, D143)</f>
        <v>https://docs.inswave.com/websquare/websquare.html?w2xPath=/support/api/guide/_DataCollection/DataList/setData_setJSON_setXML_DataList.xml</v>
      </c>
      <c r="Y143" s="48" t="str">
        <f>HYPERLINK(X143, H143)</f>
        <v>DataList 데이터 설정</v>
      </c>
      <c r="Z143" s="4" t="str">
        <f>HYPERLINK(V143,H143)</f>
        <v>DataList 데이터 설정</v>
      </c>
      <c r="AA143" s="4" t="str">
        <f>HYPERLINK(J143,H143)</f>
        <v>DataList 데이터 설정</v>
      </c>
      <c r="AB143" s="39" t="str">
        <f t="shared" si="6"/>
        <v>https://docs.inswave.com/websquare/websquare.html?w2xPath=/support/api/guide/_DataCollection/DataList/setData_setJSON_setXML_DataList.xml</v>
      </c>
    </row>
    <row r="144" spans="1:30" s="39" customFormat="1" ht="102" x14ac:dyDescent="0.45">
      <c r="A144" s="37">
        <f>SUBTOTAL(3, $T$2:T144)</f>
        <v>88</v>
      </c>
      <c r="B144" s="40" t="s">
        <v>19</v>
      </c>
      <c r="C144" s="39" t="s">
        <v>3649</v>
      </c>
      <c r="D144" s="39" t="s">
        <v>3534</v>
      </c>
      <c r="E144" s="40" t="s">
        <v>2483</v>
      </c>
      <c r="F144" s="41" t="s">
        <v>2481</v>
      </c>
      <c r="G144" s="39" t="s">
        <v>1287</v>
      </c>
      <c r="H144" s="53" t="s">
        <v>4380</v>
      </c>
      <c r="I144" s="44" t="s">
        <v>1282</v>
      </c>
      <c r="J144" s="14" t="s">
        <v>2484</v>
      </c>
      <c r="K144" s="22" t="s">
        <v>3069</v>
      </c>
      <c r="L144" s="46">
        <v>43739</v>
      </c>
      <c r="M144" s="14"/>
      <c r="N144" s="45" t="s">
        <v>199</v>
      </c>
      <c r="O144" s="45" t="s">
        <v>199</v>
      </c>
      <c r="P144" s="45" t="s">
        <v>199</v>
      </c>
      <c r="Q144" s="45" t="s">
        <v>199</v>
      </c>
      <c r="R144" s="45" t="s">
        <v>199</v>
      </c>
      <c r="S144" s="45" t="s">
        <v>199</v>
      </c>
      <c r="T144" s="47" t="s">
        <v>4247</v>
      </c>
      <c r="U144" s="39" t="s">
        <v>3764</v>
      </c>
      <c r="V144" s="39" t="str">
        <f>CONCATENATE(U144, D144)</f>
        <v>https://example.websquare.kr/websquare/websquare.html?w2xPath=/guide/_DataCollection/DataList/insertRow_removeRows_DataList.xml</v>
      </c>
      <c r="W144" s="39" t="s">
        <v>4512</v>
      </c>
      <c r="X144" s="39" t="str">
        <f>CONCATENATE(W144, D144)</f>
        <v>https://docs.inswave.com/websquare/websquare.html?w2xPath=/support/api/guide/_DataCollection/DataList/insertRow_removeRows_DataList.xml</v>
      </c>
      <c r="Y144" s="48" t="str">
        <f>HYPERLINK(X144, H144)</f>
        <v>DataList 행 추가 및 삭제</v>
      </c>
      <c r="Z144" s="4" t="str">
        <f>HYPERLINK(V144,H144)</f>
        <v>DataList 행 추가 및 삭제</v>
      </c>
      <c r="AA144" s="4" t="str">
        <f>HYPERLINK(J144,H144)</f>
        <v>DataList 행 추가 및 삭제</v>
      </c>
      <c r="AB144" s="39" t="str">
        <f t="shared" si="6"/>
        <v>https://docs.inswave.com/websquare/websquare.html?w2xPath=/support/api/guide/_DataCollection/DataList/insertRow_removeRows_DataList.xml</v>
      </c>
      <c r="AC144" s="45"/>
      <c r="AD144" s="45"/>
    </row>
    <row r="145" spans="1:28" s="39" customFormat="1" ht="102" x14ac:dyDescent="0.45">
      <c r="A145" s="37">
        <f>SUBTOTAL(3, $T$2:T145)</f>
        <v>89</v>
      </c>
      <c r="B145" s="40" t="s">
        <v>19</v>
      </c>
      <c r="C145" s="39" t="s">
        <v>3649</v>
      </c>
      <c r="D145" s="39" t="s">
        <v>4349</v>
      </c>
      <c r="E145" s="40" t="s">
        <v>2517</v>
      </c>
      <c r="F145" s="41" t="s">
        <v>2641</v>
      </c>
      <c r="G145" s="39" t="s">
        <v>1253</v>
      </c>
      <c r="H145" s="53" t="s">
        <v>4385</v>
      </c>
      <c r="I145" s="39" t="s">
        <v>1252</v>
      </c>
      <c r="J145" s="14" t="s">
        <v>4463</v>
      </c>
      <c r="K145" s="22" t="s">
        <v>3064</v>
      </c>
      <c r="L145" s="46">
        <v>43739</v>
      </c>
      <c r="M145" s="14"/>
      <c r="N145" s="45" t="s">
        <v>199</v>
      </c>
      <c r="O145" s="45" t="s">
        <v>199</v>
      </c>
      <c r="P145" s="45" t="s">
        <v>199</v>
      </c>
      <c r="Q145" s="45" t="s">
        <v>199</v>
      </c>
      <c r="R145" s="45" t="s">
        <v>199</v>
      </c>
      <c r="S145" s="45" t="s">
        <v>199</v>
      </c>
      <c r="T145" s="47" t="s">
        <v>4247</v>
      </c>
      <c r="U145" s="39" t="s">
        <v>3764</v>
      </c>
      <c r="V145" s="39" t="str">
        <f>CONCATENATE(U145, D145)</f>
        <v>https://example.websquare.kr/websquare/websquare.html?w2xPath=/guide/_DataCollection/DataList/setJSON_DataList/setJSON_DataList.xml</v>
      </c>
      <c r="W145" s="39" t="s">
        <v>4512</v>
      </c>
      <c r="X145" s="39" t="str">
        <f>CONCATENATE(W145, D145)</f>
        <v>https://docs.inswave.com/websquare/websquare.html?w2xPath=/support/api/guide/_DataCollection/DataList/setJSON_DataList/setJSON_DataList.xml</v>
      </c>
      <c r="Y145" s="48" t="str">
        <f>HYPERLINK(X145, H145)</f>
        <v>DataList에 JSON 데이터 설정</v>
      </c>
      <c r="Z145" s="4" t="str">
        <f>HYPERLINK(V145,H145)</f>
        <v>DataList에 JSON 데이터 설정</v>
      </c>
      <c r="AA145" s="4" t="str">
        <f>HYPERLINK(J145,H145)</f>
        <v>DataList에 JSON 데이터 설정</v>
      </c>
      <c r="AB145" s="39" t="str">
        <f t="shared" si="6"/>
        <v>https://docs.inswave.com/websquare/websquare.html?w2xPath=/support/api/guide/_DataCollection/DataList/setJSON_DataList/setJSON_DataList.xml</v>
      </c>
    </row>
    <row r="146" spans="1:28" s="39" customFormat="1" ht="102" x14ac:dyDescent="0.45">
      <c r="A146" s="37">
        <f>SUBTOTAL(3, $T$2:T146)</f>
        <v>90</v>
      </c>
      <c r="B146" s="38" t="s">
        <v>2068</v>
      </c>
      <c r="C146" s="39" t="s">
        <v>3649</v>
      </c>
      <c r="D146" s="39" t="s">
        <v>3537</v>
      </c>
      <c r="E146" s="40" t="s">
        <v>3244</v>
      </c>
      <c r="F146" s="41" t="s">
        <v>3240</v>
      </c>
      <c r="G146" s="39" t="s">
        <v>3247</v>
      </c>
      <c r="H146" s="58" t="s">
        <v>4422</v>
      </c>
      <c r="I146" s="39" t="s">
        <v>3257</v>
      </c>
      <c r="J146" s="14" t="s">
        <v>3264</v>
      </c>
      <c r="K146" s="23" t="s">
        <v>3254</v>
      </c>
      <c r="L146" s="46">
        <v>45505</v>
      </c>
      <c r="M146" s="45"/>
      <c r="N146" s="45"/>
      <c r="O146" s="45"/>
      <c r="P146" s="45"/>
      <c r="Q146" s="45" t="s">
        <v>199</v>
      </c>
      <c r="R146" s="45" t="s">
        <v>199</v>
      </c>
      <c r="S146" s="45" t="s">
        <v>199</v>
      </c>
      <c r="T146" s="47" t="s">
        <v>4247</v>
      </c>
      <c r="U146" s="39" t="s">
        <v>3764</v>
      </c>
      <c r="V146" s="39" t="str">
        <f>CONCATENATE(U146, D146)</f>
        <v>https://example.websquare.kr/websquare/websquare.html?w2xPath=/guide/_DataCollection/DataList/preserveType_DataList.xml</v>
      </c>
      <c r="W146" s="39" t="s">
        <v>4512</v>
      </c>
      <c r="X146" s="39" t="str">
        <f>CONCATENATE(W146, D146)</f>
        <v>https://docs.inswave.com/websquare/websquare.html?w2xPath=/support/api/guide/_DataCollection/DataList/preserveType_DataList.xml</v>
      </c>
      <c r="Y146" s="48" t="str">
        <f>HYPERLINK(X146, H146)</f>
        <v>DataList에서 number 타입 데이터를 string 타입으로 설정</v>
      </c>
      <c r="Z146" s="4" t="str">
        <f>HYPERLINK(V146,H146)</f>
        <v>DataList에서 number 타입 데이터를 string 타입으로 설정</v>
      </c>
      <c r="AA146" s="4" t="str">
        <f>HYPERLINK(J146,H146)</f>
        <v>DataList에서 number 타입 데이터를 string 타입으로 설정</v>
      </c>
      <c r="AB146" s="39" t="str">
        <f t="shared" si="6"/>
        <v>https://docs.inswave.com/websquare/websquare.html?w2xPath=/support/api/guide/_DataCollection/DataList/preserveType_DataList.xml</v>
      </c>
    </row>
    <row r="147" spans="1:28" s="39" customFormat="1" ht="102" x14ac:dyDescent="0.45">
      <c r="A147" s="37">
        <f>SUBTOTAL(3, $T$2:T147)</f>
        <v>91</v>
      </c>
      <c r="B147" s="38" t="s">
        <v>2068</v>
      </c>
      <c r="C147" s="39" t="s">
        <v>3649</v>
      </c>
      <c r="D147" s="39" t="s">
        <v>3536</v>
      </c>
      <c r="E147" s="40" t="s">
        <v>2734</v>
      </c>
      <c r="F147" s="41" t="s">
        <v>3241</v>
      </c>
      <c r="G147" s="39" t="s">
        <v>3249</v>
      </c>
      <c r="H147" s="58" t="s">
        <v>4423</v>
      </c>
      <c r="I147" s="39" t="s">
        <v>3256</v>
      </c>
      <c r="J147" s="14" t="s">
        <v>3252</v>
      </c>
      <c r="K147" s="23" t="s">
        <v>3250</v>
      </c>
      <c r="L147" s="46">
        <v>45474</v>
      </c>
      <c r="M147" s="45"/>
      <c r="N147" s="45"/>
      <c r="O147" s="45"/>
      <c r="P147" s="45"/>
      <c r="Q147" s="45" t="s">
        <v>199</v>
      </c>
      <c r="R147" s="45" t="s">
        <v>199</v>
      </c>
      <c r="S147" s="45" t="s">
        <v>199</v>
      </c>
      <c r="T147" s="47" t="s">
        <v>4247</v>
      </c>
      <c r="U147" s="39" t="s">
        <v>3764</v>
      </c>
      <c r="V147" s="39" t="str">
        <f>CONCATENATE(U147, D147)</f>
        <v>https://example.websquare.kr/websquare/websquare.html?w2xPath=/guide/_DataCollection/DataList/keepDataType_DataList.xml</v>
      </c>
      <c r="W147" s="39" t="s">
        <v>4512</v>
      </c>
      <c r="X147" s="39" t="str">
        <f>CONCATENATE(W147, D147)</f>
        <v>https://docs.inswave.com/websquare/websquare.html?w2xPath=/support/api/guide/_DataCollection/DataList/keepDataType_DataList.xml</v>
      </c>
      <c r="Y147" s="48" t="str">
        <f>HYPERLINK(X147, H147)</f>
        <v>DataList에서 string 타입 데이터를 number 타입으로 설정</v>
      </c>
      <c r="Z147" s="4" t="str">
        <f>HYPERLINK(V147,H147)</f>
        <v>DataList에서 string 타입 데이터를 number 타입으로 설정</v>
      </c>
      <c r="AA147" s="4" t="str">
        <f>HYPERLINK(J147,H147)</f>
        <v>DataList에서 string 타입 데이터를 number 타입으로 설정</v>
      </c>
      <c r="AB147" s="39" t="str">
        <f t="shared" si="6"/>
        <v>https://docs.inswave.com/websquare/websquare.html?w2xPath=/support/api/guide/_DataCollection/DataList/keepDataType_DataList.xml</v>
      </c>
    </row>
    <row r="148" spans="1:28" s="39" customFormat="1" ht="102" x14ac:dyDescent="0.45">
      <c r="A148" s="37">
        <f>SUBTOTAL(3, $T$2:T148)</f>
        <v>92</v>
      </c>
      <c r="B148" s="38" t="s">
        <v>19</v>
      </c>
      <c r="C148" s="39" t="s">
        <v>3649</v>
      </c>
      <c r="D148" s="39" t="s">
        <v>4394</v>
      </c>
      <c r="E148" s="40" t="s">
        <v>517</v>
      </c>
      <c r="F148" s="41" t="s">
        <v>516</v>
      </c>
      <c r="G148" s="39" t="s">
        <v>512</v>
      </c>
      <c r="H148" s="53" t="s">
        <v>4389</v>
      </c>
      <c r="I148" s="44" t="s">
        <v>520</v>
      </c>
      <c r="J148" s="14" t="s">
        <v>522</v>
      </c>
      <c r="K148" s="22" t="s">
        <v>3076</v>
      </c>
      <c r="L148" s="46">
        <v>44531</v>
      </c>
      <c r="M148" s="14"/>
      <c r="N148" s="45" t="s">
        <v>199</v>
      </c>
      <c r="O148" s="45" t="s">
        <v>199</v>
      </c>
      <c r="P148" s="45" t="s">
        <v>199</v>
      </c>
      <c r="Q148" s="45" t="s">
        <v>199</v>
      </c>
      <c r="R148" s="45" t="s">
        <v>199</v>
      </c>
      <c r="S148" s="45" t="s">
        <v>199</v>
      </c>
      <c r="T148" s="47" t="s">
        <v>4247</v>
      </c>
      <c r="U148" s="39" t="s">
        <v>3764</v>
      </c>
      <c r="V148" s="39" t="str">
        <f>CONCATENATE(U148, D148)</f>
        <v>https://example.websquare.kr/websquare/websquare.html?w2xPath=/guide/_DataCollection/DataList/setUserData_getUserData_DataList.xml</v>
      </c>
      <c r="W148" s="39" t="s">
        <v>4512</v>
      </c>
      <c r="X148" s="39" t="str">
        <f>CONCATENATE(W148, D148)</f>
        <v>https://docs.inswave.com/websquare/websquare.html?w2xPath=/support/api/guide/_DataCollection/DataList/setUserData_getUserData_DataList.xml</v>
      </c>
      <c r="Y148" s="48" t="str">
        <f>HYPERLINK(X148, H148)</f>
        <v>DataList의 userData 속성 값 설정 및 확인</v>
      </c>
      <c r="Z148" s="4" t="str">
        <f>HYPERLINK(V148,H148)</f>
        <v>DataList의 userData 속성 값 설정 및 확인</v>
      </c>
      <c r="AA148" s="4" t="str">
        <f>HYPERLINK(J148,H148)</f>
        <v>DataList의 userData 속성 값 설정 및 확인</v>
      </c>
      <c r="AB148" s="39" t="str">
        <f t="shared" si="6"/>
        <v>https://docs.inswave.com/websquare/websquare.html?w2xPath=/support/api/guide/_DataCollection/DataList/setUserData_getUserData_DataList.xml</v>
      </c>
    </row>
    <row r="149" spans="1:28" s="39" customFormat="1" ht="102" x14ac:dyDescent="0.45">
      <c r="A149" s="37">
        <f>SUBTOTAL(3, $T$2:T149)</f>
        <v>93</v>
      </c>
      <c r="B149" s="38" t="s">
        <v>2068</v>
      </c>
      <c r="C149" s="39" t="s">
        <v>3649</v>
      </c>
      <c r="D149" s="39" t="s">
        <v>3540</v>
      </c>
      <c r="E149" s="41" t="s">
        <v>3513</v>
      </c>
      <c r="F149" s="41" t="s">
        <v>3508</v>
      </c>
      <c r="G149" s="39" t="s">
        <v>3517</v>
      </c>
      <c r="H149" s="53" t="s">
        <v>4371</v>
      </c>
      <c r="I149" s="44" t="s">
        <v>3518</v>
      </c>
      <c r="J149" s="45" t="s">
        <v>2304</v>
      </c>
      <c r="K149" s="45" t="s">
        <v>2304</v>
      </c>
      <c r="L149" s="46">
        <v>45748</v>
      </c>
      <c r="M149" s="14"/>
      <c r="N149" s="45"/>
      <c r="O149" s="45"/>
      <c r="P149" s="45"/>
      <c r="Q149" s="45"/>
      <c r="R149" s="45"/>
      <c r="S149" s="45"/>
      <c r="T149" s="47" t="s">
        <v>4249</v>
      </c>
      <c r="U149" s="39" t="s">
        <v>3764</v>
      </c>
      <c r="V149" s="39" t="str">
        <f>CONCATENATE(U149, D149)</f>
        <v>https://example.websquare.kr/websquare/websquare.html?w2xPath=/guide/_DataCollection/DataList/useNull_DataList.xml</v>
      </c>
      <c r="W149" s="39" t="s">
        <v>4512</v>
      </c>
      <c r="X149" s="39" t="str">
        <f>CONCATENATE(W149, D149)</f>
        <v>https://docs.inswave.com/websquare/websquare.html?w2xPath=/support/api/guide/_DataCollection/DataList/useNull_DataList.xml</v>
      </c>
      <c r="Y149" s="48" t="str">
        <f>HYPERLINK(X149, H149)</f>
        <v>null 값과 공백 구분</v>
      </c>
      <c r="Z149" s="4" t="str">
        <f>HYPERLINK(V149,H149)</f>
        <v>null 값과 공백 구분</v>
      </c>
      <c r="AA149" s="45" t="s">
        <v>2304</v>
      </c>
      <c r="AB149" s="39" t="str">
        <f t="shared" si="6"/>
        <v>https://docs.inswave.com/websquare/websquare.html?w2xPath=/support/api/guide/_DataCollection/DataList/useNull_DataList.xml</v>
      </c>
    </row>
    <row r="150" spans="1:28" s="39" customFormat="1" ht="102" x14ac:dyDescent="0.45">
      <c r="A150" s="37">
        <f>SUBTOTAL(3, $T$2:T150)</f>
        <v>94</v>
      </c>
      <c r="B150" s="38" t="s">
        <v>2068</v>
      </c>
      <c r="C150" s="39" t="s">
        <v>3649</v>
      </c>
      <c r="D150" s="41" t="s">
        <v>3526</v>
      </c>
      <c r="E150" s="41" t="s">
        <v>3466</v>
      </c>
      <c r="F150" s="41" t="s">
        <v>3467</v>
      </c>
      <c r="G150" s="39" t="s">
        <v>3470</v>
      </c>
      <c r="H150" s="58" t="s">
        <v>4424</v>
      </c>
      <c r="I150" s="41" t="s">
        <v>3472</v>
      </c>
      <c r="J150" s="45" t="s">
        <v>2304</v>
      </c>
      <c r="K150" s="45" t="s">
        <v>2304</v>
      </c>
      <c r="L150" s="46">
        <v>45689</v>
      </c>
      <c r="M150" s="14"/>
      <c r="N150" s="45"/>
      <c r="O150" s="45"/>
      <c r="P150" s="45"/>
      <c r="Q150" s="45"/>
      <c r="R150" s="45"/>
      <c r="S150" s="45"/>
      <c r="T150" s="47" t="s">
        <v>4249</v>
      </c>
      <c r="U150" s="39" t="s">
        <v>3764</v>
      </c>
      <c r="V150" s="39" t="str">
        <f>CONCATENATE(U150, D150)</f>
        <v>https://example.websquare.kr/websquare/websquare.html?w2xPath=/guide/_DataCollection/DataList/nullYNType_DataList.xml</v>
      </c>
      <c r="W150" s="39" t="s">
        <v>4512</v>
      </c>
      <c r="X150" s="39" t="str">
        <f>CONCATENATE(W150, D150)</f>
        <v>https://docs.inswave.com/websquare/websquare.html?w2xPath=/support/api/guide/_DataCollection/DataList/nullYNType_DataList.xml</v>
      </c>
      <c r="Y150" s="48" t="str">
        <f>HYPERLINK(X150, H150)</f>
        <v>공백 데이터 처리 방법 설정</v>
      </c>
      <c r="Z150" s="4" t="str">
        <f>HYPERLINK(V150,H150)</f>
        <v>공백 데이터 처리 방법 설정</v>
      </c>
      <c r="AA150" s="45" t="s">
        <v>2304</v>
      </c>
      <c r="AB150" s="39" t="str">
        <f t="shared" si="6"/>
        <v>https://docs.inswave.com/websquare/websquare.html?w2xPath=/support/api/guide/_DataCollection/DataList/nullYNType_DataList.xml</v>
      </c>
    </row>
    <row r="151" spans="1:28" s="39" customFormat="1" ht="102" hidden="1" x14ac:dyDescent="0.45">
      <c r="A151" s="37">
        <f>SUBTOTAL(3, $T$2:T151)</f>
        <v>94</v>
      </c>
      <c r="B151" s="38" t="s">
        <v>581</v>
      </c>
      <c r="C151" s="39" t="s">
        <v>581</v>
      </c>
      <c r="D151" s="39" t="s">
        <v>4350</v>
      </c>
      <c r="E151" s="40" t="s">
        <v>544</v>
      </c>
      <c r="F151" s="41" t="s">
        <v>541</v>
      </c>
      <c r="G151" s="39" t="s">
        <v>534</v>
      </c>
      <c r="H151" s="52" t="s">
        <v>3603</v>
      </c>
      <c r="I151" s="44"/>
      <c r="J151" s="14" t="s">
        <v>1622</v>
      </c>
      <c r="K151" s="22" t="s">
        <v>3109</v>
      </c>
      <c r="L151" s="46">
        <v>44562</v>
      </c>
      <c r="M151" s="50" t="s">
        <v>199</v>
      </c>
      <c r="N151" s="45" t="s">
        <v>199</v>
      </c>
      <c r="O151" s="45" t="s">
        <v>199</v>
      </c>
      <c r="P151" s="45" t="s">
        <v>199</v>
      </c>
      <c r="Q151" s="45" t="s">
        <v>199</v>
      </c>
      <c r="R151" s="45" t="s">
        <v>199</v>
      </c>
      <c r="S151" s="45" t="s">
        <v>199</v>
      </c>
      <c r="T151" s="47" t="s">
        <v>4515</v>
      </c>
      <c r="U151" s="39" t="s">
        <v>3764</v>
      </c>
      <c r="V151" s="39" t="str">
        <f>CONCATENATE(U151, D151)</f>
        <v>https://example.websquare.kr/websquare/websquare.html?w2xPath=/guide/_Debugging/Menus_Debugging/Menus_Debugging.xml</v>
      </c>
      <c r="W151" s="39" t="s">
        <v>4220</v>
      </c>
      <c r="X151" s="39" t="str">
        <f>CONCATENATE(W151, D151)</f>
        <v>https://docs.inswave.com/websquare/websquare.html?w2xPath=/support/api/samples/_Debugging/Menus_Debugging/Menus_Debugging.xml</v>
      </c>
      <c r="Y151" s="48"/>
      <c r="Z151" s="4"/>
      <c r="AA151" s="4" t="str">
        <f>HYPERLINK(J151,H151)</f>
        <v>디버깅 컨텍스트 메뉴</v>
      </c>
      <c r="AB151" s="39" t="str">
        <f t="shared" si="6"/>
        <v>https://docs.inswave.com/websquare/websquare.html?w2xPath=/support/api/samples/_Debugging/Menus_Debugging/Menus_Debugging.xml</v>
      </c>
    </row>
    <row r="152" spans="1:28" s="39" customFormat="1" ht="102" hidden="1" x14ac:dyDescent="0.45">
      <c r="A152" s="37">
        <f>SUBTOTAL(3, $T$2:T152)</f>
        <v>94</v>
      </c>
      <c r="B152" s="38" t="s">
        <v>20</v>
      </c>
      <c r="C152" s="39" t="s">
        <v>20</v>
      </c>
      <c r="D152" s="39" t="s">
        <v>543</v>
      </c>
      <c r="E152" s="40" t="s">
        <v>539</v>
      </c>
      <c r="F152" s="41" t="s">
        <v>540</v>
      </c>
      <c r="G152" s="39" t="s">
        <v>535</v>
      </c>
      <c r="H152" s="53" t="s">
        <v>3771</v>
      </c>
      <c r="I152" s="44" t="s">
        <v>545</v>
      </c>
      <c r="J152" s="14" t="s">
        <v>542</v>
      </c>
      <c r="K152" s="22" t="s">
        <v>2935</v>
      </c>
      <c r="L152" s="46">
        <v>44562</v>
      </c>
      <c r="M152" s="14"/>
      <c r="N152" s="45" t="s">
        <v>199</v>
      </c>
      <c r="O152" s="45" t="s">
        <v>199</v>
      </c>
      <c r="P152" s="45" t="s">
        <v>199</v>
      </c>
      <c r="Q152" s="45" t="s">
        <v>199</v>
      </c>
      <c r="R152" s="45" t="s">
        <v>199</v>
      </c>
      <c r="S152" s="45" t="s">
        <v>199</v>
      </c>
      <c r="T152" s="47" t="s">
        <v>4515</v>
      </c>
      <c r="U152" s="39" t="s">
        <v>3764</v>
      </c>
      <c r="V152" s="39" t="str">
        <f>CONCATENATE(U152, D152)</f>
        <v>https://example.websquare.kr/websquare/websquare.html?w2xPath=/guide/InputBox/euroMask_rupeeMask_tengeMask_InputBox.xml</v>
      </c>
      <c r="W152" s="39" t="s">
        <v>4220</v>
      </c>
      <c r="X152" s="39" t="str">
        <f>CONCATENATE(W152, D152)</f>
        <v>https://docs.inswave.com/websquare/websquare.html?w2xPath=/support/api/samples/InputBox/euroMask_rupeeMask_tengeMask_InputBox.xml</v>
      </c>
      <c r="Y152" s="48"/>
      <c r="Z152" s="4"/>
      <c r="AA152" s="4" t="str">
        <f>HYPERLINK(J152,H152)</f>
        <v>다양한 화폐 단위 입력</v>
      </c>
      <c r="AB152" s="39" t="str">
        <f t="shared" si="6"/>
        <v>https://docs.inswave.com/websquare/websquare.html?w2xPath=/support/api/samples/InputBox/euroMask_rupeeMask_tengeMask_InputBox.xml</v>
      </c>
    </row>
    <row r="153" spans="1:28" s="39" customFormat="1" ht="102" x14ac:dyDescent="0.45">
      <c r="A153" s="37">
        <f>SUBTOTAL(3, $T$2:T153)</f>
        <v>95</v>
      </c>
      <c r="B153" s="40" t="s">
        <v>19</v>
      </c>
      <c r="C153" s="39" t="s">
        <v>3651</v>
      </c>
      <c r="D153" s="39" t="s">
        <v>3531</v>
      </c>
      <c r="E153" s="40" t="s">
        <v>2240</v>
      </c>
      <c r="F153" s="41" t="s">
        <v>2239</v>
      </c>
      <c r="G153" s="39" t="s">
        <v>2247</v>
      </c>
      <c r="H153" s="53" t="s">
        <v>4387</v>
      </c>
      <c r="I153" s="39" t="s">
        <v>2241</v>
      </c>
      <c r="J153" s="14" t="s">
        <v>4465</v>
      </c>
      <c r="K153" s="22" t="s">
        <v>3073</v>
      </c>
      <c r="L153" s="46">
        <v>45078</v>
      </c>
      <c r="M153" s="14"/>
      <c r="N153" s="45" t="s">
        <v>199</v>
      </c>
      <c r="O153" s="45" t="s">
        <v>199</v>
      </c>
      <c r="P153" s="45" t="s">
        <v>199</v>
      </c>
      <c r="Q153" s="45" t="s">
        <v>199</v>
      </c>
      <c r="R153" s="45" t="s">
        <v>199</v>
      </c>
      <c r="S153" s="45" t="s">
        <v>199</v>
      </c>
      <c r="T153" s="47" t="s">
        <v>4247</v>
      </c>
      <c r="U153" s="39" t="s">
        <v>3764</v>
      </c>
      <c r="V153" s="39" t="str">
        <f>CONCATENATE(U153, D153)</f>
        <v>https://example.websquare.kr/websquare/websquare.html?w2xPath=/guide/_DataCollection/DataList/setColumnFilter_DataList.xml</v>
      </c>
      <c r="W153" s="39" t="s">
        <v>4512</v>
      </c>
      <c r="X153" s="39" t="str">
        <f>CONCATENATE(W153, D153)</f>
        <v>https://docs.inswave.com/websquare/websquare.html?w2xPath=/support/api/guide/_DataCollection/DataList/setColumnFilter_DataList.xml</v>
      </c>
      <c r="Y153" s="48" t="str">
        <f>HYPERLINK(X153, H153)</f>
        <v>동적으로 필터링 적용</v>
      </c>
      <c r="Z153" s="4" t="str">
        <f>HYPERLINK(V153,H153)</f>
        <v>동적으로 필터링 적용</v>
      </c>
      <c r="AA153" s="4" t="str">
        <f>HYPERLINK(J153,H153)</f>
        <v>동적으로 필터링 적용</v>
      </c>
      <c r="AB153" s="39" t="str">
        <f t="shared" si="6"/>
        <v>https://docs.inswave.com/websquare/websquare.html?w2xPath=/support/api/guide/_DataCollection/DataList/setColumnFilter_DataList.xml</v>
      </c>
    </row>
    <row r="154" spans="1:28" s="39" customFormat="1" ht="102" x14ac:dyDescent="0.45">
      <c r="A154" s="37">
        <f>SUBTOTAL(3, $T$2:T154)</f>
        <v>96</v>
      </c>
      <c r="B154" s="40" t="s">
        <v>19</v>
      </c>
      <c r="C154" s="39" t="s">
        <v>3649</v>
      </c>
      <c r="D154" s="39" t="s">
        <v>3535</v>
      </c>
      <c r="E154" s="40" t="s">
        <v>2534</v>
      </c>
      <c r="F154" s="41" t="s">
        <v>2533</v>
      </c>
      <c r="G154" s="39" t="s">
        <v>1213</v>
      </c>
      <c r="H154" s="53" t="s">
        <v>4379</v>
      </c>
      <c r="J154" s="14" t="s">
        <v>4470</v>
      </c>
      <c r="K154" s="22" t="s">
        <v>3217</v>
      </c>
      <c r="L154" s="46">
        <v>43709</v>
      </c>
      <c r="M154" s="45" t="s">
        <v>2342</v>
      </c>
      <c r="N154" s="45" t="s">
        <v>199</v>
      </c>
      <c r="O154" s="45" t="s">
        <v>199</v>
      </c>
      <c r="P154" s="45" t="s">
        <v>199</v>
      </c>
      <c r="Q154" s="45" t="s">
        <v>199</v>
      </c>
      <c r="R154" s="45" t="s">
        <v>199</v>
      </c>
      <c r="S154" s="45" t="s">
        <v>199</v>
      </c>
      <c r="T154" s="47" t="s">
        <v>4247</v>
      </c>
      <c r="U154" s="39" t="s">
        <v>3764</v>
      </c>
      <c r="V154" s="39" t="str">
        <f>CONCATENATE(U154, D154)</f>
        <v>https://example.websquare.kr/websquare/websquare.html?w2xPath=/guide/_DataCollection/DataList/introduction_DataList.xml</v>
      </c>
      <c r="W154" s="39" t="s">
        <v>4512</v>
      </c>
      <c r="X154" s="39" t="str">
        <f>CONCATENATE(W154, D154)</f>
        <v>https://docs.inswave.com/websquare/websquare.html?w2xPath=/support/api/guide/_DataCollection/DataList/introduction_DataList.xml</v>
      </c>
      <c r="Y154" s="48" t="str">
        <f>HYPERLINK(X154, H154)</f>
        <v>디버깅 메뉴를 사용한 DataList 확인</v>
      </c>
      <c r="Z154" s="4" t="str">
        <f>HYPERLINK(V154,H154)</f>
        <v>디버깅 메뉴를 사용한 DataList 확인</v>
      </c>
      <c r="AA154" s="4" t="str">
        <f>HYPERLINK(J154,H154)</f>
        <v>디버깅 메뉴를 사용한 DataList 확인</v>
      </c>
      <c r="AB154" s="39" t="str">
        <f t="shared" si="6"/>
        <v>https://docs.inswave.com/websquare/websquare.html?w2xPath=/support/api/guide/_DataCollection/DataList/introduction_DataList.xml</v>
      </c>
    </row>
    <row r="155" spans="1:28" s="39" customFormat="1" ht="119" x14ac:dyDescent="0.45">
      <c r="A155" s="37">
        <f>SUBTOTAL(3, $T$2:T155)</f>
        <v>97</v>
      </c>
      <c r="B155" s="40" t="s">
        <v>19</v>
      </c>
      <c r="C155" s="39" t="s">
        <v>3649</v>
      </c>
      <c r="D155" s="39" t="s">
        <v>3722</v>
      </c>
      <c r="E155" s="40" t="s">
        <v>2224</v>
      </c>
      <c r="F155" s="41" t="s">
        <v>2223</v>
      </c>
      <c r="G155" s="44" t="s">
        <v>1270</v>
      </c>
      <c r="H155" s="53" t="s">
        <v>4382</v>
      </c>
      <c r="I155" s="44" t="s">
        <v>1269</v>
      </c>
      <c r="J155" s="14" t="s">
        <v>2222</v>
      </c>
      <c r="K155" s="22" t="s">
        <v>3059</v>
      </c>
      <c r="L155" s="46">
        <v>43891</v>
      </c>
      <c r="M155" s="14"/>
      <c r="N155" s="45" t="s">
        <v>199</v>
      </c>
      <c r="O155" s="45" t="s">
        <v>199</v>
      </c>
      <c r="P155" s="45" t="s">
        <v>199</v>
      </c>
      <c r="Q155" s="45" t="s">
        <v>199</v>
      </c>
      <c r="R155" s="45" t="s">
        <v>199</v>
      </c>
      <c r="S155" s="45" t="s">
        <v>199</v>
      </c>
      <c r="T155" s="47" t="s">
        <v>4247</v>
      </c>
      <c r="U155" s="39" t="s">
        <v>3764</v>
      </c>
      <c r="V155" s="39" t="str">
        <f>CONCATENATE(U155, D155)</f>
        <v>https://example.websquare.kr/websquare/websquare.html?w2xPath=/guide/_DataCollection/DataList/getFiterList_clearFilter_setColumnFilter_DataList/getFiterList_clearFilter_setColumnFilter_DataList.xml</v>
      </c>
      <c r="W155" s="39" t="s">
        <v>4512</v>
      </c>
      <c r="X155" s="39" t="str">
        <f>CONCATENATE(W155, D155)</f>
        <v>https://docs.inswave.com/websquare/websquare.html?w2xPath=/support/api/guide/_DataCollection/DataList/getFiterList_clearFilter_setColumnFilter_DataList/getFiterList_clearFilter_setColumnFilter_DataList.xml</v>
      </c>
      <c r="Y155" s="48" t="str">
        <f>HYPERLINK(X155, H155)</f>
        <v>사용자 정의 필터 저장 후 다시 로딩</v>
      </c>
      <c r="Z155" s="4" t="str">
        <f>HYPERLINK(V155,H155)</f>
        <v>사용자 정의 필터 저장 후 다시 로딩</v>
      </c>
      <c r="AA155" s="4" t="str">
        <f>HYPERLINK(J155,H155)</f>
        <v>사용자 정의 필터 저장 후 다시 로딩</v>
      </c>
      <c r="AB155" s="39" t="str">
        <f t="shared" si="6"/>
        <v>https://docs.inswave.com/websquare/websquare.html?w2xPath=/support/api/guide/_DataCollection/DataList/getFiterList_clearFilter_setColumnFilter_DataList/getFiterList_clearFilter_setColumnFilter_DataList.xml</v>
      </c>
    </row>
    <row r="156" spans="1:28" s="39" customFormat="1" ht="102" hidden="1" x14ac:dyDescent="0.45">
      <c r="A156" s="37">
        <f>SUBTOTAL(3, $T$2:T156)</f>
        <v>97</v>
      </c>
      <c r="B156" s="38" t="s">
        <v>1948</v>
      </c>
      <c r="C156" s="39" t="s">
        <v>1948</v>
      </c>
      <c r="D156" s="39" t="s">
        <v>4343</v>
      </c>
      <c r="E156" s="40" t="s">
        <v>3234</v>
      </c>
      <c r="F156" s="41" t="s">
        <v>562</v>
      </c>
      <c r="G156" s="39" t="s">
        <v>561</v>
      </c>
      <c r="H156" s="52" t="s">
        <v>3604</v>
      </c>
      <c r="I156" s="44" t="s">
        <v>3450</v>
      </c>
      <c r="J156" s="14" t="s">
        <v>3442</v>
      </c>
      <c r="K156" s="22" t="s">
        <v>3054</v>
      </c>
      <c r="L156" s="46">
        <v>44562</v>
      </c>
      <c r="M156" s="14"/>
      <c r="N156" s="45" t="s">
        <v>199</v>
      </c>
      <c r="O156" s="45" t="s">
        <v>199</v>
      </c>
      <c r="P156" s="47" t="s">
        <v>199</v>
      </c>
      <c r="Q156" s="45" t="s">
        <v>199</v>
      </c>
      <c r="R156" s="45" t="s">
        <v>199</v>
      </c>
      <c r="S156" s="45" t="s">
        <v>199</v>
      </c>
      <c r="T156" s="47" t="s">
        <v>4515</v>
      </c>
      <c r="U156" s="39" t="s">
        <v>3764</v>
      </c>
      <c r="V156" s="39" t="str">
        <f>CONCATENATE(U156, D156)</f>
        <v>https://example.websquare.kr/websquare/websquare.html?w2xPath=/guide/_config_xml/popup_lazyPopup_config_xml/popup_lazyPopup_config_xml.xml</v>
      </c>
      <c r="W156" s="39" t="s">
        <v>4220</v>
      </c>
      <c r="X156" s="39" t="str">
        <f>CONCATENATE(W156, D156)</f>
        <v>https://docs.inswave.com/websquare/websquare.html?w2xPath=/support/api/samples/_config_xml/popup_lazyPopup_config_xml/popup_lazyPopup_config_xml.xml</v>
      </c>
      <c r="Y156" s="48"/>
      <c r="Z156" s="4"/>
      <c r="AA156" s="4" t="str">
        <f>HYPERLINK(J156,H156)</f>
        <v>팝업 상태창 표시</v>
      </c>
      <c r="AB156" s="39" t="str">
        <f t="shared" si="6"/>
        <v>https://docs.inswave.com/websquare/websquare.html?w2xPath=/support/api/samples/_config_xml/popup_lazyPopup_config_xml/popup_lazyPopup_config_xml.xml</v>
      </c>
    </row>
    <row r="157" spans="1:28" s="39" customFormat="1" ht="102" x14ac:dyDescent="0.45">
      <c r="A157" s="37">
        <f>SUBTOTAL(3, $T$2:T157)</f>
        <v>98</v>
      </c>
      <c r="B157" s="40" t="s">
        <v>19</v>
      </c>
      <c r="C157" s="39" t="s">
        <v>3649</v>
      </c>
      <c r="D157" s="38" t="s">
        <v>4348</v>
      </c>
      <c r="E157" s="40" t="s">
        <v>2097</v>
      </c>
      <c r="F157" s="62" t="s">
        <v>2099</v>
      </c>
      <c r="G157" s="44" t="s">
        <v>1274</v>
      </c>
      <c r="H157" s="53" t="s">
        <v>4381</v>
      </c>
      <c r="I157" s="44" t="s">
        <v>1273</v>
      </c>
      <c r="J157" s="19" t="s">
        <v>2098</v>
      </c>
      <c r="K157" s="22" t="s">
        <v>3058</v>
      </c>
      <c r="L157" s="46">
        <v>43952</v>
      </c>
      <c r="M157" s="19"/>
      <c r="N157" s="45" t="s">
        <v>199</v>
      </c>
      <c r="O157" s="45" t="s">
        <v>199</v>
      </c>
      <c r="P157" s="45" t="s">
        <v>199</v>
      </c>
      <c r="Q157" s="45" t="s">
        <v>199</v>
      </c>
      <c r="R157" s="45" t="s">
        <v>199</v>
      </c>
      <c r="S157" s="45" t="s">
        <v>199</v>
      </c>
      <c r="T157" s="47" t="s">
        <v>4247</v>
      </c>
      <c r="U157" s="39" t="s">
        <v>3764</v>
      </c>
      <c r="V157" s="39" t="str">
        <f>CONCATENATE(U157, D157)</f>
        <v>https://example.websquare.kr/websquare/websquare.html?w2xPath=/guide/_DataCollection/DataList/getCellData_DataList/getCellData_DataList.xml</v>
      </c>
      <c r="W157" s="39" t="s">
        <v>4512</v>
      </c>
      <c r="X157" s="39" t="str">
        <f>CONCATENATE(W157, D157)</f>
        <v>https://docs.inswave.com/websquare/websquare.html?w2xPath=/support/api/guide/_DataCollection/DataList/getCellData_DataList/getCellData_DataList.xml</v>
      </c>
      <c r="Y157" s="48" t="str">
        <f>HYPERLINK(X157, H157)</f>
        <v>셀 데이터 반환</v>
      </c>
      <c r="Z157" s="4" t="str">
        <f>HYPERLINK(V157,H157)</f>
        <v>셀 데이터 반환</v>
      </c>
      <c r="AA157" s="4" t="str">
        <f>HYPERLINK(J157,H157)</f>
        <v>셀 데이터 반환</v>
      </c>
      <c r="AB157" s="39" t="str">
        <f t="shared" si="6"/>
        <v>https://docs.inswave.com/websquare/websquare.html?w2xPath=/support/api/guide/_DataCollection/DataList/getCellData_DataList/getCellData_DataList.xml</v>
      </c>
    </row>
    <row r="158" spans="1:28" s="39" customFormat="1" ht="102" hidden="1" x14ac:dyDescent="0.45">
      <c r="A158" s="37">
        <f>SUBTOTAL(3, $T$2:T158)</f>
        <v>98</v>
      </c>
      <c r="B158" s="38" t="s">
        <v>3048</v>
      </c>
      <c r="C158" s="39" t="s">
        <v>208</v>
      </c>
      <c r="D158" s="39" t="s">
        <v>580</v>
      </c>
      <c r="E158" s="40" t="s">
        <v>208</v>
      </c>
      <c r="F158" s="41" t="s">
        <v>208</v>
      </c>
      <c r="G158" s="39" t="s">
        <v>573</v>
      </c>
      <c r="H158" s="52" t="s">
        <v>3605</v>
      </c>
      <c r="I158" s="44"/>
      <c r="J158" s="14" t="s">
        <v>3443</v>
      </c>
      <c r="K158" s="22" t="s">
        <v>3049</v>
      </c>
      <c r="L158" s="46">
        <v>44317</v>
      </c>
      <c r="M158" s="14"/>
      <c r="N158" s="45" t="s">
        <v>199</v>
      </c>
      <c r="O158" s="45" t="s">
        <v>199</v>
      </c>
      <c r="P158" s="47" t="s">
        <v>199</v>
      </c>
      <c r="Q158" s="45" t="s">
        <v>199</v>
      </c>
      <c r="R158" s="45" t="s">
        <v>199</v>
      </c>
      <c r="S158" s="45" t="s">
        <v>199</v>
      </c>
      <c r="T158" s="47" t="s">
        <v>4515</v>
      </c>
      <c r="U158" s="39" t="s">
        <v>3764</v>
      </c>
      <c r="V158" s="39" t="str">
        <f>CONCATENATE(U158, D158)</f>
        <v>https://example.websquare.kr/websquare/websquare.html?w2xPath=/guide/_UDC/UDC/</v>
      </c>
      <c r="W158" s="39" t="s">
        <v>4220</v>
      </c>
      <c r="X158" s="39" t="str">
        <f>CONCATENATE(W158, D158)</f>
        <v>https://docs.inswave.com/websquare/websquare.html?w2xPath=/support/api/samples/_UDC/UDC/</v>
      </c>
      <c r="Y158" s="48"/>
      <c r="Z158" s="4"/>
      <c r="AA158" s="4" t="str">
        <f>HYPERLINK(J158,H158)</f>
        <v>UDC 생성 활용</v>
      </c>
      <c r="AB158" s="39" t="str">
        <f t="shared" si="6"/>
        <v>https://docs.inswave.com/websquare/websquare.html?w2xPath=/support/api/samples/_UDC/UDC/</v>
      </c>
    </row>
    <row r="159" spans="1:28" s="39" customFormat="1" ht="102" x14ac:dyDescent="0.45">
      <c r="A159" s="37">
        <f>SUBTOTAL(3, $T$2:T159)</f>
        <v>99</v>
      </c>
      <c r="B159" s="40" t="s">
        <v>19</v>
      </c>
      <c r="C159" s="39" t="s">
        <v>3649</v>
      </c>
      <c r="D159" s="39" t="s">
        <v>4346</v>
      </c>
      <c r="E159" s="40" t="s">
        <v>2092</v>
      </c>
      <c r="F159" s="41" t="s">
        <v>2093</v>
      </c>
      <c r="G159" s="39" t="s">
        <v>1277</v>
      </c>
      <c r="H159" s="53" t="s">
        <v>4374</v>
      </c>
      <c r="I159" s="44" t="s">
        <v>1278</v>
      </c>
      <c r="J159" s="14" t="s">
        <v>4468</v>
      </c>
      <c r="K159" s="22" t="s">
        <v>3061</v>
      </c>
      <c r="L159" s="46">
        <v>43952</v>
      </c>
      <c r="M159" s="14"/>
      <c r="N159" s="45" t="s">
        <v>199</v>
      </c>
      <c r="O159" s="45" t="s">
        <v>199</v>
      </c>
      <c r="P159" s="45" t="s">
        <v>199</v>
      </c>
      <c r="Q159" s="45" t="s">
        <v>199</v>
      </c>
      <c r="R159" s="45" t="s">
        <v>199</v>
      </c>
      <c r="S159" s="45" t="s">
        <v>199</v>
      </c>
      <c r="T159" s="47" t="s">
        <v>4247</v>
      </c>
      <c r="U159" s="39" t="s">
        <v>3764</v>
      </c>
      <c r="V159" s="39" t="str">
        <f>CONCATENATE(U159, D159)</f>
        <v>https://example.websquare.kr/websquare/websquare.html?w2xPath=/guide/_DataCollection/DataList/onbeforecelldatachange_DataList/onbeforecelldatachange_DataList.xml</v>
      </c>
      <c r="W159" s="39" t="s">
        <v>4512</v>
      </c>
      <c r="X159" s="39" t="str">
        <f>CONCATENATE(W159, D159)</f>
        <v>https://docs.inswave.com/websquare/websquare.html?w2xPath=/support/api/guide/_DataCollection/DataList/onbeforecelldatachange_DataList/onbeforecelldatachange_DataList.xml</v>
      </c>
      <c r="Y159" s="48" t="str">
        <f>HYPERLINK(X159, H159)</f>
        <v>이벤트 - onbeforecelldatachange</v>
      </c>
      <c r="Z159" s="4" t="str">
        <f>HYPERLINK(V159,H159)</f>
        <v>이벤트 - onbeforecelldatachange</v>
      </c>
      <c r="AA159" s="4" t="str">
        <f>HYPERLINK(J159,H159)</f>
        <v>이벤트 - onbeforecelldatachange</v>
      </c>
      <c r="AB159" s="39" t="str">
        <f t="shared" si="6"/>
        <v>https://docs.inswave.com/websquare/websquare.html?w2xPath=/support/api/guide/_DataCollection/DataList/onbeforecelldatachange_DataList/onbeforecelldatachange_DataList.xml</v>
      </c>
    </row>
    <row r="160" spans="1:28" s="39" customFormat="1" ht="102" x14ac:dyDescent="0.45">
      <c r="A160" s="37">
        <f>SUBTOTAL(3, $T$2:T160)</f>
        <v>100</v>
      </c>
      <c r="B160" s="40" t="s">
        <v>19</v>
      </c>
      <c r="C160" s="39" t="s">
        <v>3649</v>
      </c>
      <c r="D160" s="39" t="s">
        <v>4345</v>
      </c>
      <c r="E160" s="40" t="s">
        <v>2089</v>
      </c>
      <c r="F160" s="41" t="s">
        <v>2090</v>
      </c>
      <c r="G160" s="39" t="s">
        <v>1275</v>
      </c>
      <c r="H160" s="53" t="s">
        <v>4384</v>
      </c>
      <c r="I160" s="44" t="s">
        <v>1276</v>
      </c>
      <c r="J160" s="14" t="s">
        <v>4469</v>
      </c>
      <c r="K160" s="22" t="s">
        <v>3062</v>
      </c>
      <c r="L160" s="46">
        <v>43952</v>
      </c>
      <c r="M160" s="14"/>
      <c r="N160" s="45" t="s">
        <v>199</v>
      </c>
      <c r="O160" s="45" t="s">
        <v>199</v>
      </c>
      <c r="P160" s="45" t="s">
        <v>199</v>
      </c>
      <c r="Q160" s="45" t="s">
        <v>199</v>
      </c>
      <c r="R160" s="45" t="s">
        <v>199</v>
      </c>
      <c r="S160" s="45" t="s">
        <v>199</v>
      </c>
      <c r="T160" s="47" t="s">
        <v>4247</v>
      </c>
      <c r="U160" s="39" t="s">
        <v>3764</v>
      </c>
      <c r="V160" s="39" t="str">
        <f>CONCATENATE(U160, D160)</f>
        <v>https://example.websquare.kr/websquare/websquare.html?w2xPath=/guide/_DataCollection/DataList/ondataload_DataList/ondataload_DataList.xml</v>
      </c>
      <c r="W160" s="39" t="s">
        <v>4512</v>
      </c>
      <c r="X160" s="39" t="str">
        <f>CONCATENATE(W160, D160)</f>
        <v>https://docs.inswave.com/websquare/websquare.html?w2xPath=/support/api/guide/_DataCollection/DataList/ondataload_DataList/ondataload_DataList.xml</v>
      </c>
      <c r="Y160" s="48" t="str">
        <f>HYPERLINK(X160, H160)</f>
        <v>이벤트 - ondataload</v>
      </c>
      <c r="Z160" s="4" t="str">
        <f>HYPERLINK(V160,H160)</f>
        <v>이벤트 - ondataload</v>
      </c>
      <c r="AA160" s="4" t="str">
        <f>HYPERLINK(J160,H160)</f>
        <v>이벤트 - ondataload</v>
      </c>
      <c r="AB160" s="39" t="str">
        <f t="shared" si="6"/>
        <v>https://docs.inswave.com/websquare/websquare.html?w2xPath=/support/api/guide/_DataCollection/DataList/ondataload_DataList/ondataload_DataList.xml</v>
      </c>
    </row>
    <row r="161" spans="1:28" s="39" customFormat="1" ht="102" x14ac:dyDescent="0.45">
      <c r="A161" s="37">
        <f>SUBTOTAL(3, $T$2:T161)</f>
        <v>101</v>
      </c>
      <c r="B161" s="40" t="s">
        <v>19</v>
      </c>
      <c r="C161" s="39" t="s">
        <v>3651</v>
      </c>
      <c r="D161" s="39" t="s">
        <v>3532</v>
      </c>
      <c r="E161" s="40" t="s">
        <v>2394</v>
      </c>
      <c r="F161" s="41" t="s">
        <v>2460</v>
      </c>
      <c r="G161" s="39" t="s">
        <v>1311</v>
      </c>
      <c r="H161" s="53" t="s">
        <v>4378</v>
      </c>
      <c r="I161" s="44" t="s">
        <v>1288</v>
      </c>
      <c r="J161" s="14" t="s">
        <v>4467</v>
      </c>
      <c r="K161" s="22" t="s">
        <v>3067</v>
      </c>
      <c r="L161" s="46">
        <v>43770</v>
      </c>
      <c r="M161" s="14"/>
      <c r="N161" s="45" t="s">
        <v>199</v>
      </c>
      <c r="O161" s="45" t="s">
        <v>199</v>
      </c>
      <c r="P161" s="45"/>
      <c r="Q161" s="45" t="s">
        <v>199</v>
      </c>
      <c r="R161" s="45" t="s">
        <v>199</v>
      </c>
      <c r="S161" s="45" t="s">
        <v>199</v>
      </c>
      <c r="T161" s="47" t="s">
        <v>4247</v>
      </c>
      <c r="U161" s="39" t="s">
        <v>3764</v>
      </c>
      <c r="V161" s="39" t="str">
        <f>CONCATENATE(U161, D161)</f>
        <v>https://example.websquare.kr/websquare/websquare.html?w2xPath=/guide/_DataCollection/DataList/getFilteredColData_getColData_DataList.xml</v>
      </c>
      <c r="W161" s="39" t="s">
        <v>4512</v>
      </c>
      <c r="X161" s="39" t="str">
        <f>CONCATENATE(W161, D161)</f>
        <v>https://docs.inswave.com/websquare/websquare.html?w2xPath=/support/api/guide/_DataCollection/DataList/getFilteredColData_getColData_DataList.xml</v>
      </c>
      <c r="Y161" s="48" t="str">
        <f>HYPERLINK(X161, H161)</f>
        <v>필터링 후의 컬럼 데이터만 반환</v>
      </c>
      <c r="Z161" s="4" t="str">
        <f>HYPERLINK(V161,H161)</f>
        <v>필터링 후의 컬럼 데이터만 반환</v>
      </c>
      <c r="AA161" s="4" t="str">
        <f>HYPERLINK(J161,H161)</f>
        <v>필터링 후의 컬럼 데이터만 반환</v>
      </c>
      <c r="AB161" s="39" t="str">
        <f t="shared" si="6"/>
        <v>https://docs.inswave.com/websquare/websquare.html?w2xPath=/support/api/guide/_DataCollection/DataList/getFilteredColData_getColData_DataList.xml</v>
      </c>
    </row>
    <row r="162" spans="1:28" s="39" customFormat="1" ht="102" x14ac:dyDescent="0.45">
      <c r="A162" s="37">
        <f>SUBTOTAL(3, $T$2:T162)</f>
        <v>102</v>
      </c>
      <c r="B162" s="38" t="s">
        <v>2068</v>
      </c>
      <c r="C162" s="39" t="s">
        <v>3649</v>
      </c>
      <c r="D162" s="39" t="s">
        <v>3653</v>
      </c>
      <c r="E162" s="39" t="s">
        <v>2567</v>
      </c>
      <c r="F162" s="41" t="s">
        <v>2564</v>
      </c>
      <c r="G162" s="39" t="s">
        <v>1311</v>
      </c>
      <c r="H162" s="53" t="s">
        <v>4377</v>
      </c>
      <c r="I162" s="39" t="s">
        <v>2574</v>
      </c>
      <c r="J162" s="14" t="s">
        <v>4466</v>
      </c>
      <c r="K162" s="22" t="s">
        <v>3056</v>
      </c>
      <c r="L162" s="46">
        <v>45292</v>
      </c>
      <c r="M162" s="60"/>
      <c r="N162" s="45" t="s">
        <v>199</v>
      </c>
      <c r="O162" s="45" t="s">
        <v>199</v>
      </c>
      <c r="P162" s="45" t="s">
        <v>199</v>
      </c>
      <c r="Q162" s="45" t="s">
        <v>199</v>
      </c>
      <c r="R162" s="45" t="s">
        <v>199</v>
      </c>
      <c r="S162" s="45" t="s">
        <v>199</v>
      </c>
      <c r="T162" s="47" t="s">
        <v>4247</v>
      </c>
      <c r="U162" s="39" t="s">
        <v>3764</v>
      </c>
      <c r="V162" s="39" t="str">
        <f>CONCATENATE(U162, D162)</f>
        <v>https://example.websquare.kr/websquare/websquare.html?w2xPath=/guide/_DataCollection/DataList/getAllFilteredJSON_DataList.xml</v>
      </c>
      <c r="W162" s="39" t="s">
        <v>4512</v>
      </c>
      <c r="X162" s="39" t="str">
        <f>CONCATENATE(W162, D162)</f>
        <v>https://docs.inswave.com/websquare/websquare.html?w2xPath=/support/api/guide/_DataCollection/DataList/getAllFilteredJSON_DataList.xml</v>
      </c>
      <c r="Y162" s="48" t="str">
        <f>HYPERLINK(X162, H162)</f>
        <v>필터링된 데이터만 JSON 형식으로 반환</v>
      </c>
      <c r="Z162" s="4" t="str">
        <f>HYPERLINK(V162,H162)</f>
        <v>필터링된 데이터만 JSON 형식으로 반환</v>
      </c>
      <c r="AA162" s="4" t="str">
        <f>HYPERLINK(J162,H162)</f>
        <v>필터링된 데이터만 JSON 형식으로 반환</v>
      </c>
      <c r="AB162" s="39" t="str">
        <f t="shared" si="6"/>
        <v>https://docs.inswave.com/websquare/websquare.html?w2xPath=/support/api/guide/_DataCollection/DataList/getAllFilteredJSON_DataList.xml</v>
      </c>
    </row>
    <row r="163" spans="1:28" s="39" customFormat="1" ht="102" x14ac:dyDescent="0.45">
      <c r="A163" s="37">
        <f>SUBTOTAL(3, $T$2:T163)</f>
        <v>103</v>
      </c>
      <c r="B163" s="40" t="s">
        <v>19</v>
      </c>
      <c r="C163" s="39" t="s">
        <v>3649</v>
      </c>
      <c r="D163" s="39" t="s">
        <v>3652</v>
      </c>
      <c r="E163" s="40" t="s">
        <v>1495</v>
      </c>
      <c r="F163" s="41" t="s">
        <v>1494</v>
      </c>
      <c r="G163" s="39" t="s">
        <v>1476</v>
      </c>
      <c r="H163" s="53" t="s">
        <v>4386</v>
      </c>
      <c r="I163" s="39" t="s">
        <v>1477</v>
      </c>
      <c r="J163" s="14" t="s">
        <v>1879</v>
      </c>
      <c r="K163" s="22" t="s">
        <v>3068</v>
      </c>
      <c r="L163" s="46">
        <v>44013</v>
      </c>
      <c r="M163" s="14"/>
      <c r="N163" s="45" t="s">
        <v>199</v>
      </c>
      <c r="O163" s="45" t="s">
        <v>199</v>
      </c>
      <c r="P163" s="45" t="s">
        <v>199</v>
      </c>
      <c r="Q163" s="45" t="s">
        <v>199</v>
      </c>
      <c r="R163" s="45" t="s">
        <v>199</v>
      </c>
      <c r="S163" s="45" t="s">
        <v>199</v>
      </c>
      <c r="T163" s="47" t="s">
        <v>4247</v>
      </c>
      <c r="U163" s="39" t="s">
        <v>3764</v>
      </c>
      <c r="V163" s="39" t="str">
        <f>CONCATENATE(U163, D163)</f>
        <v>https://example.websquare.kr/websquare/websquare.html?w2xPath=/guide/_DataCollection/DataList/importFormatter_dataList_column.xml</v>
      </c>
      <c r="W163" s="39" t="s">
        <v>4512</v>
      </c>
      <c r="X163" s="39" t="str">
        <f>CONCATENATE(W163, D163)</f>
        <v>https://docs.inswave.com/websquare/websquare.html?w2xPath=/support/api/guide/_DataCollection/DataList/importFormatter_dataList_column.xml</v>
      </c>
      <c r="Y163" s="48" t="str">
        <f>HYPERLINK(X163, H163)</f>
        <v>함수를 통한 특정 컬럼의 데이터 변경</v>
      </c>
      <c r="Z163" s="4" t="str">
        <f>HYPERLINK(V163,H163)</f>
        <v>함수를 통한 특정 컬럼의 데이터 변경</v>
      </c>
      <c r="AA163" s="4" t="str">
        <f>HYPERLINK(J163,H163)</f>
        <v>함수를 통한 특정 컬럼의 데이터 변경</v>
      </c>
      <c r="AB163" s="39" t="str">
        <f t="shared" si="6"/>
        <v>https://docs.inswave.com/websquare/websquare.html?w2xPath=/support/api/guide/_DataCollection/DataList/importFormatter_dataList_column.xml</v>
      </c>
    </row>
    <row r="164" spans="1:28" s="39" customFormat="1" ht="102" x14ac:dyDescent="0.45">
      <c r="A164" s="37">
        <f>SUBTOTAL(3, $T$2:T164)</f>
        <v>104</v>
      </c>
      <c r="B164" s="40" t="s">
        <v>19</v>
      </c>
      <c r="C164" s="39" t="s">
        <v>3649</v>
      </c>
      <c r="D164" s="39" t="s">
        <v>4417</v>
      </c>
      <c r="E164" s="66" t="s">
        <v>2213</v>
      </c>
      <c r="F164" s="41" t="s">
        <v>2214</v>
      </c>
      <c r="G164" s="64" t="s">
        <v>1268</v>
      </c>
      <c r="H164" s="53" t="s">
        <v>4375</v>
      </c>
      <c r="I164" s="44" t="s">
        <v>2215</v>
      </c>
      <c r="J164" s="14" t="s">
        <v>4464</v>
      </c>
      <c r="K164" s="22" t="s">
        <v>3057</v>
      </c>
      <c r="L164" s="46">
        <v>43891</v>
      </c>
      <c r="M164" s="14"/>
      <c r="N164" s="45" t="s">
        <v>199</v>
      </c>
      <c r="O164" s="45" t="s">
        <v>199</v>
      </c>
      <c r="P164" s="45" t="s">
        <v>199</v>
      </c>
      <c r="Q164" s="45" t="s">
        <v>199</v>
      </c>
      <c r="R164" s="45" t="s">
        <v>199</v>
      </c>
      <c r="S164" s="45" t="s">
        <v>199</v>
      </c>
      <c r="T164" s="47" t="s">
        <v>4247</v>
      </c>
      <c r="U164" s="39" t="s">
        <v>3764</v>
      </c>
      <c r="V164" s="39" t="str">
        <f>CONCATENATE(U164, D164)</f>
        <v>https://example.websquare.kr/websquare/websquare.html?w2xPath=/guide/_DataCollection/DataList/getAllJSON_DataList/getAllJSON_DataList.xml</v>
      </c>
      <c r="W164" s="39" t="s">
        <v>4512</v>
      </c>
      <c r="X164" s="39" t="str">
        <f>CONCATENATE(W164, D164)</f>
        <v>https://docs.inswave.com/websquare/websquare.html?w2xPath=/support/api/guide/_DataCollection/DataList/getAllJSON_DataList/getAllJSON_DataList.xml</v>
      </c>
      <c r="Y164" s="48" t="str">
        <f>HYPERLINK(X164, H164)</f>
        <v>행 상태(rowStatus)를 제외한 DataList 데이터를 JSON 형식으로 반환</v>
      </c>
      <c r="Z164" s="4" t="str">
        <f>HYPERLINK(V164,H164)</f>
        <v>행 상태(rowStatus)를 제외한 DataList 데이터를 JSON 형식으로 반환</v>
      </c>
      <c r="AA164" s="4" t="str">
        <f>HYPERLINK(J164,H164)</f>
        <v>행 상태(rowStatus)를 제외한 DataList 데이터를 JSON 형식으로 반환</v>
      </c>
      <c r="AB164" s="39" t="str">
        <f t="shared" si="6"/>
        <v>https://docs.inswave.com/websquare/websquare.html?w2xPath=/support/api/guide/_DataCollection/DataList/getAllJSON_DataList/getAllJSON_DataList.xml</v>
      </c>
    </row>
    <row r="165" spans="1:28" s="39" customFormat="1" ht="102" x14ac:dyDescent="0.45">
      <c r="A165" s="37">
        <f>SUBTOTAL(3, $T$2:T165)</f>
        <v>105</v>
      </c>
      <c r="B165" s="40" t="s">
        <v>19</v>
      </c>
      <c r="C165" s="39" t="s">
        <v>3649</v>
      </c>
      <c r="D165" s="39" t="s">
        <v>4347</v>
      </c>
      <c r="E165" s="40" t="s">
        <v>2094</v>
      </c>
      <c r="F165" s="41" t="s">
        <v>2096</v>
      </c>
      <c r="G165" s="39" t="s">
        <v>1272</v>
      </c>
      <c r="H165" s="53" t="s">
        <v>4383</v>
      </c>
      <c r="I165" s="44" t="s">
        <v>1271</v>
      </c>
      <c r="J165" s="14" t="s">
        <v>2095</v>
      </c>
      <c r="K165" s="22" t="s">
        <v>3060</v>
      </c>
      <c r="L165" s="46">
        <v>43952</v>
      </c>
      <c r="M165" s="14"/>
      <c r="N165" s="45" t="s">
        <v>199</v>
      </c>
      <c r="O165" s="45" t="s">
        <v>199</v>
      </c>
      <c r="P165" s="45" t="s">
        <v>199</v>
      </c>
      <c r="Q165" s="45" t="s">
        <v>199</v>
      </c>
      <c r="R165" s="45" t="s">
        <v>199</v>
      </c>
      <c r="S165" s="45" t="s">
        <v>199</v>
      </c>
      <c r="T165" s="47" t="s">
        <v>4247</v>
      </c>
      <c r="U165" s="39" t="s">
        <v>3764</v>
      </c>
      <c r="V165" s="39" t="str">
        <f>CONCATENATE(U165, D165)</f>
        <v>https://example.websquare.kr/websquare/websquare.html?w2xPath=/guide/_DataCollection/DataList/getRowCount_DataList/getRowCount_DataList.xml</v>
      </c>
      <c r="W165" s="39" t="s">
        <v>4512</v>
      </c>
      <c r="X165" s="39" t="str">
        <f>CONCATENATE(W165, D165)</f>
        <v>https://docs.inswave.com/websquare/websquare.html?w2xPath=/support/api/guide/_DataCollection/DataList/getRowCount_DataList/getRowCount_DataList.xml</v>
      </c>
      <c r="Y165" s="48" t="str">
        <f>HYPERLINK(X165, H165)</f>
        <v>현재 표시된 행 수 반환</v>
      </c>
      <c r="Z165" s="4" t="str">
        <f>HYPERLINK(V165,H165)</f>
        <v>현재 표시된 행 수 반환</v>
      </c>
      <c r="AA165" s="4" t="str">
        <f>HYPERLINK(J165,H165)</f>
        <v>현재 표시된 행 수 반환</v>
      </c>
      <c r="AB165" s="39" t="str">
        <f t="shared" si="6"/>
        <v>https://docs.inswave.com/websquare/websquare.html?w2xPath=/support/api/guide/_DataCollection/DataList/getRowCount_DataList/getRowCount_DataList.xml</v>
      </c>
    </row>
    <row r="166" spans="1:28" s="39" customFormat="1" ht="102" x14ac:dyDescent="0.45">
      <c r="A166" s="37">
        <f>SUBTOTAL(3, $T$2:T166)</f>
        <v>106</v>
      </c>
      <c r="B166" s="38" t="s">
        <v>19</v>
      </c>
      <c r="C166" s="39" t="s">
        <v>3649</v>
      </c>
      <c r="D166" s="39" t="s">
        <v>4395</v>
      </c>
      <c r="E166" s="40" t="s">
        <v>572</v>
      </c>
      <c r="F166" s="41" t="s">
        <v>209</v>
      </c>
      <c r="G166" s="39" t="s">
        <v>69</v>
      </c>
      <c r="H166" s="53" t="s">
        <v>4453</v>
      </c>
      <c r="I166" s="44"/>
      <c r="J166" s="14" t="s">
        <v>571</v>
      </c>
      <c r="K166" s="22" t="s">
        <v>3066</v>
      </c>
      <c r="L166" s="46">
        <v>44348</v>
      </c>
      <c r="M166" s="45" t="s">
        <v>200</v>
      </c>
      <c r="N166" s="45" t="s">
        <v>199</v>
      </c>
      <c r="O166" s="45" t="s">
        <v>199</v>
      </c>
      <c r="P166" s="47" t="s">
        <v>199</v>
      </c>
      <c r="Q166" s="45" t="s">
        <v>199</v>
      </c>
      <c r="R166" s="45" t="s">
        <v>199</v>
      </c>
      <c r="S166" s="45" t="s">
        <v>199</v>
      </c>
      <c r="T166" s="47" t="s">
        <v>4247</v>
      </c>
      <c r="U166" s="39" t="s">
        <v>3764</v>
      </c>
      <c r="V166" s="39" t="str">
        <f>CONCATENATE(U166, D166)</f>
        <v>https://example.websquare.kr/websquare/websquare.html?w2xPath=/guide/_DataCollection/dataList_dataMap_linkedDataList.xml</v>
      </c>
      <c r="W166" s="39" t="s">
        <v>4512</v>
      </c>
      <c r="X166" s="39" t="str">
        <f>CONCATENATE(W166, D166)</f>
        <v>https://docs.inswave.com/websquare/websquare.html?w2xPath=/support/api/guide/_DataCollection/dataList_dataMap_linkedDataList.xml</v>
      </c>
      <c r="Y166" s="48" t="str">
        <f>HYPERLINK(X166, H166)</f>
        <v>화면의 DataCollection 객체 확인</v>
      </c>
      <c r="Z166" s="4" t="str">
        <f>HYPERLINK(V166,H166)</f>
        <v>화면의 DataCollection 객체 확인</v>
      </c>
      <c r="AA166" s="4" t="str">
        <f>HYPERLINK(J166,H166)</f>
        <v>화면의 DataCollection 객체 확인</v>
      </c>
      <c r="AB166" s="39" t="str">
        <f t="shared" si="6"/>
        <v>https://docs.inswave.com/websquare/websquare.html?w2xPath=/support/api/guide/_DataCollection/dataList_dataMap_linkedDataList.xml</v>
      </c>
    </row>
    <row r="167" spans="1:28" s="39" customFormat="1" ht="102" x14ac:dyDescent="0.45">
      <c r="A167" s="37">
        <f>SUBTOTAL(3, $T$2:T167)</f>
        <v>107</v>
      </c>
      <c r="B167" s="38" t="s">
        <v>2068</v>
      </c>
      <c r="C167" s="39" t="s">
        <v>3650</v>
      </c>
      <c r="D167" s="39" t="s">
        <v>3758</v>
      </c>
      <c r="E167" s="40" t="s">
        <v>3336</v>
      </c>
      <c r="F167" s="41" t="s">
        <v>3335</v>
      </c>
      <c r="G167" s="39" t="s">
        <v>3334</v>
      </c>
      <c r="H167" s="58" t="s">
        <v>4425</v>
      </c>
      <c r="I167" s="44" t="s">
        <v>3337</v>
      </c>
      <c r="J167" s="14" t="s">
        <v>3339</v>
      </c>
      <c r="K167" s="23" t="s">
        <v>3338</v>
      </c>
      <c r="L167" s="46">
        <v>45597</v>
      </c>
      <c r="M167" s="14"/>
      <c r="N167" s="45"/>
      <c r="O167" s="45"/>
      <c r="P167" s="45"/>
      <c r="Q167" s="45"/>
      <c r="R167" s="45"/>
      <c r="S167" s="45"/>
      <c r="T167" s="47" t="s">
        <v>4247</v>
      </c>
      <c r="U167" s="39" t="s">
        <v>3764</v>
      </c>
      <c r="V167" s="39" t="str">
        <f>CONCATENATE(U167, D167)</f>
        <v>https://example.websquare.kr/websquare/websquare.html?w2xPath=/guide/_DataCollection/DataMap/scope_aliasDataMap/scope_aliasDataMap.xml</v>
      </c>
      <c r="W167" s="39" t="s">
        <v>4512</v>
      </c>
      <c r="X167" s="39" t="str">
        <f>CONCATENATE(W167, D167)</f>
        <v>https://docs.inswave.com/websquare/websquare.html?w2xPath=/support/api/guide/_DataCollection/DataMap/scope_aliasDataMap/scope_aliasDataMap.xml</v>
      </c>
      <c r="Y167" s="48" t="str">
        <f>HYPERLINK(X167, H167)</f>
        <v>AliasDataMap 생성</v>
      </c>
      <c r="Z167" s="4" t="str">
        <f>HYPERLINK(V167,H167)</f>
        <v>AliasDataMap 생성</v>
      </c>
      <c r="AA167" s="4" t="str">
        <f>HYPERLINK(J167,H167)</f>
        <v>AliasDataMap 생성</v>
      </c>
      <c r="AB167" s="39" t="str">
        <f t="shared" si="6"/>
        <v>https://docs.inswave.com/websquare/websquare.html?w2xPath=/support/api/guide/_DataCollection/DataMap/scope_aliasDataMap/scope_aliasDataMap.xml</v>
      </c>
    </row>
    <row r="168" spans="1:28" s="39" customFormat="1" ht="102" x14ac:dyDescent="0.45">
      <c r="A168" s="37">
        <f>SUBTOTAL(3, $T$2:T168)</f>
        <v>108</v>
      </c>
      <c r="B168" s="38" t="s">
        <v>2068</v>
      </c>
      <c r="C168" s="39" t="s">
        <v>3650</v>
      </c>
      <c r="D168" s="39" t="s">
        <v>3539</v>
      </c>
      <c r="E168" s="40" t="s">
        <v>3323</v>
      </c>
      <c r="F168" s="41" t="s">
        <v>3322</v>
      </c>
      <c r="G168" s="39" t="s">
        <v>3329</v>
      </c>
      <c r="H168" s="58" t="s">
        <v>4426</v>
      </c>
      <c r="I168" s="44" t="s">
        <v>3330</v>
      </c>
      <c r="J168" s="14" t="s">
        <v>3332</v>
      </c>
      <c r="K168" s="23" t="s">
        <v>3331</v>
      </c>
      <c r="L168" s="46">
        <v>45597</v>
      </c>
      <c r="M168" s="50" t="s">
        <v>199</v>
      </c>
      <c r="N168" s="45"/>
      <c r="O168" s="45"/>
      <c r="P168" s="45"/>
      <c r="Q168" s="45"/>
      <c r="R168" s="45"/>
      <c r="S168" s="45"/>
      <c r="T168" s="47" t="s">
        <v>4247</v>
      </c>
      <c r="U168" s="39" t="s">
        <v>3764</v>
      </c>
      <c r="V168" s="39" t="str">
        <f>CONCATENATE(U168, D168)</f>
        <v>https://example.websquare.kr/websquare/websquare.html?w2xPath=/guide/_DataCollection/DataMap/getRefComponent_DataMap.xml</v>
      </c>
      <c r="W168" s="39" t="s">
        <v>4512</v>
      </c>
      <c r="X168" s="39" t="str">
        <f>CONCATENATE(W168, D168)</f>
        <v>https://docs.inswave.com/websquare/websquare.html?w2xPath=/support/api/guide/_DataCollection/DataMap/getRefComponent_DataMap.xml</v>
      </c>
      <c r="Y168" s="48" t="str">
        <f>HYPERLINK(X168, H168)</f>
        <v>DataMap과 바인딩된 컴포넌트의 ID 반환</v>
      </c>
      <c r="Z168" s="4" t="str">
        <f>HYPERLINK(V168,H168)</f>
        <v>DataMap과 바인딩된 컴포넌트의 ID 반환</v>
      </c>
      <c r="AA168" s="4" t="str">
        <f>HYPERLINK(J168,H168)</f>
        <v>DataMap과 바인딩된 컴포넌트의 ID 반환</v>
      </c>
      <c r="AB168" s="39" t="str">
        <f t="shared" si="6"/>
        <v>https://docs.inswave.com/websquare/websquare.html?w2xPath=/support/api/guide/_DataCollection/DataMap/getRefComponent_DataMap.xml</v>
      </c>
    </row>
    <row r="169" spans="1:28" s="39" customFormat="1" ht="102" x14ac:dyDescent="0.45">
      <c r="A169" s="37">
        <f>SUBTOTAL(3, $T$2:T169)</f>
        <v>109</v>
      </c>
      <c r="B169" s="38" t="s">
        <v>2068</v>
      </c>
      <c r="C169" s="39" t="s">
        <v>3650</v>
      </c>
      <c r="D169" s="39" t="s">
        <v>3538</v>
      </c>
      <c r="E169" s="40" t="s">
        <v>3245</v>
      </c>
      <c r="F169" s="41" t="s">
        <v>3243</v>
      </c>
      <c r="G169" s="39" t="s">
        <v>3246</v>
      </c>
      <c r="H169" s="58" t="s">
        <v>4427</v>
      </c>
      <c r="I169" s="39" t="s">
        <v>3257</v>
      </c>
      <c r="J169" s="14" t="s">
        <v>3265</v>
      </c>
      <c r="K169" s="23" t="s">
        <v>3255</v>
      </c>
      <c r="L169" s="46">
        <v>45505</v>
      </c>
      <c r="M169" s="45"/>
      <c r="N169" s="45"/>
      <c r="O169" s="45"/>
      <c r="P169" s="45"/>
      <c r="Q169" s="45" t="s">
        <v>199</v>
      </c>
      <c r="R169" s="45" t="s">
        <v>199</v>
      </c>
      <c r="S169" s="45" t="s">
        <v>199</v>
      </c>
      <c r="T169" s="47" t="s">
        <v>4247</v>
      </c>
      <c r="U169" s="39" t="s">
        <v>3764</v>
      </c>
      <c r="V169" s="39" t="str">
        <f>CONCATENATE(U169, D169)</f>
        <v>https://example.websquare.kr/websquare/websquare.html?w2xPath=/guide/_DataCollection/DataMap/preserveType_DataMap.xml</v>
      </c>
      <c r="W169" s="39" t="s">
        <v>4512</v>
      </c>
      <c r="X169" s="39" t="str">
        <f>CONCATENATE(W169, D169)</f>
        <v>https://docs.inswave.com/websquare/websquare.html?w2xPath=/support/api/guide/_DataCollection/DataMap/preserveType_DataMap.xml</v>
      </c>
      <c r="Y169" s="48" t="str">
        <f>HYPERLINK(X169, H169)</f>
        <v>DataMap에서 number 타입 데이터를 string 타입으로 설정</v>
      </c>
      <c r="Z169" s="4" t="str">
        <f>HYPERLINK(V169,H169)</f>
        <v>DataMap에서 number 타입 데이터를 string 타입으로 설정</v>
      </c>
      <c r="AA169" s="4" t="str">
        <f>HYPERLINK(J169,H169)</f>
        <v>DataMap에서 number 타입 데이터를 string 타입으로 설정</v>
      </c>
      <c r="AB169" s="39" t="str">
        <f t="shared" si="6"/>
        <v>https://docs.inswave.com/websquare/websquare.html?w2xPath=/support/api/guide/_DataCollection/DataMap/preserveType_DataMap.xml</v>
      </c>
    </row>
    <row r="170" spans="1:28" s="39" customFormat="1" ht="102" x14ac:dyDescent="0.45">
      <c r="A170" s="37">
        <f>SUBTOTAL(3, $T$2:T170)</f>
        <v>110</v>
      </c>
      <c r="B170" s="38" t="s">
        <v>2068</v>
      </c>
      <c r="C170" s="39" t="s">
        <v>3650</v>
      </c>
      <c r="D170" s="39" t="s">
        <v>3656</v>
      </c>
      <c r="E170" s="40" t="s">
        <v>2733</v>
      </c>
      <c r="F170" s="41" t="s">
        <v>3242</v>
      </c>
      <c r="G170" s="39" t="s">
        <v>3248</v>
      </c>
      <c r="H170" s="58" t="s">
        <v>4428</v>
      </c>
      <c r="I170" s="39" t="s">
        <v>3256</v>
      </c>
      <c r="J170" s="14" t="s">
        <v>3253</v>
      </c>
      <c r="K170" s="23" t="s">
        <v>3251</v>
      </c>
      <c r="L170" s="46">
        <v>45474</v>
      </c>
      <c r="M170" s="45"/>
      <c r="N170" s="45"/>
      <c r="O170" s="45"/>
      <c r="P170" s="45"/>
      <c r="Q170" s="45" t="s">
        <v>199</v>
      </c>
      <c r="R170" s="45" t="s">
        <v>199</v>
      </c>
      <c r="S170" s="45" t="s">
        <v>199</v>
      </c>
      <c r="T170" s="47" t="s">
        <v>4247</v>
      </c>
      <c r="U170" s="39" t="s">
        <v>3764</v>
      </c>
      <c r="V170" s="39" t="str">
        <f>CONCATENATE(U170, D170)</f>
        <v>https://example.websquare.kr/websquare/websquare.html?w2xPath=/guide/_DataCollection/DataMap/keepDataType_DataMap.xml</v>
      </c>
      <c r="W170" s="39" t="s">
        <v>4512</v>
      </c>
      <c r="X170" s="39" t="str">
        <f>CONCATENATE(W170, D170)</f>
        <v>https://docs.inswave.com/websquare/websquare.html?w2xPath=/support/api/guide/_DataCollection/DataMap/keepDataType_DataMap.xml</v>
      </c>
      <c r="Y170" s="48" t="str">
        <f>HYPERLINK(X170, H170)</f>
        <v>DataMap에서 string 타입 데이터를 number 타입으로 설정</v>
      </c>
      <c r="Z170" s="4" t="str">
        <f>HYPERLINK(V170,H170)</f>
        <v>DataMap에서 string 타입 데이터를 number 타입으로 설정</v>
      </c>
      <c r="AA170" s="4" t="str">
        <f>HYPERLINK(J170,H170)</f>
        <v>DataMap에서 string 타입 데이터를 number 타입으로 설정</v>
      </c>
      <c r="AB170" s="39" t="str">
        <f t="shared" si="6"/>
        <v>https://docs.inswave.com/websquare/websquare.html?w2xPath=/support/api/guide/_DataCollection/DataMap/keepDataType_DataMap.xml</v>
      </c>
    </row>
    <row r="171" spans="1:28" s="39" customFormat="1" ht="102" x14ac:dyDescent="0.45">
      <c r="A171" s="37">
        <f>SUBTOTAL(3, $T$2:T171)</f>
        <v>111</v>
      </c>
      <c r="B171" s="38" t="s">
        <v>2068</v>
      </c>
      <c r="C171" s="39" t="s">
        <v>3650</v>
      </c>
      <c r="D171" s="39" t="s">
        <v>3525</v>
      </c>
      <c r="E171" s="41" t="s">
        <v>3514</v>
      </c>
      <c r="F171" s="41" t="s">
        <v>3509</v>
      </c>
      <c r="G171" s="39" t="s">
        <v>3517</v>
      </c>
      <c r="H171" s="53" t="s">
        <v>4371</v>
      </c>
      <c r="I171" s="44" t="s">
        <v>3518</v>
      </c>
      <c r="J171" s="45" t="s">
        <v>2304</v>
      </c>
      <c r="K171" s="45" t="s">
        <v>2304</v>
      </c>
      <c r="L171" s="46">
        <v>45748</v>
      </c>
      <c r="M171" s="14"/>
      <c r="N171" s="45"/>
      <c r="O171" s="45"/>
      <c r="P171" s="45"/>
      <c r="Q171" s="45"/>
      <c r="R171" s="45"/>
      <c r="S171" s="45"/>
      <c r="T171" s="47" t="s">
        <v>4249</v>
      </c>
      <c r="U171" s="39" t="s">
        <v>3764</v>
      </c>
      <c r="V171" s="39" t="str">
        <f>CONCATENATE(U171, D171)</f>
        <v>https://example.websquare.kr/websquare/websquare.html?w2xPath=/guide/_DataCollection/DataMap/useNull_DataMap.xml</v>
      </c>
      <c r="W171" s="39" t="s">
        <v>4512</v>
      </c>
      <c r="X171" s="39" t="str">
        <f>CONCATENATE(W171, D171)</f>
        <v>https://docs.inswave.com/websquare/websquare.html?w2xPath=/support/api/guide/_DataCollection/DataMap/useNull_DataMap.xml</v>
      </c>
      <c r="Y171" s="48" t="str">
        <f>HYPERLINK(X171, H171)</f>
        <v>null 값과 공백 구분</v>
      </c>
      <c r="Z171" s="4" t="str">
        <f>HYPERLINK(V171,H171)</f>
        <v>null 값과 공백 구분</v>
      </c>
      <c r="AA171" s="45" t="s">
        <v>2304</v>
      </c>
      <c r="AB171" s="39" t="str">
        <f t="shared" si="6"/>
        <v>https://docs.inswave.com/websquare/websquare.html?w2xPath=/support/api/guide/_DataCollection/DataMap/useNull_DataMap.xml</v>
      </c>
    </row>
    <row r="172" spans="1:28" s="39" customFormat="1" ht="102" x14ac:dyDescent="0.45">
      <c r="A172" s="37">
        <f>SUBTOTAL(3, $T$2:T172)</f>
        <v>112</v>
      </c>
      <c r="B172" s="38" t="s">
        <v>2068</v>
      </c>
      <c r="C172" s="39" t="s">
        <v>3650</v>
      </c>
      <c r="D172" s="41" t="s">
        <v>3524</v>
      </c>
      <c r="E172" s="41" t="s">
        <v>3469</v>
      </c>
      <c r="F172" s="41" t="s">
        <v>3468</v>
      </c>
      <c r="G172" s="39" t="s">
        <v>3470</v>
      </c>
      <c r="H172" s="58" t="s">
        <v>4424</v>
      </c>
      <c r="I172" s="41" t="s">
        <v>3471</v>
      </c>
      <c r="J172" s="45" t="s">
        <v>2304</v>
      </c>
      <c r="K172" s="45" t="s">
        <v>2304</v>
      </c>
      <c r="L172" s="46">
        <v>45689</v>
      </c>
      <c r="M172" s="14"/>
      <c r="N172" s="45"/>
      <c r="O172" s="45"/>
      <c r="P172" s="45"/>
      <c r="Q172" s="45"/>
      <c r="R172" s="45"/>
      <c r="S172" s="45"/>
      <c r="T172" s="47" t="s">
        <v>4249</v>
      </c>
      <c r="U172" s="39" t="s">
        <v>3764</v>
      </c>
      <c r="V172" s="39" t="str">
        <f>CONCATENATE(U172, D172)</f>
        <v>https://example.websquare.kr/websquare/websquare.html?w2xPath=/guide/_DataCollection/DataMap/nullYNType_DataMap.xml</v>
      </c>
      <c r="W172" s="39" t="s">
        <v>4512</v>
      </c>
      <c r="X172" s="39" t="str">
        <f>CONCATENATE(W172, D172)</f>
        <v>https://docs.inswave.com/websquare/websquare.html?w2xPath=/support/api/guide/_DataCollection/DataMap/nullYNType_DataMap.xml</v>
      </c>
      <c r="Y172" s="48" t="str">
        <f>HYPERLINK(X172, H172)</f>
        <v>공백 데이터 처리 방법 설정</v>
      </c>
      <c r="Z172" s="4" t="str">
        <f>HYPERLINK(V172,H172)</f>
        <v>공백 데이터 처리 방법 설정</v>
      </c>
      <c r="AA172" s="45" t="s">
        <v>2304</v>
      </c>
      <c r="AB172" s="39" t="str">
        <f t="shared" si="6"/>
        <v>https://docs.inswave.com/websquare/websquare.html?w2xPath=/support/api/guide/_DataCollection/DataMap/nullYNType_DataMap.xml</v>
      </c>
    </row>
    <row r="173" spans="1:28" s="39" customFormat="1" ht="119" hidden="1" x14ac:dyDescent="0.45">
      <c r="A173" s="37">
        <f>SUBTOTAL(3, $T$2:T173)</f>
        <v>112</v>
      </c>
      <c r="B173" s="38" t="s">
        <v>201</v>
      </c>
      <c r="C173" s="39" t="s">
        <v>201</v>
      </c>
      <c r="D173" s="39" t="s">
        <v>4356</v>
      </c>
      <c r="E173" s="56" t="s">
        <v>630</v>
      </c>
      <c r="F173" s="41" t="s">
        <v>634</v>
      </c>
      <c r="G173" s="39" t="s">
        <v>632</v>
      </c>
      <c r="H173" s="52" t="s">
        <v>3606</v>
      </c>
      <c r="I173" s="44" t="s">
        <v>631</v>
      </c>
      <c r="J173" s="14" t="s">
        <v>633</v>
      </c>
      <c r="K173" s="22" t="s">
        <v>3114</v>
      </c>
      <c r="L173" s="46">
        <v>44593</v>
      </c>
      <c r="M173" s="14"/>
      <c r="N173" s="45" t="s">
        <v>199</v>
      </c>
      <c r="O173" s="45" t="s">
        <v>199</v>
      </c>
      <c r="P173" s="47" t="s">
        <v>199</v>
      </c>
      <c r="Q173" s="45" t="s">
        <v>199</v>
      </c>
      <c r="R173" s="45" t="s">
        <v>199</v>
      </c>
      <c r="S173" s="45" t="s">
        <v>199</v>
      </c>
      <c r="T173" s="47" t="s">
        <v>4515</v>
      </c>
      <c r="U173" s="39" t="s">
        <v>3764</v>
      </c>
      <c r="V173" s="39" t="str">
        <f>CONCATENATE(U173, D173)</f>
        <v>https://example.websquare.kr/websquare/websquare.html?w2xPath=/guide/_Multi-language/useLocale_useDefaultLabel_Multi_language/useLocale_useDefaultLabel_Multi_language.xml</v>
      </c>
      <c r="W173" s="39" t="s">
        <v>4220</v>
      </c>
      <c r="X173" s="39" t="str">
        <f>CONCATENATE(W173, D173)</f>
        <v>https://docs.inswave.com/websquare/websquare.html?w2xPath=/support/api/samples/_Multi-language/useLocale_useDefaultLabel_Multi_language/useLocale_useDefaultLabel_Multi_language.xml</v>
      </c>
      <c r="Y173" s="48"/>
      <c r="Z173" s="4"/>
      <c r="AA173" s="4" t="str">
        <f>HYPERLINK(J173,H173)</f>
        <v>localeRef 미지정시 label</v>
      </c>
      <c r="AB173" s="39" t="str">
        <f t="shared" si="6"/>
        <v>https://docs.inswave.com/websquare/websquare.html?w2xPath=/support/api/samples/_Multi-language/useLocale_useDefaultLabel_Multi_language/useLocale_useDefaultLabel_Multi_language.xml</v>
      </c>
    </row>
    <row r="174" spans="1:28" s="39" customFormat="1" ht="102" x14ac:dyDescent="0.45">
      <c r="A174" s="37">
        <f>SUBTOTAL(3, $T$2:T174)</f>
        <v>113</v>
      </c>
      <c r="B174" s="38" t="s">
        <v>19</v>
      </c>
      <c r="C174" s="39" t="s">
        <v>3650</v>
      </c>
      <c r="D174" s="39" t="s">
        <v>3654</v>
      </c>
      <c r="E174" s="40" t="s">
        <v>1102</v>
      </c>
      <c r="F174" s="41" t="s">
        <v>1092</v>
      </c>
      <c r="G174" s="39" t="s">
        <v>1093</v>
      </c>
      <c r="H174" s="53" t="s">
        <v>4398</v>
      </c>
      <c r="I174" s="39" t="s">
        <v>1081</v>
      </c>
      <c r="J174" s="14" t="s">
        <v>4461</v>
      </c>
      <c r="K174" s="22" t="s">
        <v>3070</v>
      </c>
      <c r="L174" s="46">
        <v>44652</v>
      </c>
      <c r="M174" s="14"/>
      <c r="N174" s="45" t="s">
        <v>199</v>
      </c>
      <c r="O174" s="45" t="s">
        <v>199</v>
      </c>
      <c r="P174" s="47" t="s">
        <v>199</v>
      </c>
      <c r="Q174" s="45" t="s">
        <v>199</v>
      </c>
      <c r="R174" s="45" t="s">
        <v>199</v>
      </c>
      <c r="S174" s="45" t="s">
        <v>199</v>
      </c>
      <c r="T174" s="47" t="s">
        <v>4247</v>
      </c>
      <c r="U174" s="39" t="s">
        <v>3764</v>
      </c>
      <c r="V174" s="39" t="str">
        <f>CONCATENATE(U174, D174)</f>
        <v>https://example.websquare.kr/websquare/websquare.html?w2xPath=/guide/_DataCollection/DataMap/onbeforemodelchange_DataMap.xml</v>
      </c>
      <c r="W174" s="39" t="s">
        <v>4512</v>
      </c>
      <c r="X174" s="39" t="str">
        <f>CONCATENATE(W174, D174)</f>
        <v>https://docs.inswave.com/websquare/websquare.html?w2xPath=/support/api/guide/_DataCollection/DataMap/onbeforemodelchange_DataMap.xml</v>
      </c>
      <c r="Y174" s="48" t="str">
        <f>HYPERLINK(X174, H174)</f>
        <v>이벤트 - onbeforemodelchange</v>
      </c>
      <c r="Z174" s="4" t="str">
        <f>HYPERLINK(V174,H174)</f>
        <v>이벤트 - onbeforemodelchange</v>
      </c>
      <c r="AA174" s="4" t="str">
        <f>HYPERLINK(J174,H174)</f>
        <v>이벤트 - onbeforemodelchange</v>
      </c>
      <c r="AB174" s="39" t="str">
        <f t="shared" si="6"/>
        <v>https://docs.inswave.com/websquare/websquare.html?w2xPath=/support/api/guide/_DataCollection/DataMap/onbeforemodelchange_DataMap.xml</v>
      </c>
    </row>
    <row r="175" spans="1:28" s="39" customFormat="1" ht="102" x14ac:dyDescent="0.45">
      <c r="A175" s="37">
        <f>SUBTOTAL(3, $T$2:T175)</f>
        <v>114</v>
      </c>
      <c r="B175" s="40" t="s">
        <v>19</v>
      </c>
      <c r="C175" s="39" t="s">
        <v>3650</v>
      </c>
      <c r="D175" s="39" t="s">
        <v>3655</v>
      </c>
      <c r="E175" s="40" t="s">
        <v>1910</v>
      </c>
      <c r="F175" s="41" t="s">
        <v>1680</v>
      </c>
      <c r="G175" s="44" t="s">
        <v>1681</v>
      </c>
      <c r="H175" s="53" t="s">
        <v>4390</v>
      </c>
      <c r="I175" s="44" t="s">
        <v>1687</v>
      </c>
      <c r="J175" s="14" t="s">
        <v>1679</v>
      </c>
      <c r="K175" s="22" t="s">
        <v>3071</v>
      </c>
      <c r="L175" s="46">
        <v>44774</v>
      </c>
      <c r="M175" s="14"/>
      <c r="N175" s="45" t="s">
        <v>199</v>
      </c>
      <c r="O175" s="45" t="s">
        <v>199</v>
      </c>
      <c r="P175" s="45" t="s">
        <v>199</v>
      </c>
      <c r="Q175" s="45" t="s">
        <v>199</v>
      </c>
      <c r="R175" s="45" t="s">
        <v>199</v>
      </c>
      <c r="S175" s="45" t="s">
        <v>199</v>
      </c>
      <c r="T175" s="47" t="s">
        <v>4247</v>
      </c>
      <c r="U175" s="39" t="s">
        <v>3764</v>
      </c>
      <c r="V175" s="39" t="str">
        <f>CONCATENATE(U175, D175)</f>
        <v>https://example.websquare.kr/websquare/websquare.html?w2xPath=/guide/_DataCollection/DataMap/onkeyset_DataMap.xml</v>
      </c>
      <c r="W175" s="39" t="s">
        <v>4512</v>
      </c>
      <c r="X175" s="39" t="str">
        <f>CONCATENATE(W175, D175)</f>
        <v>https://docs.inswave.com/websquare/websquare.html?w2xPath=/support/api/guide/_DataCollection/DataMap/onkeyset_DataMap.xml</v>
      </c>
      <c r="Y175" s="48" t="str">
        <f>HYPERLINK(X175, H175)</f>
        <v>이벤트 - onkeyset</v>
      </c>
      <c r="Z175" s="4" t="str">
        <f>HYPERLINK(V175,H175)</f>
        <v>이벤트 - onkeyset</v>
      </c>
      <c r="AA175" s="4" t="str">
        <f>HYPERLINK(J175,H175)</f>
        <v>이벤트 - onkeyset</v>
      </c>
      <c r="AB175" s="39" t="str">
        <f t="shared" si="6"/>
        <v>https://docs.inswave.com/websquare/websquare.html?w2xPath=/support/api/guide/_DataCollection/DataMap/onkeyset_DataMap.xml</v>
      </c>
    </row>
    <row r="176" spans="1:28" s="39" customFormat="1" ht="102" x14ac:dyDescent="0.45">
      <c r="A176" s="37">
        <f>SUBTOTAL(3, $T$2:T176)</f>
        <v>115</v>
      </c>
      <c r="B176" s="40" t="s">
        <v>19</v>
      </c>
      <c r="C176" s="39" t="s">
        <v>3645</v>
      </c>
      <c r="D176" s="39" t="s">
        <v>3648</v>
      </c>
      <c r="E176" s="40" t="s">
        <v>1257</v>
      </c>
      <c r="F176" s="41" t="s">
        <v>1256</v>
      </c>
      <c r="G176" s="44" t="s">
        <v>1262</v>
      </c>
      <c r="H176" s="53" t="s">
        <v>4454</v>
      </c>
      <c r="I176" s="44" t="s">
        <v>1258</v>
      </c>
      <c r="J176" s="14" t="s">
        <v>1705</v>
      </c>
      <c r="K176" s="22" t="s">
        <v>3072</v>
      </c>
      <c r="L176" s="46">
        <v>44105</v>
      </c>
      <c r="M176" s="14"/>
      <c r="N176" s="45" t="s">
        <v>199</v>
      </c>
      <c r="O176" s="45" t="s">
        <v>199</v>
      </c>
      <c r="P176" s="45" t="s">
        <v>199</v>
      </c>
      <c r="Q176" s="45" t="s">
        <v>199</v>
      </c>
      <c r="R176" s="45" t="s">
        <v>199</v>
      </c>
      <c r="S176" s="45" t="s">
        <v>199</v>
      </c>
      <c r="T176" s="47" t="s">
        <v>4247</v>
      </c>
      <c r="U176" s="39" t="s">
        <v>3764</v>
      </c>
      <c r="V176" s="39" t="str">
        <f>CONCATENATE(U176, D176)</f>
        <v>https://example.websquare.kr/websquare/websquare.html?w2xPath=/guide/_DataCollection/LinkedDataList/recommended_use_LinkedDataList.xml</v>
      </c>
      <c r="W176" s="39" t="s">
        <v>4512</v>
      </c>
      <c r="X176" s="39" t="str">
        <f>CONCATENATE(W176, D176)</f>
        <v>https://docs.inswave.com/websquare/websquare.html?w2xPath=/support/api/guide/_DataCollection/LinkedDataList/recommended_use_LinkedDataList.xml</v>
      </c>
      <c r="Y176" s="48" t="str">
        <f>HYPERLINK(X176, H176)</f>
        <v>LinkedDataList 권장 사용법</v>
      </c>
      <c r="Z176" s="4" t="str">
        <f>HYPERLINK(V176,H176)</f>
        <v>LinkedDataList 권장 사용법</v>
      </c>
      <c r="AA176" s="4" t="str">
        <f>HYPERLINK(J176,H176)</f>
        <v>LinkedDataList 권장 사용법</v>
      </c>
      <c r="AB176" s="39" t="str">
        <f t="shared" si="6"/>
        <v>https://docs.inswave.com/websquare/websquare.html?w2xPath=/support/api/guide/_DataCollection/LinkedDataList/recommended_use_LinkedDataList.xml</v>
      </c>
    </row>
    <row r="177" spans="1:30" s="39" customFormat="1" ht="102" x14ac:dyDescent="0.45">
      <c r="A177" s="37">
        <f>SUBTOTAL(3, $T$2:T177)</f>
        <v>116</v>
      </c>
      <c r="B177" s="40" t="s">
        <v>19</v>
      </c>
      <c r="C177" s="39" t="s">
        <v>3645</v>
      </c>
      <c r="D177" s="39" t="s">
        <v>3647</v>
      </c>
      <c r="E177" s="40" t="s">
        <v>1259</v>
      </c>
      <c r="F177" s="41" t="s">
        <v>2179</v>
      </c>
      <c r="G177" s="39" t="s">
        <v>1261</v>
      </c>
      <c r="H177" s="53" t="s">
        <v>4392</v>
      </c>
      <c r="I177" s="44" t="s">
        <v>1260</v>
      </c>
      <c r="J177" s="14" t="s">
        <v>1704</v>
      </c>
      <c r="K177" s="22" t="s">
        <v>3065</v>
      </c>
      <c r="L177" s="46">
        <v>44105</v>
      </c>
      <c r="M177" s="45" t="s">
        <v>200</v>
      </c>
      <c r="N177" s="45" t="s">
        <v>199</v>
      </c>
      <c r="O177" s="45" t="s">
        <v>199</v>
      </c>
      <c r="P177" s="45" t="s">
        <v>199</v>
      </c>
      <c r="Q177" s="45" t="s">
        <v>199</v>
      </c>
      <c r="R177" s="45" t="s">
        <v>199</v>
      </c>
      <c r="S177" s="45" t="s">
        <v>199</v>
      </c>
      <c r="T177" s="47" t="s">
        <v>4247</v>
      </c>
      <c r="U177" s="39" t="s">
        <v>3764</v>
      </c>
      <c r="V177" s="39" t="str">
        <f>CONCATENATE(U177, D177)</f>
        <v>https://example.websquare.kr/websquare/websquare.html?w2xPath=/guide/_DataCollection/LinkedDataList/create_LinkedDataList.xml</v>
      </c>
      <c r="W177" s="39" t="s">
        <v>4512</v>
      </c>
      <c r="X177" s="39" t="str">
        <f>CONCATENATE(W177, D177)</f>
        <v>https://docs.inswave.com/websquare/websquare.html?w2xPath=/support/api/guide/_DataCollection/LinkedDataList/create_LinkedDataList.xml</v>
      </c>
      <c r="Y177" s="48" t="str">
        <f>HYPERLINK(X177, H177)</f>
        <v>LinkedDataList 생성</v>
      </c>
      <c r="Z177" s="4" t="str">
        <f>HYPERLINK(V177,H177)</f>
        <v>LinkedDataList 생성</v>
      </c>
      <c r="AA177" s="4" t="str">
        <f>HYPERLINK(J177,H177)</f>
        <v>LinkedDataList 생성</v>
      </c>
      <c r="AB177" s="39" t="str">
        <f t="shared" si="6"/>
        <v>https://docs.inswave.com/websquare/websquare.html?w2xPath=/support/api/guide/_DataCollection/LinkedDataList/create_LinkedDataList.xml</v>
      </c>
    </row>
    <row r="178" spans="1:30" s="39" customFormat="1" ht="102" x14ac:dyDescent="0.45">
      <c r="A178" s="37">
        <f>SUBTOTAL(3, $T$2:T178)</f>
        <v>117</v>
      </c>
      <c r="B178" s="38" t="s">
        <v>19</v>
      </c>
      <c r="C178" s="39" t="s">
        <v>3645</v>
      </c>
      <c r="D178" s="39" t="s">
        <v>4513</v>
      </c>
      <c r="E178" s="40" t="s">
        <v>1028</v>
      </c>
      <c r="F178" s="41" t="s">
        <v>1027</v>
      </c>
      <c r="G178" s="39" t="s">
        <v>1029</v>
      </c>
      <c r="H178" s="53" t="s">
        <v>4460</v>
      </c>
      <c r="I178" s="44" t="s">
        <v>1025</v>
      </c>
      <c r="J178" s="17" t="s">
        <v>1035</v>
      </c>
      <c r="K178" s="22" t="s">
        <v>3063</v>
      </c>
      <c r="L178" s="46">
        <v>44136</v>
      </c>
      <c r="M178" s="17"/>
      <c r="N178" s="45" t="s">
        <v>199</v>
      </c>
      <c r="O178" s="45" t="s">
        <v>199</v>
      </c>
      <c r="P178" s="47" t="s">
        <v>199</v>
      </c>
      <c r="Q178" s="45" t="s">
        <v>199</v>
      </c>
      <c r="R178" s="45" t="s">
        <v>199</v>
      </c>
      <c r="S178" s="45" t="s">
        <v>199</v>
      </c>
      <c r="T178" s="47" t="s">
        <v>4247</v>
      </c>
      <c r="U178" s="39" t="s">
        <v>3764</v>
      </c>
      <c r="V178" s="39" t="str">
        <f>CONCATENATE(U178, D178)</f>
        <v>https://example.websquare.kr/websquare/websquare.html?w2xPath=/guide/_DataCollection/LinkedDataList/setCondition_LinkedDataList_Radio/setCondition_LinkedDataList_Radio.xml</v>
      </c>
      <c r="W178" s="39" t="s">
        <v>4512</v>
      </c>
      <c r="X178" s="39" t="str">
        <f>CONCATENATE(W178, D178)</f>
        <v>https://docs.inswave.com/websquare/websquare.html?w2xPath=/support/api/guide/_DataCollection/LinkedDataList/setCondition_LinkedDataList_Radio/setCondition_LinkedDataList_Radio.xml</v>
      </c>
      <c r="Y178" s="48" t="str">
        <f>HYPERLINK(X178, H178)</f>
        <v>LinkedDataList 조건 설정</v>
      </c>
      <c r="Z178" s="4" t="str">
        <f>HYPERLINK(V178,H178)</f>
        <v>LinkedDataList 조건 설정</v>
      </c>
      <c r="AA178" s="4" t="str">
        <f>HYPERLINK(J178,H178)</f>
        <v>LinkedDataList 조건 설정</v>
      </c>
      <c r="AB178" s="39" t="str">
        <f t="shared" si="6"/>
        <v>https://docs.inswave.com/websquare/websquare.html?w2xPath=/support/api/guide/_DataCollection/LinkedDataList/setCondition_LinkedDataList_Radio/setCondition_LinkedDataList_Radio.xml</v>
      </c>
    </row>
    <row r="179" spans="1:30" s="39" customFormat="1" ht="102" x14ac:dyDescent="0.45">
      <c r="A179" s="37">
        <f>SUBTOTAL(3, $T$2:T179)</f>
        <v>118</v>
      </c>
      <c r="B179" s="40" t="s">
        <v>19</v>
      </c>
      <c r="C179" s="39" t="s">
        <v>3645</v>
      </c>
      <c r="D179" s="39" t="s">
        <v>4391</v>
      </c>
      <c r="E179" s="40" t="s">
        <v>1264</v>
      </c>
      <c r="F179" s="41" t="s">
        <v>1263</v>
      </c>
      <c r="G179" s="39" t="s">
        <v>1265</v>
      </c>
      <c r="H179" s="53" t="s">
        <v>4459</v>
      </c>
      <c r="I179" s="44" t="s">
        <v>1266</v>
      </c>
      <c r="J179" s="14" t="s">
        <v>1654</v>
      </c>
      <c r="K179" s="22" t="s">
        <v>3074</v>
      </c>
      <c r="L179" s="46">
        <v>44105</v>
      </c>
      <c r="M179" s="14"/>
      <c r="N179" s="45" t="s">
        <v>199</v>
      </c>
      <c r="O179" s="45" t="s">
        <v>199</v>
      </c>
      <c r="P179" s="45" t="s">
        <v>199</v>
      </c>
      <c r="Q179" s="45" t="s">
        <v>199</v>
      </c>
      <c r="R179" s="45" t="s">
        <v>199</v>
      </c>
      <c r="S179" s="45" t="s">
        <v>199</v>
      </c>
      <c r="T179" s="47" t="s">
        <v>4247</v>
      </c>
      <c r="U179" s="39" t="s">
        <v>3764</v>
      </c>
      <c r="V179" s="39" t="str">
        <f>CONCATENATE(U179, D179)</f>
        <v>https://example.websquare.kr/websquare/websquare.html?w2xPath=/guide/_DataCollection/LinkedDataList/setColumnFilter_LinkedDataList/setColumnFilter_LinkedDataList.xml</v>
      </c>
      <c r="W179" s="39" t="s">
        <v>4512</v>
      </c>
      <c r="X179" s="39" t="str">
        <f>CONCATENATE(W179, D179)</f>
        <v>https://docs.inswave.com/websquare/websquare.html?w2xPath=/support/api/guide/_DataCollection/LinkedDataList/setColumnFilter_LinkedDataList/setColumnFilter_LinkedDataList.xml</v>
      </c>
      <c r="Y179" s="48" t="str">
        <f>HYPERLINK(X179, H179)</f>
        <v>LinkedDataList 필터 설정</v>
      </c>
      <c r="Z179" s="4" t="str">
        <f>HYPERLINK(V179,H179)</f>
        <v>LinkedDataList 필터 설정</v>
      </c>
      <c r="AA179" s="4" t="str">
        <f>HYPERLINK(J179,H179)</f>
        <v>LinkedDataList 필터 설정</v>
      </c>
      <c r="AB179" s="39" t="str">
        <f t="shared" si="6"/>
        <v>https://docs.inswave.com/websquare/websquare.html?w2xPath=/support/api/guide/_DataCollection/LinkedDataList/setColumnFilter_LinkedDataList/setColumnFilter_LinkedDataList.xml</v>
      </c>
    </row>
    <row r="180" spans="1:30" s="39" customFormat="1" ht="102" x14ac:dyDescent="0.45">
      <c r="A180" s="25">
        <f>SUBTOTAL(3, $T$2:T180)</f>
        <v>119</v>
      </c>
      <c r="B180" s="26" t="s">
        <v>19</v>
      </c>
      <c r="C180" s="27" t="s">
        <v>4533</v>
      </c>
      <c r="D180" s="27" t="s">
        <v>4542</v>
      </c>
      <c r="E180" s="28" t="s">
        <v>4544</v>
      </c>
      <c r="F180" s="29" t="s">
        <v>4548</v>
      </c>
      <c r="G180" s="27"/>
      <c r="H180" s="27" t="s">
        <v>4551</v>
      </c>
      <c r="I180" s="75" t="s">
        <v>4620</v>
      </c>
      <c r="J180" s="30" t="s">
        <v>2304</v>
      </c>
      <c r="K180" s="30" t="s">
        <v>2304</v>
      </c>
      <c r="L180" s="31" t="s">
        <v>4540</v>
      </c>
      <c r="M180" s="32"/>
      <c r="N180" s="79"/>
      <c r="O180" s="79"/>
      <c r="P180" s="79"/>
      <c r="Q180" s="79"/>
      <c r="R180" s="79"/>
      <c r="S180" s="79"/>
      <c r="T180" s="33" t="s">
        <v>4249</v>
      </c>
      <c r="U180" s="27" t="s">
        <v>3764</v>
      </c>
      <c r="V180" s="27" t="str">
        <f>CONCATENATE(U180, D180)</f>
        <v>https://example.websquare.kr/websquare/websquare.html?w2xPath=/guide/_DataCollection/DataList/initialColumnId_dataList_column.xml</v>
      </c>
      <c r="W180" s="27" t="s">
        <v>4512</v>
      </c>
      <c r="X180" s="27" t="str">
        <f>CONCATENATE(W180, D180)</f>
        <v>https://docs.inswave.com/websquare/websquare.html?w2xPath=/support/api/guide/_DataCollection/DataList/initialColumnId_dataList_column.xml</v>
      </c>
      <c r="Y180" s="34" t="str">
        <f>HYPERLINK(X180, H180)</f>
        <v>DataList 컬럼의 초기 값 지정</v>
      </c>
      <c r="Z180" s="35" t="str">
        <f>HYPERLINK(V180,H180)</f>
        <v>DataList 컬럼의 초기 값 지정</v>
      </c>
      <c r="AA180" s="30" t="s">
        <v>2304</v>
      </c>
      <c r="AB180" s="39" t="str">
        <f t="shared" si="6"/>
        <v>https://docs.inswave.com/websquare/websquare.html?w2xPath=/support/api/guide/_DataCollection/DataList/initialColumnId_dataList_column.xml</v>
      </c>
    </row>
    <row r="181" spans="1:30" s="39" customFormat="1" ht="102" x14ac:dyDescent="0.45">
      <c r="A181" s="25">
        <f>SUBTOTAL(3, $T$2:T181)</f>
        <v>120</v>
      </c>
      <c r="B181" s="26" t="s">
        <v>19</v>
      </c>
      <c r="C181" s="27" t="s">
        <v>4533</v>
      </c>
      <c r="D181" s="27" t="s">
        <v>4541</v>
      </c>
      <c r="E181" s="28" t="s">
        <v>4543</v>
      </c>
      <c r="F181" s="29" t="s">
        <v>4547</v>
      </c>
      <c r="G181" s="27"/>
      <c r="H181" s="27" t="s">
        <v>4552</v>
      </c>
      <c r="I181" s="75" t="s">
        <v>4619</v>
      </c>
      <c r="J181" s="30" t="s">
        <v>2304</v>
      </c>
      <c r="K181" s="30" t="s">
        <v>2304</v>
      </c>
      <c r="L181" s="31" t="s">
        <v>4540</v>
      </c>
      <c r="M181" s="32"/>
      <c r="N181" s="79"/>
      <c r="O181" s="79"/>
      <c r="P181" s="79"/>
      <c r="Q181" s="79"/>
      <c r="R181" s="79"/>
      <c r="S181" s="79"/>
      <c r="T181" s="33" t="s">
        <v>4249</v>
      </c>
      <c r="U181" s="27" t="s">
        <v>3764</v>
      </c>
      <c r="V181" s="27" t="str">
        <f>CONCATENATE(U181, D181)</f>
        <v>https://example.websquare.kr/websquare/websquare.html?w2xPath=/guide/_DataCollection/DataList/insertJSON_DataList.xml</v>
      </c>
      <c r="W181" s="27" t="s">
        <v>4512</v>
      </c>
      <c r="X181" s="27" t="str">
        <f>CONCATENATE(W181, D181)</f>
        <v>https://docs.inswave.com/websquare/websquare.html?w2xPath=/support/api/guide/_DataCollection/DataList/insertJSON_DataList.xml</v>
      </c>
      <c r="Y181" s="34" t="str">
        <f>HYPERLINK(X181, H181)</f>
        <v>스크롤을 고정한 채로 데이터 추가</v>
      </c>
      <c r="Z181" s="35" t="str">
        <f>HYPERLINK(V181,H181)</f>
        <v>스크롤을 고정한 채로 데이터 추가</v>
      </c>
      <c r="AA181" s="30" t="s">
        <v>2304</v>
      </c>
      <c r="AB181" s="39" t="str">
        <f t="shared" si="6"/>
        <v>https://docs.inswave.com/websquare/websquare.html?w2xPath=/support/api/guide/_DataCollection/DataList/insertJSON_DataList.xml</v>
      </c>
    </row>
    <row r="182" spans="1:30" s="39" customFormat="1" ht="102" x14ac:dyDescent="0.45">
      <c r="A182" s="25">
        <f>SUBTOTAL(3, $T$2:T182)</f>
        <v>121</v>
      </c>
      <c r="B182" s="26" t="s">
        <v>19</v>
      </c>
      <c r="C182" s="27" t="s">
        <v>4533</v>
      </c>
      <c r="D182" s="27" t="s">
        <v>4534</v>
      </c>
      <c r="E182" s="28" t="s">
        <v>4536</v>
      </c>
      <c r="F182" s="29" t="s">
        <v>4537</v>
      </c>
      <c r="G182" s="27" t="s">
        <v>4538</v>
      </c>
      <c r="H182" s="27" t="s">
        <v>4535</v>
      </c>
      <c r="I182" s="77" t="s">
        <v>4539</v>
      </c>
      <c r="J182" s="30" t="s">
        <v>2304</v>
      </c>
      <c r="K182" s="30" t="s">
        <v>2304</v>
      </c>
      <c r="L182" s="31" t="s">
        <v>4540</v>
      </c>
      <c r="M182" s="32"/>
      <c r="N182" s="79"/>
      <c r="O182" s="79"/>
      <c r="P182" s="79"/>
      <c r="Q182" s="79"/>
      <c r="R182" s="79"/>
      <c r="S182" s="79"/>
      <c r="T182" s="33" t="s">
        <v>4249</v>
      </c>
      <c r="U182" s="27" t="s">
        <v>3764</v>
      </c>
      <c r="V182" s="27" t="str">
        <f>CONCATENATE(U182, D182)</f>
        <v>https://example.websquare.kr/websquare/websquare.html?w2xPath=/guide/_DataCollection/DataList/clearFilter_setColumnFilter_DataList.xml</v>
      </c>
      <c r="W182" s="27" t="s">
        <v>4512</v>
      </c>
      <c r="X182" s="27" t="str">
        <f>CONCATENATE(W182, D182)</f>
        <v>https://docs.inswave.com/websquare/websquare.html?w2xPath=/support/api/guide/_DataCollection/DataList/clearFilter_setColumnFilter_DataList.xml</v>
      </c>
      <c r="Y182" s="34" t="str">
        <f>HYPERLINK(X182, H182)</f>
        <v>필터링과 정렬 후 다시 필터링 적용</v>
      </c>
      <c r="Z182" s="35" t="str">
        <f>HYPERLINK(V182,H182)</f>
        <v>필터링과 정렬 후 다시 필터링 적용</v>
      </c>
      <c r="AA182" s="30" t="s">
        <v>2304</v>
      </c>
      <c r="AB182" s="39" t="str">
        <f t="shared" si="6"/>
        <v>https://docs.inswave.com/websquare/websquare.html?w2xPath=/support/api/guide/_DataCollection/DataList/clearFilter_setColumnFilter_DataList.xml</v>
      </c>
    </row>
    <row r="183" spans="1:30" s="39" customFormat="1" ht="102" x14ac:dyDescent="0.45">
      <c r="A183" s="37">
        <f>SUBTOTAL(3, $T$2:T183)</f>
        <v>122</v>
      </c>
      <c r="B183" s="38" t="s">
        <v>2345</v>
      </c>
      <c r="C183" s="38" t="s">
        <v>2345</v>
      </c>
      <c r="D183" s="39" t="s">
        <v>2579</v>
      </c>
      <c r="E183" s="39" t="s">
        <v>2487</v>
      </c>
      <c r="F183" s="41" t="s">
        <v>2549</v>
      </c>
      <c r="G183" s="39" t="s">
        <v>2551</v>
      </c>
      <c r="H183" s="53" t="s">
        <v>3839</v>
      </c>
      <c r="I183" s="39" t="s">
        <v>2554</v>
      </c>
      <c r="J183" s="14" t="s">
        <v>2581</v>
      </c>
      <c r="K183" s="22" t="s">
        <v>2836</v>
      </c>
      <c r="L183" s="46">
        <v>45292</v>
      </c>
      <c r="M183" s="60"/>
      <c r="N183" s="45"/>
      <c r="O183" s="45"/>
      <c r="P183" s="45"/>
      <c r="Q183" s="45" t="s">
        <v>199</v>
      </c>
      <c r="R183" s="45" t="s">
        <v>199</v>
      </c>
      <c r="S183" s="45" t="s">
        <v>199</v>
      </c>
      <c r="T183" s="47" t="s">
        <v>4247</v>
      </c>
      <c r="U183" s="39" t="s">
        <v>3764</v>
      </c>
      <c r="V183" s="39" t="str">
        <f>CONCATENATE(U183, D183)</f>
        <v>https://example.websquare.kr/websquare/websquare.html?w2xPath=/guide/Editor/getHTML_Editor.xml</v>
      </c>
      <c r="W183" s="39" t="s">
        <v>4512</v>
      </c>
      <c r="X183" s="39" t="str">
        <f>CONCATENATE(W183, D183)</f>
        <v>https://docs.inswave.com/websquare/websquare.html?w2xPath=/support/api/guide/Editor/getHTML_Editor.xml</v>
      </c>
      <c r="Y183" s="48" t="str">
        <f>HYPERLINK(X183, H183)</f>
        <v>HTML 태그와 텍스트 모두 반환</v>
      </c>
      <c r="Z183" s="4" t="str">
        <f>HYPERLINK(V183,H183)</f>
        <v>HTML 태그와 텍스트 모두 반환</v>
      </c>
      <c r="AA183" s="4" t="str">
        <f>HYPERLINK(J183,H183)</f>
        <v>HTML 태그와 텍스트 모두 반환</v>
      </c>
      <c r="AB183" s="39" t="str">
        <f t="shared" si="6"/>
        <v>https://docs.inswave.com/websquare/websquare.html?w2xPath=/support/api/guide/Editor/getHTML_Editor.xml</v>
      </c>
    </row>
    <row r="184" spans="1:30" s="39" customFormat="1" ht="102" x14ac:dyDescent="0.45">
      <c r="A184" s="37">
        <f>SUBTOTAL(3, $T$2:T184)</f>
        <v>123</v>
      </c>
      <c r="B184" s="38" t="s">
        <v>2345</v>
      </c>
      <c r="C184" s="38" t="s">
        <v>2345</v>
      </c>
      <c r="D184" s="39" t="s">
        <v>2451</v>
      </c>
      <c r="E184" s="40" t="s">
        <v>2435</v>
      </c>
      <c r="F184" s="41" t="s">
        <v>2433</v>
      </c>
      <c r="G184" s="44" t="s">
        <v>2437</v>
      </c>
      <c r="H184" s="53" t="s">
        <v>3836</v>
      </c>
      <c r="I184" s="40" t="s">
        <v>2446</v>
      </c>
      <c r="J184" s="14" t="s">
        <v>2458</v>
      </c>
      <c r="K184" s="22" t="s">
        <v>2840</v>
      </c>
      <c r="L184" s="46">
        <v>45200</v>
      </c>
      <c r="M184" s="45"/>
      <c r="N184" s="45" t="s">
        <v>199</v>
      </c>
      <c r="O184" s="45" t="s">
        <v>199</v>
      </c>
      <c r="P184" s="45"/>
      <c r="Q184" s="45" t="s">
        <v>199</v>
      </c>
      <c r="R184" s="45" t="s">
        <v>199</v>
      </c>
      <c r="S184" s="45" t="s">
        <v>199</v>
      </c>
      <c r="T184" s="47" t="s">
        <v>4247</v>
      </c>
      <c r="U184" s="39" t="s">
        <v>3764</v>
      </c>
      <c r="V184" s="39" t="str">
        <f>CONCATENATE(U184, D184)</f>
        <v>https://example.websquare.kr/websquare/websquare.html?w2xPath=/guide/Editor/placeholder_setPlaceholder_Editor.xml</v>
      </c>
      <c r="W184" s="39" t="s">
        <v>4512</v>
      </c>
      <c r="X184" s="39" t="str">
        <f>CONCATENATE(W184, D184)</f>
        <v>https://docs.inswave.com/websquare/websquare.html?w2xPath=/support/api/guide/Editor/placeholder_setPlaceholder_Editor.xml</v>
      </c>
      <c r="Y184" s="48" t="str">
        <f>HYPERLINK(X184, H184)</f>
        <v>Placeholder 설정</v>
      </c>
      <c r="Z184" s="4" t="str">
        <f>HYPERLINK(V184,H184)</f>
        <v>Placeholder 설정</v>
      </c>
      <c r="AA184" s="4" t="str">
        <f>HYPERLINK(J184,H184)</f>
        <v>Placeholder 설정</v>
      </c>
      <c r="AB184" s="39" t="str">
        <f t="shared" si="6"/>
        <v>https://docs.inswave.com/websquare/websquare.html?w2xPath=/support/api/guide/Editor/placeholder_setPlaceholder_Editor.xml</v>
      </c>
      <c r="AC184" s="45"/>
      <c r="AD184" s="45"/>
    </row>
    <row r="185" spans="1:30" s="39" customFormat="1" ht="102" x14ac:dyDescent="0.45">
      <c r="A185" s="37">
        <f>SUBTOTAL(3, $T$2:T185)</f>
        <v>124</v>
      </c>
      <c r="B185" s="38" t="s">
        <v>2345</v>
      </c>
      <c r="C185" s="38" t="s">
        <v>2345</v>
      </c>
      <c r="D185" s="39" t="s">
        <v>2562</v>
      </c>
      <c r="E185" s="39" t="s">
        <v>2485</v>
      </c>
      <c r="F185" s="41" t="s">
        <v>2548</v>
      </c>
      <c r="G185" s="39" t="s">
        <v>2561</v>
      </c>
      <c r="H185" s="53" t="s">
        <v>3837</v>
      </c>
      <c r="I185" s="39" t="s">
        <v>2553</v>
      </c>
      <c r="J185" s="14" t="s">
        <v>2563</v>
      </c>
      <c r="K185" s="22" t="s">
        <v>2837</v>
      </c>
      <c r="L185" s="46">
        <v>45292</v>
      </c>
      <c r="M185" s="60"/>
      <c r="N185" s="45"/>
      <c r="O185" s="45"/>
      <c r="P185" s="45"/>
      <c r="Q185" s="45" t="s">
        <v>199</v>
      </c>
      <c r="R185" s="45" t="s">
        <v>199</v>
      </c>
      <c r="S185" s="45" t="s">
        <v>199</v>
      </c>
      <c r="T185" s="47" t="s">
        <v>4247</v>
      </c>
      <c r="U185" s="39" t="s">
        <v>3764</v>
      </c>
      <c r="V185" s="39" t="str">
        <f>CONCATENATE(U185, D185)</f>
        <v>https://example.websquare.kr/websquare/websquare.html?w2xPath=/guide/Editor/getInnerText_Editor.xml</v>
      </c>
      <c r="W185" s="39" t="s">
        <v>4512</v>
      </c>
      <c r="X185" s="39" t="str">
        <f>CONCATENATE(W185, D185)</f>
        <v>https://docs.inswave.com/websquare/websquare.html?w2xPath=/support/api/guide/Editor/getInnerText_Editor.xml</v>
      </c>
      <c r="Y185" s="48" t="str">
        <f>HYPERLINK(X185, H185)</f>
        <v>개행 문자를 포함하여 텍스트 반환</v>
      </c>
      <c r="Z185" s="4" t="str">
        <f>HYPERLINK(V185,H185)</f>
        <v>개행 문자를 포함하여 텍스트 반환</v>
      </c>
      <c r="AA185" s="4" t="str">
        <f>HYPERLINK(J185,H185)</f>
        <v>개행 문자를 포함하여 텍스트 반환</v>
      </c>
      <c r="AB185" s="39" t="str">
        <f t="shared" si="6"/>
        <v>https://docs.inswave.com/websquare/websquare.html?w2xPath=/support/api/guide/Editor/getInnerText_Editor.xml</v>
      </c>
      <c r="AC185" s="45"/>
      <c r="AD185" s="45"/>
    </row>
    <row r="186" spans="1:30" s="39" customFormat="1" ht="102" x14ac:dyDescent="0.45">
      <c r="A186" s="37">
        <f>SUBTOTAL(3, $T$2:T186)</f>
        <v>125</v>
      </c>
      <c r="B186" s="38" t="s">
        <v>2345</v>
      </c>
      <c r="C186" s="38" t="s">
        <v>2345</v>
      </c>
      <c r="D186" s="39" t="s">
        <v>2578</v>
      </c>
      <c r="E186" s="39" t="s">
        <v>2486</v>
      </c>
      <c r="F186" s="41" t="s">
        <v>2547</v>
      </c>
      <c r="G186" s="39" t="s">
        <v>2550</v>
      </c>
      <c r="H186" s="53" t="s">
        <v>3838</v>
      </c>
      <c r="I186" s="39" t="s">
        <v>2552</v>
      </c>
      <c r="J186" s="14" t="s">
        <v>2580</v>
      </c>
      <c r="K186" s="22" t="s">
        <v>2838</v>
      </c>
      <c r="L186" s="46">
        <v>45292</v>
      </c>
      <c r="M186" s="60"/>
      <c r="N186" s="45"/>
      <c r="O186" s="45"/>
      <c r="P186" s="45"/>
      <c r="Q186" s="45" t="s">
        <v>199</v>
      </c>
      <c r="R186" s="45" t="s">
        <v>199</v>
      </c>
      <c r="S186" s="45" t="s">
        <v>199</v>
      </c>
      <c r="T186" s="47" t="s">
        <v>4247</v>
      </c>
      <c r="U186" s="39" t="s">
        <v>3764</v>
      </c>
      <c r="V186" s="39" t="str">
        <f>CONCATENATE(U186, D186)</f>
        <v>https://example.websquare.kr/websquare/websquare.html?w2xPath=/guide/Editor/getText_Editor.xml</v>
      </c>
      <c r="W186" s="39" t="s">
        <v>4512</v>
      </c>
      <c r="X186" s="39" t="str">
        <f>CONCATENATE(W186, D186)</f>
        <v>https://docs.inswave.com/websquare/websquare.html?w2xPath=/support/api/guide/Editor/getText_Editor.xml</v>
      </c>
      <c r="Y186" s="48" t="str">
        <f>HYPERLINK(X186, H186)</f>
        <v>개행 없이 텍스트만 반환</v>
      </c>
      <c r="Z186" s="4" t="str">
        <f>HYPERLINK(V186,H186)</f>
        <v>개행 없이 텍스트만 반환</v>
      </c>
      <c r="AA186" s="4" t="str">
        <f>HYPERLINK(J186,H186)</f>
        <v>개행 없이 텍스트만 반환</v>
      </c>
      <c r="AB186" s="39" t="str">
        <f t="shared" si="6"/>
        <v>https://docs.inswave.com/websquare/websquare.html?w2xPath=/support/api/guide/Editor/getText_Editor.xml</v>
      </c>
    </row>
    <row r="187" spans="1:30" s="39" customFormat="1" ht="102" x14ac:dyDescent="0.45">
      <c r="A187" s="37">
        <f>SUBTOTAL(3, $T$2:T187)</f>
        <v>126</v>
      </c>
      <c r="B187" s="38" t="s">
        <v>2345</v>
      </c>
      <c r="C187" s="39" t="s">
        <v>2345</v>
      </c>
      <c r="D187" s="39" t="s">
        <v>3761</v>
      </c>
      <c r="E187" s="40" t="s">
        <v>3835</v>
      </c>
      <c r="F187" s="41" t="s">
        <v>3762</v>
      </c>
      <c r="G187" s="44" t="s">
        <v>2355</v>
      </c>
      <c r="H187" s="53" t="s">
        <v>3834</v>
      </c>
      <c r="I187" s="44" t="s">
        <v>2357</v>
      </c>
      <c r="J187" s="14" t="s">
        <v>2359</v>
      </c>
      <c r="K187" s="22" t="s">
        <v>2839</v>
      </c>
      <c r="L187" s="46">
        <v>45170</v>
      </c>
      <c r="M187" s="14"/>
      <c r="N187" s="45" t="s">
        <v>199</v>
      </c>
      <c r="O187" s="45" t="s">
        <v>199</v>
      </c>
      <c r="P187" s="45" t="s">
        <v>199</v>
      </c>
      <c r="Q187" s="45" t="s">
        <v>199</v>
      </c>
      <c r="R187" s="45" t="s">
        <v>199</v>
      </c>
      <c r="S187" s="45" t="s">
        <v>199</v>
      </c>
      <c r="T187" s="47" t="s">
        <v>4247</v>
      </c>
      <c r="U187" s="39" t="s">
        <v>3764</v>
      </c>
      <c r="V187" s="39" t="str">
        <f>CONCATENATE(U187, D187)</f>
        <v>https://example.websquare.kr/websquare/websquare.html?w2xPath=/guide/Editor/maxCharCount_Editor.xml</v>
      </c>
      <c r="W187" s="39" t="s">
        <v>4512</v>
      </c>
      <c r="X187" s="39" t="str">
        <f>CONCATENATE(W187, D187)</f>
        <v>https://docs.inswave.com/websquare/websquare.html?w2xPath=/support/api/guide/Editor/maxCharCount_Editor.xml</v>
      </c>
      <c r="Y187" s="48" t="str">
        <f>HYPERLINK(X187, H187)</f>
        <v>최대 입력 글자수 지정</v>
      </c>
      <c r="Z187" s="4" t="str">
        <f>HYPERLINK(V187,H187)</f>
        <v>최대 입력 글자수 지정</v>
      </c>
      <c r="AA187" s="4" t="str">
        <f>HYPERLINK(J187,H187)</f>
        <v>최대 입력 글자수 지정</v>
      </c>
      <c r="AB187" s="39" t="str">
        <f t="shared" si="6"/>
        <v>https://docs.inswave.com/websquare/websquare.html?w2xPath=/support/api/guide/Editor/maxCharCount_Editor.xml</v>
      </c>
      <c r="AC187" s="45"/>
      <c r="AD187" s="45"/>
    </row>
    <row r="188" spans="1:30" s="39" customFormat="1" ht="102" x14ac:dyDescent="0.45">
      <c r="A188" s="37">
        <f>SUBTOTAL(3, $T$2:T188)</f>
        <v>127</v>
      </c>
      <c r="B188" s="38" t="s">
        <v>2541</v>
      </c>
      <c r="C188" s="39" t="s">
        <v>2541</v>
      </c>
      <c r="D188" s="39" t="s">
        <v>3693</v>
      </c>
      <c r="E188" s="40" t="s">
        <v>3321</v>
      </c>
      <c r="F188" s="41" t="s">
        <v>3320</v>
      </c>
      <c r="G188" s="39" t="s">
        <v>3325</v>
      </c>
      <c r="H188" s="53" t="s">
        <v>3899</v>
      </c>
      <c r="I188" s="44" t="s">
        <v>3326</v>
      </c>
      <c r="J188" s="14" t="s">
        <v>3333</v>
      </c>
      <c r="K188" s="23" t="s">
        <v>3327</v>
      </c>
      <c r="L188" s="46">
        <v>45597</v>
      </c>
      <c r="M188" s="50" t="s">
        <v>199</v>
      </c>
      <c r="N188" s="45"/>
      <c r="O188" s="45"/>
      <c r="P188" s="45"/>
      <c r="Q188" s="45"/>
      <c r="R188" s="45"/>
      <c r="S188" s="45"/>
      <c r="T188" s="47" t="s">
        <v>4247</v>
      </c>
      <c r="U188" s="39" t="s">
        <v>3764</v>
      </c>
      <c r="V188" s="39" t="str">
        <f>CONCATENATE(U188, D188)</f>
        <v>https://example.websquare.kr/websquare/websquare.html?w2xPath=/guide/FloatingLayer/layerMoveType_FloatingLayer/layerMoveType_FloatingLayer.xml</v>
      </c>
      <c r="W188" s="39" t="s">
        <v>4512</v>
      </c>
      <c r="X188" s="39" t="str">
        <f>CONCATENATE(W188, D188)</f>
        <v>https://docs.inswave.com/websquare/websquare.html?w2xPath=/support/api/guide/FloatingLayer/layerMoveType_FloatingLayer/layerMoveType_FloatingLayer.xml</v>
      </c>
      <c r="Y188" s="48" t="str">
        <f>HYPERLINK(X188, H188)</f>
        <v>PageFrame 외부로의 이동 제어</v>
      </c>
      <c r="Z188" s="4" t="str">
        <f>HYPERLINK(V188,H188)</f>
        <v>PageFrame 외부로의 이동 제어</v>
      </c>
      <c r="AA188" s="4" t="str">
        <f>HYPERLINK(J188,H188)</f>
        <v>PageFrame 외부로의 이동 제어</v>
      </c>
      <c r="AB188" s="39" t="str">
        <f t="shared" si="6"/>
        <v>https://docs.inswave.com/websquare/websquare.html?w2xPath=/support/api/guide/FloatingLayer/layerMoveType_FloatingLayer/layerMoveType_FloatingLayer.xml</v>
      </c>
    </row>
    <row r="189" spans="1:30" s="39" customFormat="1" ht="102" x14ac:dyDescent="0.45">
      <c r="A189" s="37">
        <f>SUBTOTAL(3, $T$2:T189)</f>
        <v>128</v>
      </c>
      <c r="B189" s="38" t="s">
        <v>2541</v>
      </c>
      <c r="C189" s="38" t="s">
        <v>2541</v>
      </c>
      <c r="D189" s="39" t="s">
        <v>2545</v>
      </c>
      <c r="E189" s="40" t="s">
        <v>2543</v>
      </c>
      <c r="F189" s="41" t="s">
        <v>2542</v>
      </c>
      <c r="G189" s="39" t="s">
        <v>2544</v>
      </c>
      <c r="H189" s="53" t="s">
        <v>3898</v>
      </c>
      <c r="I189" s="39" t="s">
        <v>2546</v>
      </c>
      <c r="J189" s="14" t="s">
        <v>2560</v>
      </c>
      <c r="K189" s="22" t="s">
        <v>2841</v>
      </c>
      <c r="L189" s="46">
        <v>45292</v>
      </c>
      <c r="M189" s="60"/>
      <c r="N189" s="45" t="s">
        <v>199</v>
      </c>
      <c r="O189" s="45" t="s">
        <v>199</v>
      </c>
      <c r="P189" s="45" t="s">
        <v>199</v>
      </c>
      <c r="Q189" s="45" t="s">
        <v>199</v>
      </c>
      <c r="R189" s="45" t="s">
        <v>199</v>
      </c>
      <c r="S189" s="45" t="s">
        <v>199</v>
      </c>
      <c r="T189" s="47" t="s">
        <v>4247</v>
      </c>
      <c r="U189" s="39" t="s">
        <v>3764</v>
      </c>
      <c r="V189" s="39" t="str">
        <f>CONCATENATE(U189, D189)</f>
        <v>https://example.websquare.kr/websquare/websquare.html?w2xPath=/guide/FloatingLayer/useCloseButton_FloatingLayer.xml</v>
      </c>
      <c r="W189" s="39" t="s">
        <v>4512</v>
      </c>
      <c r="X189" s="39" t="str">
        <f>CONCATENATE(W189, D189)</f>
        <v>https://docs.inswave.com/websquare/websquare.html?w2xPath=/support/api/guide/FloatingLayer/useCloseButton_FloatingLayer.xml</v>
      </c>
      <c r="Y189" s="48" t="str">
        <f>HYPERLINK(X189, H189)</f>
        <v>닫기 버튼 사용 여부 설정</v>
      </c>
      <c r="Z189" s="4" t="str">
        <f>HYPERLINK(V189,H189)</f>
        <v>닫기 버튼 사용 여부 설정</v>
      </c>
      <c r="AA189" s="4" t="str">
        <f>HYPERLINK(J189,H189)</f>
        <v>닫기 버튼 사용 여부 설정</v>
      </c>
      <c r="AB189" s="39" t="str">
        <f t="shared" si="6"/>
        <v>https://docs.inswave.com/websquare/websquare.html?w2xPath=/support/api/guide/FloatingLayer/useCloseButton_FloatingLayer.xml</v>
      </c>
    </row>
    <row r="190" spans="1:30" s="39" customFormat="1" ht="102" x14ac:dyDescent="0.45">
      <c r="A190" s="37">
        <f>SUBTOTAL(3, $T$2:T190)</f>
        <v>129</v>
      </c>
      <c r="B190" s="38" t="s">
        <v>2393</v>
      </c>
      <c r="C190" s="39" t="s">
        <v>2393</v>
      </c>
      <c r="D190" s="39" t="s">
        <v>2438</v>
      </c>
      <c r="E190" s="40" t="s">
        <v>2429</v>
      </c>
      <c r="F190" s="41" t="s">
        <v>2411</v>
      </c>
      <c r="G190" s="44" t="s">
        <v>2424</v>
      </c>
      <c r="H190" s="53" t="s">
        <v>3897</v>
      </c>
      <c r="I190" s="40" t="s">
        <v>2442</v>
      </c>
      <c r="J190" s="14" t="s">
        <v>2430</v>
      </c>
      <c r="K190" s="22" t="s">
        <v>2842</v>
      </c>
      <c r="L190" s="46">
        <v>45200</v>
      </c>
      <c r="M190" s="14"/>
      <c r="N190" s="45" t="s">
        <v>199</v>
      </c>
      <c r="O190" s="45" t="s">
        <v>199</v>
      </c>
      <c r="P190" s="45"/>
      <c r="Q190" s="45" t="s">
        <v>199</v>
      </c>
      <c r="R190" s="45" t="s">
        <v>199</v>
      </c>
      <c r="S190" s="45" t="s">
        <v>199</v>
      </c>
      <c r="T190" s="47" t="s">
        <v>4247</v>
      </c>
      <c r="U190" s="39" t="s">
        <v>3764</v>
      </c>
      <c r="V190" s="39" t="str">
        <f>CONCATENATE(U190, D190)</f>
        <v>https://example.websquare.kr/websquare/websquare.html?w2xPath=/guide/FusionChart/changeType_FusionChart.xml</v>
      </c>
      <c r="W190" s="39" t="s">
        <v>4512</v>
      </c>
      <c r="X190" s="39" t="str">
        <f>CONCATENATE(W190, D190)</f>
        <v>https://docs.inswave.com/websquare/websquare.html?w2xPath=/support/api/guide/FusionChart/changeType_FusionChart.xml</v>
      </c>
      <c r="Y190" s="48" t="str">
        <f>HYPERLINK(X190, H190)</f>
        <v>차트 유형을 동적으로 변경</v>
      </c>
      <c r="Z190" s="4" t="str">
        <f>HYPERLINK(V190,H190)</f>
        <v>차트 유형을 동적으로 변경</v>
      </c>
      <c r="AA190" s="4" t="str">
        <f>HYPERLINK(J190,H190)</f>
        <v>차트 유형을 동적으로 변경</v>
      </c>
      <c r="AB190" s="39" t="str">
        <f t="shared" si="6"/>
        <v>https://docs.inswave.com/websquare/websquare.html?w2xPath=/support/api/guide/FusionChart/changeType_FusionChart.xml</v>
      </c>
    </row>
    <row r="191" spans="1:30" s="39" customFormat="1" ht="102" x14ac:dyDescent="0.45">
      <c r="A191" s="37">
        <f>SUBTOTAL(3, $T$2:T191)</f>
        <v>130</v>
      </c>
      <c r="B191" s="38" t="s">
        <v>1752</v>
      </c>
      <c r="C191" s="39" t="s">
        <v>1752</v>
      </c>
      <c r="D191" s="39" t="s">
        <v>1866</v>
      </c>
      <c r="E191" s="40" t="s">
        <v>1863</v>
      </c>
      <c r="F191" s="41" t="s">
        <v>1865</v>
      </c>
      <c r="G191" s="39" t="s">
        <v>1864</v>
      </c>
      <c r="H191" s="53" t="s">
        <v>4452</v>
      </c>
      <c r="I191" s="44" t="s">
        <v>1754</v>
      </c>
      <c r="J191" s="14" t="s">
        <v>1867</v>
      </c>
      <c r="K191" s="22" t="s">
        <v>2844</v>
      </c>
      <c r="L191" s="46">
        <v>44896</v>
      </c>
      <c r="M191" s="14"/>
      <c r="N191" s="45" t="s">
        <v>199</v>
      </c>
      <c r="O191" s="45" t="s">
        <v>199</v>
      </c>
      <c r="P191" s="45" t="s">
        <v>199</v>
      </c>
      <c r="Q191" s="45" t="s">
        <v>199</v>
      </c>
      <c r="R191" s="45" t="s">
        <v>199</v>
      </c>
      <c r="S191" s="45" t="s">
        <v>199</v>
      </c>
      <c r="T191" s="47" t="s">
        <v>4247</v>
      </c>
      <c r="U191" s="39" t="s">
        <v>3764</v>
      </c>
      <c r="V191" s="39" t="str">
        <f>CONCATENATE(U191, D191)</f>
        <v>https://example.websquare.kr/websquare/websquare.html?w2xPath=/guide/Generator/insertChild_Generator.xml</v>
      </c>
      <c r="W191" s="39" t="s">
        <v>4512</v>
      </c>
      <c r="X191" s="39" t="str">
        <f>CONCATENATE(W191, D191)</f>
        <v>https://docs.inswave.com/websquare/websquare.html?w2xPath=/support/api/guide/Generator/insertChild_Generator.xml</v>
      </c>
      <c r="Y191" s="48" t="str">
        <f>HYPERLINK(X191, H191)</f>
        <v>컴포넌트 그룹 동적 생성</v>
      </c>
      <c r="Z191" s="4" t="str">
        <f>HYPERLINK(V191,H191)</f>
        <v>컴포넌트 그룹 동적 생성</v>
      </c>
      <c r="AA191" s="4" t="str">
        <f>HYPERLINK(J191,H191)</f>
        <v>컴포넌트 그룹 동적 생성</v>
      </c>
      <c r="AB191" s="39" t="str">
        <f t="shared" si="6"/>
        <v>https://docs.inswave.com/websquare/websquare.html?w2xPath=/support/api/guide/Generator/insertChild_Generator.xml</v>
      </c>
    </row>
    <row r="192" spans="1:30" s="39" customFormat="1" ht="102" x14ac:dyDescent="0.45">
      <c r="A192" s="37">
        <f>SUBTOTAL(3, $T$2:T192)</f>
        <v>131</v>
      </c>
      <c r="B192" s="38" t="s">
        <v>0</v>
      </c>
      <c r="C192" s="39" t="s">
        <v>1098</v>
      </c>
      <c r="D192" s="39" t="s">
        <v>3698</v>
      </c>
      <c r="E192" s="40" t="s">
        <v>1148</v>
      </c>
      <c r="F192" s="41" t="s">
        <v>2074</v>
      </c>
      <c r="G192" s="39" t="s">
        <v>1106</v>
      </c>
      <c r="H192" s="53" t="s">
        <v>3981</v>
      </c>
      <c r="I192" s="44" t="s">
        <v>1118</v>
      </c>
      <c r="J192" s="14" t="s">
        <v>1113</v>
      </c>
      <c r="K192" s="22" t="s">
        <v>2847</v>
      </c>
      <c r="L192" s="46">
        <v>44166</v>
      </c>
      <c r="M192" s="14"/>
      <c r="N192" s="45" t="s">
        <v>199</v>
      </c>
      <c r="O192" s="45" t="s">
        <v>199</v>
      </c>
      <c r="P192" s="45" t="s">
        <v>199</v>
      </c>
      <c r="Q192" s="45" t="s">
        <v>199</v>
      </c>
      <c r="R192" s="45" t="s">
        <v>199</v>
      </c>
      <c r="S192" s="45" t="s">
        <v>199</v>
      </c>
      <c r="T192" s="47" t="s">
        <v>4247</v>
      </c>
      <c r="U192" s="39" t="s">
        <v>3764</v>
      </c>
      <c r="V192" s="39" t="str">
        <f>CONCATENATE(U192, D192)</f>
        <v>https://example.websquare.kr/websquare/websquare.html?w2xPath=/guide/GridView/_General/contextMenuAltClick_GridView/contextMenuAltClick_GridView.xml</v>
      </c>
      <c r="W192" s="39" t="s">
        <v>4512</v>
      </c>
      <c r="X192" s="39" t="str">
        <f>CONCATENATE(W192, D192)</f>
        <v>https://docs.inswave.com/websquare/websquare.html?w2xPath=/support/api/guide/GridView/_General/contextMenuAltClick_GridView/contextMenuAltClick_GridView.xml</v>
      </c>
      <c r="Y192" s="48" t="str">
        <f>HYPERLINK(X192, H192)</f>
        <v>Alt 키 + 마우스 좌클릭을 통한 컨텍스트 메뉴 표시</v>
      </c>
      <c r="Z192" s="4" t="str">
        <f>HYPERLINK(V192,H192)</f>
        <v>Alt 키 + 마우스 좌클릭을 통한 컨텍스트 메뉴 표시</v>
      </c>
      <c r="AA192" s="4" t="str">
        <f>HYPERLINK(J192,H192)</f>
        <v>Alt 키 + 마우스 좌클릭을 통한 컨텍스트 메뉴 표시</v>
      </c>
      <c r="AB192" s="39" t="str">
        <f t="shared" si="6"/>
        <v>https://docs.inswave.com/websquare/websquare.html?w2xPath=/support/api/guide/GridView/_General/contextMenuAltClick_GridView/contextMenuAltClick_GridView.xml</v>
      </c>
    </row>
    <row r="193" spans="1:28" s="39" customFormat="1" ht="102" x14ac:dyDescent="0.45">
      <c r="A193" s="37">
        <f>SUBTOTAL(3, $T$2:T193)</f>
        <v>132</v>
      </c>
      <c r="B193" s="38" t="s">
        <v>1814</v>
      </c>
      <c r="C193" s="38" t="s">
        <v>1815</v>
      </c>
      <c r="D193" s="41" t="s">
        <v>3476</v>
      </c>
      <c r="E193" s="41" t="s">
        <v>4035</v>
      </c>
      <c r="F193" s="41" t="s">
        <v>3473</v>
      </c>
      <c r="G193" s="39" t="s">
        <v>3474</v>
      </c>
      <c r="H193" s="58" t="s">
        <v>4429</v>
      </c>
      <c r="I193" s="41" t="s">
        <v>3475</v>
      </c>
      <c r="J193" s="45" t="s">
        <v>2304</v>
      </c>
      <c r="K193" s="45" t="s">
        <v>2304</v>
      </c>
      <c r="L193" s="46">
        <v>45689</v>
      </c>
      <c r="M193" s="14"/>
      <c r="N193" s="45"/>
      <c r="O193" s="45"/>
      <c r="P193" s="45"/>
      <c r="Q193" s="45"/>
      <c r="R193" s="45"/>
      <c r="S193" s="45"/>
      <c r="T193" s="47" t="s">
        <v>4249</v>
      </c>
      <c r="U193" s="39" t="s">
        <v>3764</v>
      </c>
      <c r="V193" s="39" t="str">
        <f>CONCATENATE(U193, D193)</f>
        <v>https://example.websquare.kr/websquare/websquare.html?w2xPath=/guide/GridView/_General/syncRowPositionOption_GridView.xml</v>
      </c>
      <c r="W193" s="39" t="s">
        <v>4512</v>
      </c>
      <c r="X193" s="39" t="str">
        <f>CONCATENATE(W193, D193)</f>
        <v>https://docs.inswave.com/websquare/websquare.html?w2xPath=/support/api/guide/GridView/_General/syncRowPositionOption_GridView.xml</v>
      </c>
      <c r="Y193" s="48" t="str">
        <f>HYPERLINK(X193, H193)</f>
        <v>DataList의 rowPosition에 해당하는 행을 포커싱</v>
      </c>
      <c r="Z193" s="4" t="str">
        <f>HYPERLINK(V193,H193)</f>
        <v>DataList의 rowPosition에 해당하는 행을 포커싱</v>
      </c>
      <c r="AA193" s="45" t="s">
        <v>2304</v>
      </c>
      <c r="AB193" s="39" t="str">
        <f t="shared" si="6"/>
        <v>https://docs.inswave.com/websquare/websquare.html?w2xPath=/support/api/guide/GridView/_General/syncRowPositionOption_GridView.xml</v>
      </c>
    </row>
    <row r="194" spans="1:28" s="39" customFormat="1" ht="102" x14ac:dyDescent="0.45">
      <c r="A194" s="37">
        <f>SUBTOTAL(3, $T$2:T194)</f>
        <v>133</v>
      </c>
      <c r="B194" s="38" t="s">
        <v>0</v>
      </c>
      <c r="C194" s="39" t="s">
        <v>1098</v>
      </c>
      <c r="D194" s="39" t="s">
        <v>3697</v>
      </c>
      <c r="E194" s="40" t="s">
        <v>549</v>
      </c>
      <c r="F194" s="41" t="s">
        <v>553</v>
      </c>
      <c r="G194" s="39" t="s">
        <v>555</v>
      </c>
      <c r="H194" s="53" t="s">
        <v>3982</v>
      </c>
      <c r="I194" s="39" t="s">
        <v>547</v>
      </c>
      <c r="J194" s="14" t="s">
        <v>554</v>
      </c>
      <c r="K194" s="22" t="s">
        <v>2848</v>
      </c>
      <c r="L194" s="46">
        <v>44562</v>
      </c>
      <c r="M194" s="14"/>
      <c r="N194" s="45" t="s">
        <v>199</v>
      </c>
      <c r="O194" s="45" t="s">
        <v>199</v>
      </c>
      <c r="P194" s="45" t="s">
        <v>199</v>
      </c>
      <c r="Q194" s="45" t="s">
        <v>199</v>
      </c>
      <c r="R194" s="45" t="s">
        <v>199</v>
      </c>
      <c r="S194" s="45" t="s">
        <v>199</v>
      </c>
      <c r="T194" s="47" t="s">
        <v>4247</v>
      </c>
      <c r="U194" s="39" t="s">
        <v>3764</v>
      </c>
      <c r="V194" s="39" t="str">
        <f>CONCATENATE(U194, D194)</f>
        <v>https://example.websquare.kr/websquare/websquare.html?w2xPath=/guide/GridView/_General/enterKeyMove_GridView/enterKeyMove_GridView.xml</v>
      </c>
      <c r="W194" s="39" t="s">
        <v>4512</v>
      </c>
      <c r="X194" s="39" t="str">
        <f>CONCATENATE(W194, D194)</f>
        <v>https://docs.inswave.com/websquare/websquare.html?w2xPath=/support/api/guide/GridView/_General/enterKeyMove_GridView/enterKeyMove_GridView.xml</v>
      </c>
      <c r="Y194" s="48" t="str">
        <f>HYPERLINK(X194, H194)</f>
        <v>Enter 키를 통한 포커스 이동 방향 설정</v>
      </c>
      <c r="Z194" s="4" t="str">
        <f>HYPERLINK(V194,H194)</f>
        <v>Enter 키를 통한 포커스 이동 방향 설정</v>
      </c>
      <c r="AA194" s="4" t="str">
        <f>HYPERLINK(J194,H194)</f>
        <v>Enter 키를 통한 포커스 이동 방향 설정</v>
      </c>
      <c r="AB194" s="39" t="str">
        <f t="shared" si="6"/>
        <v>https://docs.inswave.com/websquare/websquare.html?w2xPath=/support/api/guide/GridView/_General/enterKeyMove_GridView/enterKeyMove_GridView.xml</v>
      </c>
    </row>
    <row r="195" spans="1:28" s="39" customFormat="1" ht="102" x14ac:dyDescent="0.45">
      <c r="A195" s="37">
        <f>SUBTOTAL(3, $T$2:T195)</f>
        <v>134</v>
      </c>
      <c r="B195" s="38" t="s">
        <v>0</v>
      </c>
      <c r="C195" s="39" t="s">
        <v>1098</v>
      </c>
      <c r="D195" s="39" t="s">
        <v>1552</v>
      </c>
      <c r="E195" s="40" t="s">
        <v>3219</v>
      </c>
      <c r="F195" s="41" t="s">
        <v>1551</v>
      </c>
      <c r="G195" s="39" t="s">
        <v>1499</v>
      </c>
      <c r="H195" s="53" t="s">
        <v>4012</v>
      </c>
      <c r="I195" s="44" t="s">
        <v>1875</v>
      </c>
      <c r="J195" s="14" t="s">
        <v>1877</v>
      </c>
      <c r="K195" s="22" t="s">
        <v>2884</v>
      </c>
      <c r="L195" s="46">
        <v>44013</v>
      </c>
      <c r="M195" s="14"/>
      <c r="N195" s="45" t="s">
        <v>199</v>
      </c>
      <c r="O195" s="45" t="s">
        <v>199</v>
      </c>
      <c r="P195" s="45" t="s">
        <v>199</v>
      </c>
      <c r="Q195" s="45" t="s">
        <v>199</v>
      </c>
      <c r="R195" s="45" t="s">
        <v>199</v>
      </c>
      <c r="S195" s="45" t="s">
        <v>199</v>
      </c>
      <c r="T195" s="47" t="s">
        <v>4247</v>
      </c>
      <c r="U195" s="39" t="s">
        <v>3764</v>
      </c>
      <c r="V195" s="39" t="str">
        <f>CONCATENATE(U195, D195)</f>
        <v>https://example.websquare.kr/websquare/websquare.html?w2xPath=/guide/GridView/_General/setDataType_getDataType_GridView.xml</v>
      </c>
      <c r="W195" s="39" t="s">
        <v>4512</v>
      </c>
      <c r="X195" s="39" t="str">
        <f>CONCATENATE(W195, D195)</f>
        <v>https://docs.inswave.com/websquare/websquare.html?w2xPath=/support/api/guide/GridView/_General/setDataType_getDataType_GridView.xml</v>
      </c>
      <c r="Y195" s="48" t="str">
        <f>HYPERLINK(X195, H195)</f>
        <v>각 컬럼의 dataType 설정</v>
      </c>
      <c r="Z195" s="4" t="str">
        <f>HYPERLINK(V195,H195)</f>
        <v>각 컬럼의 dataType 설정</v>
      </c>
      <c r="AA195" s="4" t="str">
        <f>HYPERLINK(J195,H195)</f>
        <v>각 컬럼의 dataType 설정</v>
      </c>
      <c r="AB195" s="39" t="str">
        <f t="shared" si="6"/>
        <v>https://docs.inswave.com/websquare/websquare.html?w2xPath=/support/api/guide/GridView/_General/setDataType_getDataType_GridView.xml</v>
      </c>
    </row>
    <row r="196" spans="1:28" s="39" customFormat="1" ht="136" x14ac:dyDescent="0.45">
      <c r="A196" s="37">
        <f>SUBTOTAL(3, $T$2:T196)</f>
        <v>135</v>
      </c>
      <c r="B196" s="38" t="s">
        <v>0</v>
      </c>
      <c r="C196" s="39" t="s">
        <v>1098</v>
      </c>
      <c r="D196" s="39" t="s">
        <v>3699</v>
      </c>
      <c r="E196" s="40" t="s">
        <v>213</v>
      </c>
      <c r="F196" s="41" t="s">
        <v>180</v>
      </c>
      <c r="G196" s="39" t="s">
        <v>90</v>
      </c>
      <c r="H196" s="53" t="s">
        <v>3978</v>
      </c>
      <c r="I196" s="44" t="s">
        <v>242</v>
      </c>
      <c r="J196" s="14" t="s">
        <v>355</v>
      </c>
      <c r="K196" s="22" t="s">
        <v>2845</v>
      </c>
      <c r="L196" s="46">
        <v>44378</v>
      </c>
      <c r="M196" s="14"/>
      <c r="N196" s="45" t="s">
        <v>199</v>
      </c>
      <c r="O196" s="45" t="s">
        <v>199</v>
      </c>
      <c r="P196" s="45" t="s">
        <v>199</v>
      </c>
      <c r="Q196" s="45" t="s">
        <v>199</v>
      </c>
      <c r="R196" s="45" t="s">
        <v>199</v>
      </c>
      <c r="S196" s="45" t="s">
        <v>199</v>
      </c>
      <c r="T196" s="47" t="s">
        <v>4247</v>
      </c>
      <c r="U196" s="39" t="s">
        <v>3764</v>
      </c>
      <c r="V196" s="39" t="str">
        <f>CONCATENATE(U196, D196)</f>
        <v>https://example.websquare.kr/websquare/websquare.html?w2xPath=/guide/GridView/_General/checkboxLabelColumn_radioLabelColumn_gridView_column/checkboxLabelColumn_radioLabelColumn_gridView_column.xml</v>
      </c>
      <c r="W196" s="39" t="s">
        <v>4512</v>
      </c>
      <c r="X196" s="39" t="str">
        <f>CONCATENATE(W196, D196)</f>
        <v>https://docs.inswave.com/websquare/websquare.html?w2xPath=/support/api/guide/GridView/_General/checkboxLabelColumn_radioLabelColumn_gridView_column/checkboxLabelColumn_radioLabelColumn_gridView_column.xml</v>
      </c>
      <c r="Y196" s="48" t="str">
        <f>HYPERLINK(X196, H196)</f>
        <v>다른 컬럼 값을 조합하여 라벨 값으로 사용</v>
      </c>
      <c r="Z196" s="4" t="str">
        <f>HYPERLINK(V196,H196)</f>
        <v>다른 컬럼 값을 조합하여 라벨 값으로 사용</v>
      </c>
      <c r="AA196" s="4" t="str">
        <f>HYPERLINK(J196,H196)</f>
        <v>다른 컬럼 값을 조합하여 라벨 값으로 사용</v>
      </c>
      <c r="AB196" s="39" t="str">
        <f t="shared" si="6"/>
        <v>https://docs.inswave.com/websquare/websquare.html?w2xPath=/support/api/guide/GridView/_General/checkboxLabelColumn_radioLabelColumn_gridView_column/checkboxLabelColumn_radioLabelColumn_gridView_column.xml</v>
      </c>
    </row>
    <row r="197" spans="1:28" s="39" customFormat="1" ht="119" x14ac:dyDescent="0.45">
      <c r="A197" s="37">
        <f>SUBTOTAL(3, $T$2:T197)</f>
        <v>136</v>
      </c>
      <c r="B197" s="38" t="s">
        <v>0</v>
      </c>
      <c r="C197" s="39" t="s">
        <v>1098</v>
      </c>
      <c r="D197" s="39" t="s">
        <v>3702</v>
      </c>
      <c r="E197" s="40" t="s">
        <v>1594</v>
      </c>
      <c r="F197" s="41" t="s">
        <v>1593</v>
      </c>
      <c r="G197" s="39" t="s">
        <v>1530</v>
      </c>
      <c r="H197" s="49" t="s">
        <v>3979</v>
      </c>
      <c r="I197" s="44" t="s">
        <v>1533</v>
      </c>
      <c r="J197" s="14" t="s">
        <v>1839</v>
      </c>
      <c r="K197" s="22" t="s">
        <v>2849</v>
      </c>
      <c r="L197" s="46">
        <v>44044</v>
      </c>
      <c r="M197" s="14"/>
      <c r="N197" s="45" t="s">
        <v>199</v>
      </c>
      <c r="O197" s="45" t="s">
        <v>199</v>
      </c>
      <c r="P197" s="45" t="s">
        <v>199</v>
      </c>
      <c r="Q197" s="45" t="s">
        <v>199</v>
      </c>
      <c r="R197" s="45" t="s">
        <v>199</v>
      </c>
      <c r="S197" s="45" t="s">
        <v>199</v>
      </c>
      <c r="T197" s="47" t="s">
        <v>4247</v>
      </c>
      <c r="U197" s="39" t="s">
        <v>3764</v>
      </c>
      <c r="V197" s="39" t="str">
        <f>CONCATENATE(U197, D197)</f>
        <v>https://example.websquare.kr/websquare/websquare.html?w2xPath=/guide/GridView/_General/load_add_remove_delete_initilize_view_GridView/load_add_remove_delete_initilize_view_GridView.xml</v>
      </c>
      <c r="W197" s="39" t="s">
        <v>4512</v>
      </c>
      <c r="X197" s="39" t="str">
        <f>CONCATENATE(W197, D197)</f>
        <v>https://docs.inswave.com/websquare/websquare.html?w2xPath=/support/api/guide/GridView/_General/load_add_remove_delete_initilize_view_GridView/load_add_remove_delete_initilize_view_GridView.xml</v>
      </c>
      <c r="Y197" s="48" t="str">
        <f>HYPERLINK(X197, H197)</f>
        <v>데이터 로딩, 추가, 제거, 삭제, 초기화, 반환</v>
      </c>
      <c r="Z197" s="4" t="str">
        <f>HYPERLINK(V197,H197)</f>
        <v>데이터 로딩, 추가, 제거, 삭제, 초기화, 반환</v>
      </c>
      <c r="AA197" s="4" t="str">
        <f>HYPERLINK(J197,H197)</f>
        <v>데이터 로딩, 추가, 제거, 삭제, 초기화, 반환</v>
      </c>
      <c r="AB197" s="39" t="str">
        <f t="shared" ref="AB197:AB253" si="7">CONCATENATE(W197, D197)</f>
        <v>https://docs.inswave.com/websquare/websquare.html?w2xPath=/support/api/guide/GridView/_General/load_add_remove_delete_initilize_view_GridView/load_add_remove_delete_initilize_view_GridView.xml</v>
      </c>
    </row>
    <row r="198" spans="1:28" s="39" customFormat="1" ht="102" x14ac:dyDescent="0.45">
      <c r="A198" s="37">
        <f>SUBTOTAL(3, $T$2:T198)</f>
        <v>137</v>
      </c>
      <c r="B198" s="38" t="s">
        <v>0</v>
      </c>
      <c r="C198" s="39" t="s">
        <v>1098</v>
      </c>
      <c r="D198" s="39" t="s">
        <v>366</v>
      </c>
      <c r="E198" s="40" t="s">
        <v>371</v>
      </c>
      <c r="F198" s="41" t="s">
        <v>365</v>
      </c>
      <c r="G198" s="39" t="s">
        <v>367</v>
      </c>
      <c r="H198" s="53" t="s">
        <v>3999</v>
      </c>
      <c r="I198" s="39" t="s">
        <v>369</v>
      </c>
      <c r="J198" s="14" t="s">
        <v>368</v>
      </c>
      <c r="K198" s="22" t="s">
        <v>2868</v>
      </c>
      <c r="L198" s="46">
        <v>44531</v>
      </c>
      <c r="M198" s="45" t="s">
        <v>200</v>
      </c>
      <c r="N198" s="45" t="s">
        <v>199</v>
      </c>
      <c r="O198" s="45" t="s">
        <v>199</v>
      </c>
      <c r="P198" s="45" t="s">
        <v>199</v>
      </c>
      <c r="Q198" s="45" t="s">
        <v>199</v>
      </c>
      <c r="R198" s="45" t="s">
        <v>199</v>
      </c>
      <c r="S198" s="45" t="s">
        <v>199</v>
      </c>
      <c r="T198" s="47" t="s">
        <v>4514</v>
      </c>
      <c r="U198" s="39" t="s">
        <v>3764</v>
      </c>
      <c r="V198" s="39" t="str">
        <f>CONCATENATE(U198, D198)</f>
        <v>https://example.websquare.kr/websquare/websquare.html?w2xPath=/guide/GridView/_General/copyType_GridView.xml</v>
      </c>
      <c r="W198" s="39" t="s">
        <v>4512</v>
      </c>
      <c r="X198" s="39" t="str">
        <f>CONCATENATE(W198, D198)</f>
        <v>https://docs.inswave.com/websquare/websquare.html?w2xPath=/support/api/guide/GridView/_General/copyType_GridView.xml</v>
      </c>
      <c r="Y198" s="48" t="str">
        <f>HYPERLINK(X198, H198)</f>
        <v>데이터 복사 방법 설정</v>
      </c>
      <c r="Z198" s="4" t="str">
        <f>HYPERLINK(V198,H198)</f>
        <v>데이터 복사 방법 설정</v>
      </c>
      <c r="AA198" s="45" t="s">
        <v>2304</v>
      </c>
      <c r="AB198" s="39" t="str">
        <f t="shared" si="7"/>
        <v>https://docs.inswave.com/websquare/websquare.html?w2xPath=/support/api/guide/GridView/_General/copyType_GridView.xml</v>
      </c>
    </row>
    <row r="199" spans="1:28" s="39" customFormat="1" ht="102" x14ac:dyDescent="0.45">
      <c r="A199" s="37">
        <f>SUBTOTAL(3, $T$2:T199)</f>
        <v>138</v>
      </c>
      <c r="B199" s="38" t="s">
        <v>0</v>
      </c>
      <c r="C199" s="39" t="s">
        <v>1098</v>
      </c>
      <c r="D199" s="39" t="s">
        <v>3741</v>
      </c>
      <c r="E199" s="40" t="s">
        <v>738</v>
      </c>
      <c r="F199" s="41" t="s">
        <v>723</v>
      </c>
      <c r="G199" s="44" t="s">
        <v>727</v>
      </c>
      <c r="H199" s="59" t="s">
        <v>4522</v>
      </c>
      <c r="I199" s="44" t="s">
        <v>730</v>
      </c>
      <c r="J199" s="14" t="s">
        <v>729</v>
      </c>
      <c r="K199" s="22" t="s">
        <v>2877</v>
      </c>
      <c r="L199" s="46">
        <v>44621</v>
      </c>
      <c r="M199" s="14"/>
      <c r="N199" s="45" t="s">
        <v>199</v>
      </c>
      <c r="O199" s="45" t="s">
        <v>199</v>
      </c>
      <c r="P199" s="47" t="s">
        <v>199</v>
      </c>
      <c r="Q199" s="45" t="s">
        <v>199</v>
      </c>
      <c r="R199" s="45" t="s">
        <v>199</v>
      </c>
      <c r="S199" s="45" t="s">
        <v>199</v>
      </c>
      <c r="T199" s="47" t="s">
        <v>4247</v>
      </c>
      <c r="U199" s="39" t="s">
        <v>3764</v>
      </c>
      <c r="V199" s="39" t="str">
        <f>CONCATENATE(U199, D199)</f>
        <v>https://example.websquare.kr/websquare/websquare.html?w2xPath=/guide/GridView/_General/noResultMessage_noResultMessageVisibleAlways_GridView.xml</v>
      </c>
      <c r="W199" s="39" t="s">
        <v>4512</v>
      </c>
      <c r="X199" s="39" t="str">
        <f>CONCATENATE(W199, D199)</f>
        <v>https://docs.inswave.com/websquare/websquare.html?w2xPath=/support/api/guide/GridView/_General/noResultMessage_noResultMessageVisibleAlways_GridView.xml</v>
      </c>
      <c r="Y199" s="48" t="str">
        <f>HYPERLINK(X199, H199)</f>
        <v>'데이터 없음' 메시지 표시</v>
      </c>
      <c r="Z199" s="4" t="str">
        <f>HYPERLINK(V199,H199)</f>
        <v>'데이터 없음' 메시지 표시</v>
      </c>
      <c r="AA199" s="4" t="str">
        <f>HYPERLINK(J199,H199)</f>
        <v>'데이터 없음' 메시지 표시</v>
      </c>
      <c r="AB199" s="39" t="str">
        <f t="shared" si="7"/>
        <v>https://docs.inswave.com/websquare/websquare.html?w2xPath=/support/api/guide/GridView/_General/noResultMessage_noResultMessageVisibleAlways_GridView.xml</v>
      </c>
    </row>
    <row r="200" spans="1:28" s="39" customFormat="1" ht="136" x14ac:dyDescent="0.45">
      <c r="A200" s="37">
        <f>SUBTOTAL(3, $T$2:T200)</f>
        <v>139</v>
      </c>
      <c r="B200" s="38" t="s">
        <v>1814</v>
      </c>
      <c r="C200" s="39" t="s">
        <v>1815</v>
      </c>
      <c r="D200" s="39" t="s">
        <v>3742</v>
      </c>
      <c r="E200" s="40" t="s">
        <v>3972</v>
      </c>
      <c r="F200" s="41" t="s">
        <v>2577</v>
      </c>
      <c r="G200" s="39" t="s">
        <v>2599</v>
      </c>
      <c r="H200" s="53" t="s">
        <v>3973</v>
      </c>
      <c r="I200" s="44" t="s">
        <v>2598</v>
      </c>
      <c r="J200" s="14" t="s">
        <v>2600</v>
      </c>
      <c r="K200" s="22" t="s">
        <v>2854</v>
      </c>
      <c r="L200" s="46">
        <v>45323</v>
      </c>
      <c r="M200" s="60"/>
      <c r="N200" s="45" t="s">
        <v>199</v>
      </c>
      <c r="O200" s="45" t="s">
        <v>199</v>
      </c>
      <c r="P200" s="45" t="s">
        <v>199</v>
      </c>
      <c r="Q200" s="45" t="s">
        <v>199</v>
      </c>
      <c r="R200" s="45" t="s">
        <v>199</v>
      </c>
      <c r="S200" s="45" t="s">
        <v>199</v>
      </c>
      <c r="T200" s="47" t="s">
        <v>4247</v>
      </c>
      <c r="U200" s="39" t="s">
        <v>3764</v>
      </c>
      <c r="V200" s="39" t="str">
        <f>CONCATENATE(U200, D200)</f>
        <v>https://example.websquare.kr/websquare/websquare.html?w2xPath=/guide/GridView/_General/useNoResultMessageURL_noResultMessageURL_GridView/useNoResultMessageURL_noResultMessageURL_GridView.xml</v>
      </c>
      <c r="W200" s="39" t="s">
        <v>4512</v>
      </c>
      <c r="X200" s="39" t="str">
        <f>CONCATENATE(W200, D200)</f>
        <v>https://docs.inswave.com/websquare/websquare.html?w2xPath=/support/api/guide/GridView/_General/useNoResultMessageURL_noResultMessageURL_GridView/useNoResultMessageURL_noResultMessageURL_GridView.xml</v>
      </c>
      <c r="Y200" s="48" t="str">
        <f>HYPERLINK(X200, H200)</f>
        <v>데이터가 없을 경우 특정 화면 파일 표시</v>
      </c>
      <c r="Z200" s="4" t="str">
        <f>HYPERLINK(V200,H200)</f>
        <v>데이터가 없을 경우 특정 화면 파일 표시</v>
      </c>
      <c r="AA200" s="4" t="str">
        <f>HYPERLINK(J200,H200)</f>
        <v>데이터가 없을 경우 특정 화면 파일 표시</v>
      </c>
      <c r="AB200" s="39" t="str">
        <f t="shared" si="7"/>
        <v>https://docs.inswave.com/websquare/websquare.html?w2xPath=/support/api/guide/GridView/_General/useNoResultMessageURL_noResultMessageURL_GridView/useNoResultMessageURL_noResultMessageURL_GridView.xml</v>
      </c>
    </row>
    <row r="201" spans="1:28" s="39" customFormat="1" ht="102" x14ac:dyDescent="0.45">
      <c r="A201" s="37">
        <f>SUBTOTAL(3, $T$2:T201)</f>
        <v>140</v>
      </c>
      <c r="B201" s="38" t="s">
        <v>0</v>
      </c>
      <c r="C201" s="39" t="s">
        <v>1098</v>
      </c>
      <c r="D201" s="39" t="s">
        <v>276</v>
      </c>
      <c r="E201" s="57" t="s">
        <v>224</v>
      </c>
      <c r="F201" s="41" t="s">
        <v>198</v>
      </c>
      <c r="G201" s="39" t="s">
        <v>165</v>
      </c>
      <c r="H201" s="49" t="s">
        <v>165</v>
      </c>
      <c r="I201" s="39" t="s">
        <v>164</v>
      </c>
      <c r="J201" s="14" t="s">
        <v>166</v>
      </c>
      <c r="K201" s="22" t="s">
        <v>2870</v>
      </c>
      <c r="L201" s="46">
        <v>44501</v>
      </c>
      <c r="M201" s="14"/>
      <c r="N201" s="45" t="s">
        <v>199</v>
      </c>
      <c r="O201" s="45" t="s">
        <v>199</v>
      </c>
      <c r="P201" s="45" t="s">
        <v>199</v>
      </c>
      <c r="Q201" s="45" t="s">
        <v>199</v>
      </c>
      <c r="R201" s="45" t="s">
        <v>199</v>
      </c>
      <c r="S201" s="45" t="s">
        <v>199</v>
      </c>
      <c r="T201" s="47" t="s">
        <v>4247</v>
      </c>
      <c r="U201" s="39" t="s">
        <v>3764</v>
      </c>
      <c r="V201" s="39" t="str">
        <f>CONCATENATE(U201, D201)</f>
        <v>https://example.websquare.kr/websquare/websquare.html?w2xPath=/guide/GridView/_General/drawType_GridView.xml</v>
      </c>
      <c r="W201" s="39" t="s">
        <v>4512</v>
      </c>
      <c r="X201" s="39" t="str">
        <f>CONCATENATE(W201, D201)</f>
        <v>https://docs.inswave.com/websquare/websquare.html?w2xPath=/support/api/guide/GridView/_General/drawType_GridView.xml</v>
      </c>
      <c r="Y201" s="48" t="str">
        <f>HYPERLINK(X201, H201)</f>
        <v>렌더링 방법 선택</v>
      </c>
      <c r="Z201" s="4" t="str">
        <f>HYPERLINK(V201,H201)</f>
        <v>렌더링 방법 선택</v>
      </c>
      <c r="AA201" s="4" t="str">
        <f>HYPERLINK(J201,H201)</f>
        <v>렌더링 방법 선택</v>
      </c>
      <c r="AB201" s="39" t="str">
        <f t="shared" si="7"/>
        <v>https://docs.inswave.com/websquare/websquare.html?w2xPath=/support/api/guide/GridView/_General/drawType_GridView.xml</v>
      </c>
    </row>
    <row r="202" spans="1:28" s="39" customFormat="1" ht="102" x14ac:dyDescent="0.45">
      <c r="A202" s="37">
        <f>SUBTOTAL(3, $T$2:T202)</f>
        <v>141</v>
      </c>
      <c r="B202" s="38" t="s">
        <v>0</v>
      </c>
      <c r="C202" s="39" t="s">
        <v>1098</v>
      </c>
      <c r="D202" s="39" t="s">
        <v>3703</v>
      </c>
      <c r="E202" s="40" t="s">
        <v>1608</v>
      </c>
      <c r="F202" s="41" t="s">
        <v>1607</v>
      </c>
      <c r="G202" s="39" t="s">
        <v>1567</v>
      </c>
      <c r="H202" s="53" t="s">
        <v>3974</v>
      </c>
      <c r="I202" s="44" t="s">
        <v>1568</v>
      </c>
      <c r="J202" s="14" t="s">
        <v>1745</v>
      </c>
      <c r="K202" s="22" t="s">
        <v>2850</v>
      </c>
      <c r="L202" s="46">
        <v>44075</v>
      </c>
      <c r="M202" s="14"/>
      <c r="N202" s="45" t="s">
        <v>199</v>
      </c>
      <c r="O202" s="45" t="s">
        <v>199</v>
      </c>
      <c r="P202" s="45" t="s">
        <v>199</v>
      </c>
      <c r="Q202" s="45" t="s">
        <v>199</v>
      </c>
      <c r="R202" s="45" t="s">
        <v>199</v>
      </c>
      <c r="S202" s="45" t="s">
        <v>199</v>
      </c>
      <c r="T202" s="47" t="s">
        <v>4514</v>
      </c>
      <c r="U202" s="39" t="s">
        <v>3764</v>
      </c>
      <c r="V202" s="39" t="str">
        <f>CONCATENATE(U202, D202)</f>
        <v>https://example.websquare.kr/websquare/websquare.html?w2xPath=/guide/GridView/_General/noSelect_GridView/noSelect_GridView.xml</v>
      </c>
      <c r="W202" s="39" t="s">
        <v>4512</v>
      </c>
      <c r="X202" s="39" t="str">
        <f>CONCATENATE(W202, D202)</f>
        <v>https://docs.inswave.com/websquare/websquare.html?w2xPath=/support/api/guide/GridView/_General/noSelect_GridView/noSelect_GridView.xml</v>
      </c>
      <c r="Y202" s="48" t="str">
        <f>HYPERLINK(X202, H202)</f>
        <v>마우스 드래깅을 통한 셀 텍스트 선택 방지</v>
      </c>
      <c r="Z202" s="4" t="str">
        <f>HYPERLINK(V202,H202)</f>
        <v>마우스 드래깅을 통한 셀 텍스트 선택 방지</v>
      </c>
      <c r="AA202" s="45" t="s">
        <v>2304</v>
      </c>
      <c r="AB202" s="39" t="str">
        <f t="shared" si="7"/>
        <v>https://docs.inswave.com/websquare/websquare.html?w2xPath=/support/api/guide/GridView/_General/noSelect_GridView/noSelect_GridView.xml</v>
      </c>
    </row>
    <row r="203" spans="1:28" s="39" customFormat="1" ht="102" x14ac:dyDescent="0.45">
      <c r="A203" s="37">
        <f>SUBTOTAL(3, $T$2:T203)</f>
        <v>142</v>
      </c>
      <c r="B203" s="38" t="s">
        <v>0</v>
      </c>
      <c r="C203" s="39" t="s">
        <v>1098</v>
      </c>
      <c r="D203" s="39" t="s">
        <v>4396</v>
      </c>
      <c r="E203" s="40" t="s">
        <v>3231</v>
      </c>
      <c r="F203" s="41" t="s">
        <v>679</v>
      </c>
      <c r="G203" s="44" t="s">
        <v>678</v>
      </c>
      <c r="H203" s="53" t="s">
        <v>4000</v>
      </c>
      <c r="I203" s="44" t="s">
        <v>677</v>
      </c>
      <c r="J203" s="14" t="s">
        <v>676</v>
      </c>
      <c r="K203" s="22" t="s">
        <v>2867</v>
      </c>
      <c r="L203" s="46">
        <v>44228</v>
      </c>
      <c r="M203" s="14"/>
      <c r="N203" s="45" t="s">
        <v>199</v>
      </c>
      <c r="O203" s="45" t="s">
        <v>199</v>
      </c>
      <c r="P203" s="47" t="s">
        <v>199</v>
      </c>
      <c r="Q203" s="45" t="s">
        <v>199</v>
      </c>
      <c r="R203" s="45" t="s">
        <v>199</v>
      </c>
      <c r="S203" s="45" t="s">
        <v>199</v>
      </c>
      <c r="T203" s="47" t="s">
        <v>4247</v>
      </c>
      <c r="U203" s="39" t="s">
        <v>3764</v>
      </c>
      <c r="V203" s="39" t="str">
        <f>CONCATENATE(U203, D203)</f>
        <v>https://example.websquare.kr/websquare/websquare.html?w2xPath=/guide/GridView/_General/copyOption_GridView.xml</v>
      </c>
      <c r="W203" s="39" t="s">
        <v>4512</v>
      </c>
      <c r="X203" s="39" t="str">
        <f>CONCATENATE(W203, D203)</f>
        <v>https://docs.inswave.com/websquare/websquare.html?w2xPath=/support/api/guide/GridView/_General/copyOption_GridView.xml</v>
      </c>
      <c r="Y203" s="48" t="str">
        <f>HYPERLINK(X203, H203)</f>
        <v>복사할 값 선택</v>
      </c>
      <c r="Z203" s="4" t="str">
        <f>HYPERLINK(V203,H203)</f>
        <v>복사할 값 선택</v>
      </c>
      <c r="AA203" s="4" t="str">
        <f>HYPERLINK(J203,H203)</f>
        <v>복사할 값 선택</v>
      </c>
      <c r="AB203" s="39" t="str">
        <f t="shared" si="7"/>
        <v>https://docs.inswave.com/websquare/websquare.html?w2xPath=/support/api/guide/GridView/_General/copyOption_GridView.xml</v>
      </c>
    </row>
    <row r="204" spans="1:28" s="39" customFormat="1" ht="102" x14ac:dyDescent="0.45">
      <c r="A204" s="37">
        <f>SUBTOTAL(3, $T$2:T204)</f>
        <v>143</v>
      </c>
      <c r="B204" s="38" t="s">
        <v>1814</v>
      </c>
      <c r="C204" s="39" t="s">
        <v>1815</v>
      </c>
      <c r="D204" s="39" t="s">
        <v>3300</v>
      </c>
      <c r="E204" s="40" t="s">
        <v>3988</v>
      </c>
      <c r="F204" s="41" t="s">
        <v>3299</v>
      </c>
      <c r="G204" s="39" t="s">
        <v>3986</v>
      </c>
      <c r="H204" s="49" t="s">
        <v>3987</v>
      </c>
      <c r="I204" s="44" t="s">
        <v>3301</v>
      </c>
      <c r="J204" s="14" t="s">
        <v>3303</v>
      </c>
      <c r="K204" s="23" t="s">
        <v>3302</v>
      </c>
      <c r="L204" s="46">
        <v>45536</v>
      </c>
      <c r="M204" s="14"/>
      <c r="N204" s="45"/>
      <c r="O204" s="45"/>
      <c r="P204" s="45"/>
      <c r="Q204" s="45" t="s">
        <v>199</v>
      </c>
      <c r="R204" s="45" t="s">
        <v>199</v>
      </c>
      <c r="S204" s="45" t="s">
        <v>199</v>
      </c>
      <c r="T204" s="47" t="s">
        <v>4247</v>
      </c>
      <c r="U204" s="39" t="s">
        <v>3764</v>
      </c>
      <c r="V204" s="39" t="str">
        <f>CONCATENATE(U204, D204)</f>
        <v>https://example.websquare.kr/websquare/websquare.html?w2xPath=/guide/GridView/_General/hideDeletedRow_GridView.xml</v>
      </c>
      <c r="W204" s="39" t="s">
        <v>4512</v>
      </c>
      <c r="X204" s="39" t="str">
        <f>CONCATENATE(W204, D204)</f>
        <v>https://docs.inswave.com/websquare/websquare.html?w2xPath=/support/api/guide/GridView/_General/hideDeletedRow_GridView.xml</v>
      </c>
      <c r="Y204" s="48" t="str">
        <f>HYPERLINK(X204, H204)</f>
        <v>삭제 상태의 행 숨김</v>
      </c>
      <c r="Z204" s="4" t="str">
        <f>HYPERLINK(V204,H204)</f>
        <v>삭제 상태의 행 숨김</v>
      </c>
      <c r="AA204" s="4" t="str">
        <f>HYPERLINK(J204,H204)</f>
        <v>삭제 상태의 행 숨김</v>
      </c>
      <c r="AB204" s="39" t="str">
        <f t="shared" si="7"/>
        <v>https://docs.inswave.com/websquare/websquare.html?w2xPath=/support/api/guide/GridView/_General/hideDeletedRow_GridView.xml</v>
      </c>
    </row>
    <row r="205" spans="1:28" s="39" customFormat="1" ht="102" x14ac:dyDescent="0.45">
      <c r="A205" s="37">
        <f>SUBTOTAL(3, $T$2:T205)</f>
        <v>144</v>
      </c>
      <c r="B205" s="38" t="s">
        <v>1814</v>
      </c>
      <c r="C205" s="39" t="s">
        <v>1815</v>
      </c>
      <c r="D205" s="39" t="s">
        <v>1939</v>
      </c>
      <c r="E205" s="40" t="s">
        <v>4005</v>
      </c>
      <c r="F205" s="41" t="s">
        <v>1927</v>
      </c>
      <c r="G205" s="39" t="s">
        <v>4006</v>
      </c>
      <c r="H205" s="53" t="s">
        <v>4007</v>
      </c>
      <c r="I205" s="44" t="s">
        <v>1928</v>
      </c>
      <c r="J205" s="14" t="s">
        <v>1946</v>
      </c>
      <c r="K205" s="22" t="s">
        <v>2860</v>
      </c>
      <c r="L205" s="46">
        <v>44927</v>
      </c>
      <c r="M205" s="50" t="s">
        <v>199</v>
      </c>
      <c r="N205" s="45" t="s">
        <v>199</v>
      </c>
      <c r="O205" s="45" t="s">
        <v>199</v>
      </c>
      <c r="P205" s="45" t="s">
        <v>199</v>
      </c>
      <c r="Q205" s="45" t="s">
        <v>199</v>
      </c>
      <c r="R205" s="45" t="s">
        <v>199</v>
      </c>
      <c r="S205" s="45" t="s">
        <v>199</v>
      </c>
      <c r="T205" s="47" t="s">
        <v>4247</v>
      </c>
      <c r="U205" s="39" t="s">
        <v>3764</v>
      </c>
      <c r="V205" s="39" t="str">
        <f>CONCATENATE(U205, D205)</f>
        <v>https://example.websquare.kr/websquare/websquare.html?w2xPath=/guide/GridView/_General/cellStatusVisible_cellStatusIconPosition_GridView.xml</v>
      </c>
      <c r="W205" s="39" t="s">
        <v>4512</v>
      </c>
      <c r="X205" s="39" t="str">
        <f>CONCATENATE(W205, D205)</f>
        <v>https://docs.inswave.com/websquare/websquare.html?w2xPath=/support/api/guide/GridView/_General/cellStatusVisible_cellStatusIconPosition_GridView.xml</v>
      </c>
      <c r="Y205" s="48" t="str">
        <f>HYPERLINK(X205, H205)</f>
        <v>셀 데이터의 변경 상태 표시</v>
      </c>
      <c r="Z205" s="4" t="str">
        <f>HYPERLINK(V205,H205)</f>
        <v>셀 데이터의 변경 상태 표시</v>
      </c>
      <c r="AA205" s="4" t="str">
        <f>HYPERLINK(J205,H205)</f>
        <v>셀 데이터의 변경 상태 표시</v>
      </c>
      <c r="AB205" s="39" t="str">
        <f t="shared" si="7"/>
        <v>https://docs.inswave.com/websquare/websquare.html?w2xPath=/support/api/guide/GridView/_General/cellStatusVisible_cellStatusIconPosition_GridView.xml</v>
      </c>
    </row>
    <row r="206" spans="1:28" s="39" customFormat="1" ht="102" x14ac:dyDescent="0.45">
      <c r="A206" s="37">
        <f>SUBTOTAL(3, $T$2:T206)</f>
        <v>145</v>
      </c>
      <c r="B206" s="38" t="s">
        <v>0</v>
      </c>
      <c r="C206" s="39" t="s">
        <v>1098</v>
      </c>
      <c r="D206" s="39" t="s">
        <v>1830</v>
      </c>
      <c r="E206" s="40" t="s">
        <v>1824</v>
      </c>
      <c r="F206" s="41" t="s">
        <v>1827</v>
      </c>
      <c r="G206" s="44" t="s">
        <v>1831</v>
      </c>
      <c r="H206" s="53" t="s">
        <v>4024</v>
      </c>
      <c r="I206" s="44" t="s">
        <v>1810</v>
      </c>
      <c r="J206" s="14" t="s">
        <v>1829</v>
      </c>
      <c r="K206" s="22" t="s">
        <v>2881</v>
      </c>
      <c r="L206" s="46">
        <v>44835</v>
      </c>
      <c r="M206" s="14"/>
      <c r="N206" s="45" t="s">
        <v>199</v>
      </c>
      <c r="O206" s="45" t="s">
        <v>199</v>
      </c>
      <c r="P206" s="45" t="s">
        <v>199</v>
      </c>
      <c r="Q206" s="45" t="s">
        <v>199</v>
      </c>
      <c r="R206" s="45" t="s">
        <v>199</v>
      </c>
      <c r="S206" s="45" t="s">
        <v>199</v>
      </c>
      <c r="T206" s="47" t="s">
        <v>4247</v>
      </c>
      <c r="U206" s="39" t="s">
        <v>3764</v>
      </c>
      <c r="V206" s="39" t="str">
        <f>CONCATENATE(U206, D206)</f>
        <v>https://example.websquare.kr/websquare/websquare.html?w2xPath=/guide/GridView/_General/setCellDisabled_GridView.xml</v>
      </c>
      <c r="W206" s="39" t="s">
        <v>4512</v>
      </c>
      <c r="X206" s="39" t="str">
        <f>CONCATENATE(W206, D206)</f>
        <v>https://docs.inswave.com/websquare/websquare.html?w2xPath=/support/api/guide/GridView/_General/setCellDisabled_GridView.xml</v>
      </c>
      <c r="Y206" s="48" t="str">
        <f>HYPERLINK(X206, H206)</f>
        <v>셀 비활성화</v>
      </c>
      <c r="Z206" s="4" t="str">
        <f>HYPERLINK(V206,H206)</f>
        <v>셀 비활성화</v>
      </c>
      <c r="AA206" s="4" t="str">
        <f>HYPERLINK(J206,H206)</f>
        <v>셀 비활성화</v>
      </c>
      <c r="AB206" s="39" t="str">
        <f t="shared" si="7"/>
        <v>https://docs.inswave.com/websquare/websquare.html?w2xPath=/support/api/guide/GridView/_General/setCellDisabled_GridView.xml</v>
      </c>
    </row>
    <row r="207" spans="1:28" s="39" customFormat="1" ht="102" x14ac:dyDescent="0.45">
      <c r="A207" s="37">
        <f>SUBTOTAL(3, $T$2:T207)</f>
        <v>146</v>
      </c>
      <c r="B207" s="38" t="s">
        <v>0</v>
      </c>
      <c r="C207" s="39" t="s">
        <v>1098</v>
      </c>
      <c r="D207" s="39" t="s">
        <v>655</v>
      </c>
      <c r="E207" s="40" t="s">
        <v>657</v>
      </c>
      <c r="F207" s="41" t="s">
        <v>649</v>
      </c>
      <c r="G207" s="39" t="s">
        <v>654</v>
      </c>
      <c r="H207" s="53" t="s">
        <v>4022</v>
      </c>
      <c r="I207" s="44" t="s">
        <v>646</v>
      </c>
      <c r="J207" s="14" t="s">
        <v>648</v>
      </c>
      <c r="K207" s="22" t="s">
        <v>2859</v>
      </c>
      <c r="L207" s="46">
        <v>44593</v>
      </c>
      <c r="M207" s="14"/>
      <c r="N207" s="45" t="s">
        <v>199</v>
      </c>
      <c r="O207" s="45" t="s">
        <v>199</v>
      </c>
      <c r="P207" s="47" t="s">
        <v>199</v>
      </c>
      <c r="Q207" s="45" t="s">
        <v>199</v>
      </c>
      <c r="R207" s="45" t="s">
        <v>199</v>
      </c>
      <c r="S207" s="45" t="s">
        <v>199</v>
      </c>
      <c r="T207" s="47" t="s">
        <v>4247</v>
      </c>
      <c r="U207" s="39" t="s">
        <v>3764</v>
      </c>
      <c r="V207" s="39" t="str">
        <f>CONCATENATE(U207, D207)</f>
        <v>https://example.websquare.kr/websquare/websquare.html?w2xPath=/guide/GridView/_General/blockSelect_gridView_column.xml</v>
      </c>
      <c r="W207" s="39" t="s">
        <v>4512</v>
      </c>
      <c r="X207" s="39" t="str">
        <f>CONCATENATE(W207, D207)</f>
        <v>https://docs.inswave.com/websquare/websquare.html?w2xPath=/support/api/guide/GridView/_General/blockSelect_gridView_column.xml</v>
      </c>
      <c r="Y207" s="48" t="str">
        <f>HYPERLINK(X207, H207)</f>
        <v>셀 선택 차단 (속성 이용)</v>
      </c>
      <c r="Z207" s="4" t="str">
        <f>HYPERLINK(V207,H207)</f>
        <v>셀 선택 차단 (속성 이용)</v>
      </c>
      <c r="AA207" s="4" t="str">
        <f>HYPERLINK(J207,H207)</f>
        <v>셀 선택 차단 (속성 이용)</v>
      </c>
      <c r="AB207" s="39" t="str">
        <f t="shared" si="7"/>
        <v>https://docs.inswave.com/websquare/websquare.html?w2xPath=/support/api/guide/GridView/_General/blockSelect_gridView_column.xml</v>
      </c>
    </row>
    <row r="208" spans="1:28" s="39" customFormat="1" ht="102" x14ac:dyDescent="0.45">
      <c r="A208" s="37">
        <f>SUBTOTAL(3, $T$2:T208)</f>
        <v>147</v>
      </c>
      <c r="B208" s="38" t="s">
        <v>0</v>
      </c>
      <c r="C208" s="39" t="s">
        <v>1098</v>
      </c>
      <c r="D208" s="39" t="s">
        <v>656</v>
      </c>
      <c r="E208" s="40" t="s">
        <v>647</v>
      </c>
      <c r="F208" s="41" t="s">
        <v>651</v>
      </c>
      <c r="G208" s="39" t="s">
        <v>653</v>
      </c>
      <c r="H208" s="53" t="s">
        <v>4023</v>
      </c>
      <c r="I208" s="44" t="s">
        <v>652</v>
      </c>
      <c r="J208" s="14" t="s">
        <v>650</v>
      </c>
      <c r="K208" s="22" t="s">
        <v>2880</v>
      </c>
      <c r="L208" s="46">
        <v>44593</v>
      </c>
      <c r="M208" s="14"/>
      <c r="N208" s="45" t="s">
        <v>199</v>
      </c>
      <c r="O208" s="45" t="s">
        <v>199</v>
      </c>
      <c r="P208" s="47" t="s">
        <v>199</v>
      </c>
      <c r="Q208" s="45" t="s">
        <v>199</v>
      </c>
      <c r="R208" s="45" t="s">
        <v>199</v>
      </c>
      <c r="S208" s="45" t="s">
        <v>199</v>
      </c>
      <c r="T208" s="47" t="s">
        <v>4247</v>
      </c>
      <c r="U208" s="39" t="s">
        <v>3764</v>
      </c>
      <c r="V208" s="39" t="str">
        <f>CONCATENATE(U208, D208)</f>
        <v>https://example.websquare.kr/websquare/websquare.html?w2xPath=/guide/GridView/_General/setBlockSelect_GridView.xml</v>
      </c>
      <c r="W208" s="39" t="s">
        <v>4512</v>
      </c>
      <c r="X208" s="39" t="str">
        <f>CONCATENATE(W208, D208)</f>
        <v>https://docs.inswave.com/websquare/websquare.html?w2xPath=/support/api/guide/GridView/_General/setBlockSelect_GridView.xml</v>
      </c>
      <c r="Y208" s="48" t="str">
        <f>HYPERLINK(X208, H208)</f>
        <v>셀 선택 차단 (함수 이용)</v>
      </c>
      <c r="Z208" s="4" t="str">
        <f>HYPERLINK(V208,H208)</f>
        <v>셀 선택 차단 (함수 이용)</v>
      </c>
      <c r="AA208" s="4" t="str">
        <f>HYPERLINK(J208,H208)</f>
        <v>셀 선택 차단 (함수 이용)</v>
      </c>
      <c r="AB208" s="39" t="str">
        <f t="shared" si="7"/>
        <v>https://docs.inswave.com/websquare/websquare.html?w2xPath=/support/api/guide/GridView/_General/setBlockSelect_GridView.xml</v>
      </c>
    </row>
    <row r="209" spans="1:28" s="39" customFormat="1" ht="102" x14ac:dyDescent="0.45">
      <c r="A209" s="37">
        <f>SUBTOTAL(3, $T$2:T209)</f>
        <v>148</v>
      </c>
      <c r="B209" s="51" t="s">
        <v>1814</v>
      </c>
      <c r="C209" s="39" t="s">
        <v>1098</v>
      </c>
      <c r="D209" s="39" t="s">
        <v>832</v>
      </c>
      <c r="E209" s="40" t="s">
        <v>3995</v>
      </c>
      <c r="F209" s="41" t="s">
        <v>2255</v>
      </c>
      <c r="G209" s="39" t="s">
        <v>3994</v>
      </c>
      <c r="H209" s="49" t="s">
        <v>3994</v>
      </c>
      <c r="I209" s="44" t="s">
        <v>823</v>
      </c>
      <c r="J209" s="14" t="s">
        <v>2261</v>
      </c>
      <c r="K209" s="22" t="s">
        <v>2872</v>
      </c>
      <c r="L209" s="46">
        <v>43862</v>
      </c>
      <c r="M209" s="14"/>
      <c r="N209" s="45" t="s">
        <v>199</v>
      </c>
      <c r="O209" s="45" t="s">
        <v>199</v>
      </c>
      <c r="P209" s="45" t="s">
        <v>199</v>
      </c>
      <c r="Q209" s="45" t="s">
        <v>199</v>
      </c>
      <c r="R209" s="45" t="s">
        <v>199</v>
      </c>
      <c r="S209" s="45" t="s">
        <v>199</v>
      </c>
      <c r="T209" s="47" t="s">
        <v>4247</v>
      </c>
      <c r="U209" s="39" t="s">
        <v>3764</v>
      </c>
      <c r="V209" s="39" t="str">
        <f>CONCATENATE(U209, D209)</f>
        <v>https://example.websquare.kr/websquare/websquare.html?w2xPath=/guide/GridView/_General/editModeEvent_editModeEventIcon_GridView.xml</v>
      </c>
      <c r="W209" s="39" t="s">
        <v>4512</v>
      </c>
      <c r="X209" s="39" t="str">
        <f>CONCATENATE(W209, D209)</f>
        <v>https://docs.inswave.com/websquare/websquare.html?w2xPath=/support/api/guide/GridView/_General/editModeEvent_editModeEventIcon_GridView.xml</v>
      </c>
      <c r="Y209" s="48" t="str">
        <f>HYPERLINK(X209, H209)</f>
        <v>셀 편집 모드로 진입하기 위한 마우스 동작 지정</v>
      </c>
      <c r="Z209" s="4" t="str">
        <f>HYPERLINK(V209,H209)</f>
        <v>셀 편집 모드로 진입하기 위한 마우스 동작 지정</v>
      </c>
      <c r="AA209" s="4" t="str">
        <f>HYPERLINK(J209,H209)</f>
        <v>셀 편집 모드로 진입하기 위한 마우스 동작 지정</v>
      </c>
      <c r="AB209" s="39" t="str">
        <f t="shared" si="7"/>
        <v>https://docs.inswave.com/websquare/websquare.html?w2xPath=/support/api/guide/GridView/_General/editModeEvent_editModeEventIcon_GridView.xml</v>
      </c>
    </row>
    <row r="210" spans="1:28" s="39" customFormat="1" ht="102" x14ac:dyDescent="0.45">
      <c r="A210" s="37">
        <f>SUBTOTAL(3, $T$2:T210)</f>
        <v>149</v>
      </c>
      <c r="B210" s="38" t="s">
        <v>0</v>
      </c>
      <c r="C210" s="39" t="s">
        <v>1098</v>
      </c>
      <c r="D210" s="39" t="s">
        <v>820</v>
      </c>
      <c r="E210" s="40" t="s">
        <v>2216</v>
      </c>
      <c r="F210" s="41" t="s">
        <v>2187</v>
      </c>
      <c r="G210" s="39" t="s">
        <v>814</v>
      </c>
      <c r="H210" s="53" t="s">
        <v>4490</v>
      </c>
      <c r="I210" s="44" t="s">
        <v>822</v>
      </c>
      <c r="J210" s="14" t="s">
        <v>818</v>
      </c>
      <c r="K210" s="22" t="s">
        <v>2876</v>
      </c>
      <c r="L210" s="46">
        <v>44621</v>
      </c>
      <c r="M210" s="14"/>
      <c r="N210" s="45" t="s">
        <v>199</v>
      </c>
      <c r="O210" s="45" t="s">
        <v>199</v>
      </c>
      <c r="P210" s="47" t="s">
        <v>199</v>
      </c>
      <c r="Q210" s="45" t="s">
        <v>199</v>
      </c>
      <c r="R210" s="45" t="s">
        <v>199</v>
      </c>
      <c r="S210" s="45" t="s">
        <v>199</v>
      </c>
      <c r="T210" s="47" t="s">
        <v>4247</v>
      </c>
      <c r="U210" s="39" t="s">
        <v>3764</v>
      </c>
      <c r="V210" s="39" t="str">
        <f>CONCATENATE(U210, D210)</f>
        <v>https://example.websquare.kr/websquare/websquare.html?w2xPath=/guide/GridView/_General/moveKeyEditMode_moveKeyEditModeAll_GridView.xml</v>
      </c>
      <c r="W210" s="39" t="s">
        <v>4512</v>
      </c>
      <c r="X210" s="39" t="str">
        <f>CONCATENATE(W210, D210)</f>
        <v>https://docs.inswave.com/websquare/websquare.html?w2xPath=/support/api/guide/GridView/_General/moveKeyEditMode_moveKeyEditModeAll_GridView.xml</v>
      </c>
      <c r="Y210" s="48" t="str">
        <f>HYPERLINK(X210, H210)</f>
        <v>셀 편집 모드로 진입하기 위한 방향키 지정</v>
      </c>
      <c r="Z210" s="4" t="str">
        <f>HYPERLINK(V210,H210)</f>
        <v>셀 편집 모드로 진입하기 위한 방향키 지정</v>
      </c>
      <c r="AA210" s="4" t="str">
        <f>HYPERLINK(J210,H210)</f>
        <v>셀 편집 모드로 진입하기 위한 방향키 지정</v>
      </c>
      <c r="AB210" s="39" t="str">
        <f t="shared" si="7"/>
        <v>https://docs.inswave.com/websquare/websquare.html?w2xPath=/support/api/guide/GridView/_General/moveKeyEditMode_moveKeyEditModeAll_GridView.xml</v>
      </c>
    </row>
    <row r="211" spans="1:28" s="39" customFormat="1" ht="102" x14ac:dyDescent="0.45">
      <c r="A211" s="37">
        <f>SUBTOTAL(3, $T$2:T211)</f>
        <v>150</v>
      </c>
      <c r="B211" s="51" t="s">
        <v>1814</v>
      </c>
      <c r="C211" s="39" t="s">
        <v>1098</v>
      </c>
      <c r="D211" s="39" t="s">
        <v>831</v>
      </c>
      <c r="E211" s="40" t="s">
        <v>4021</v>
      </c>
      <c r="F211" s="41" t="s">
        <v>2254</v>
      </c>
      <c r="G211" s="39" t="s">
        <v>833</v>
      </c>
      <c r="H211" s="53" t="s">
        <v>4020</v>
      </c>
      <c r="I211" s="44" t="s">
        <v>824</v>
      </c>
      <c r="J211" s="14" t="s">
        <v>2263</v>
      </c>
      <c r="K211" s="22" t="s">
        <v>2875</v>
      </c>
      <c r="L211" s="46">
        <v>43862</v>
      </c>
      <c r="M211" s="50" t="s">
        <v>199</v>
      </c>
      <c r="N211" s="45" t="s">
        <v>199</v>
      </c>
      <c r="O211" s="45" t="s">
        <v>199</v>
      </c>
      <c r="P211" s="45" t="s">
        <v>199</v>
      </c>
      <c r="Q211" s="45" t="s">
        <v>199</v>
      </c>
      <c r="R211" s="45" t="s">
        <v>199</v>
      </c>
      <c r="S211" s="45" t="s">
        <v>199</v>
      </c>
      <c r="T211" s="47" t="s">
        <v>4247</v>
      </c>
      <c r="U211" s="39" t="s">
        <v>3764</v>
      </c>
      <c r="V211" s="39" t="str">
        <f>CONCATENATE(U211, D211)</f>
        <v>https://example.websquare.kr/websquare/websquare.html?w2xPath=/guide/GridView/_General/keyMoveEditMode_moveKeyEditMode_moveKeyEditModeAll_GridView.xml</v>
      </c>
      <c r="W211" s="39" t="s">
        <v>4512</v>
      </c>
      <c r="X211" s="39" t="str">
        <f>CONCATENATE(W211, D211)</f>
        <v>https://docs.inswave.com/websquare/websquare.html?w2xPath=/support/api/guide/GridView/_General/keyMoveEditMode_moveKeyEditMode_moveKeyEditModeAll_GridView.xml</v>
      </c>
      <c r="Y211" s="48" t="str">
        <f>HYPERLINK(X211, H211)</f>
        <v>셀 편집 모드로 진입하기 위한 키 지정</v>
      </c>
      <c r="Z211" s="4" t="str">
        <f>HYPERLINK(V211,H211)</f>
        <v>셀 편집 모드로 진입하기 위한 키 지정</v>
      </c>
      <c r="AA211" s="4" t="str">
        <f>HYPERLINK(J211,H211)</f>
        <v>셀 편집 모드로 진입하기 위한 키 지정</v>
      </c>
      <c r="AB211" s="39" t="str">
        <f t="shared" si="7"/>
        <v>https://docs.inswave.com/websquare/websquare.html?w2xPath=/support/api/guide/GridView/_General/keyMoveEditMode_moveKeyEditMode_moveKeyEditModeAll_GridView.xml</v>
      </c>
    </row>
    <row r="212" spans="1:28" s="39" customFormat="1" ht="102" x14ac:dyDescent="0.45">
      <c r="A212" s="37">
        <f>SUBTOTAL(3, $T$2:T212)</f>
        <v>151</v>
      </c>
      <c r="B212" s="38" t="s">
        <v>1814</v>
      </c>
      <c r="C212" s="39" t="s">
        <v>1815</v>
      </c>
      <c r="D212" s="39" t="s">
        <v>2013</v>
      </c>
      <c r="E212" s="40" t="s">
        <v>4013</v>
      </c>
      <c r="F212" s="41" t="s">
        <v>2012</v>
      </c>
      <c r="G212" s="39" t="s">
        <v>2015</v>
      </c>
      <c r="H212" s="53" t="s">
        <v>4014</v>
      </c>
      <c r="I212" s="44" t="s">
        <v>2006</v>
      </c>
      <c r="J212" s="14" t="s">
        <v>2026</v>
      </c>
      <c r="K212" s="22" t="s">
        <v>2862</v>
      </c>
      <c r="L212" s="46">
        <v>44958</v>
      </c>
      <c r="M212" s="50" t="s">
        <v>199</v>
      </c>
      <c r="N212" s="45" t="s">
        <v>199</v>
      </c>
      <c r="O212" s="45" t="s">
        <v>199</v>
      </c>
      <c r="P212" s="45" t="s">
        <v>199</v>
      </c>
      <c r="Q212" s="45" t="s">
        <v>199</v>
      </c>
      <c r="R212" s="45" t="s">
        <v>199</v>
      </c>
      <c r="S212" s="45" t="s">
        <v>199</v>
      </c>
      <c r="T212" s="47" t="s">
        <v>4247</v>
      </c>
      <c r="U212" s="39" t="s">
        <v>3764</v>
      </c>
      <c r="V212" s="39" t="str">
        <f>CONCATENATE(U212, D212)</f>
        <v>https://example.websquare.kr/websquare/websquare.html?w2xPath=/guide/GridView/_General/checkEditOnPaste_GridView.xml</v>
      </c>
      <c r="W212" s="39" t="s">
        <v>4512</v>
      </c>
      <c r="X212" s="39" t="str">
        <f>CONCATENATE(W212, D212)</f>
        <v>https://docs.inswave.com/websquare/websquare.html?w2xPath=/support/api/guide/GridView/_General/checkEditOnPaste_GridView.xml</v>
      </c>
      <c r="Y212" s="48" t="str">
        <f>HYPERLINK(X212, H212)</f>
        <v>여러 개의 셀 데이터 붙여넣기</v>
      </c>
      <c r="Z212" s="4" t="str">
        <f>HYPERLINK(V212,H212)</f>
        <v>여러 개의 셀 데이터 붙여넣기</v>
      </c>
      <c r="AA212" s="4" t="str">
        <f>HYPERLINK(J212,H212)</f>
        <v>여러 개의 셀 데이터 붙여넣기</v>
      </c>
      <c r="AB212" s="39" t="str">
        <f t="shared" si="7"/>
        <v>https://docs.inswave.com/websquare/websquare.html?w2xPath=/support/api/guide/GridView/_General/checkEditOnPaste_GridView.xml</v>
      </c>
    </row>
    <row r="213" spans="1:28" s="39" customFormat="1" ht="102" x14ac:dyDescent="0.45">
      <c r="A213" s="37">
        <f>SUBTOTAL(3, $T$2:T213)</f>
        <v>152</v>
      </c>
      <c r="B213" s="38" t="s">
        <v>1814</v>
      </c>
      <c r="C213" s="38" t="s">
        <v>1815</v>
      </c>
      <c r="D213" s="39" t="s">
        <v>3504</v>
      </c>
      <c r="E213" s="41" t="s">
        <v>3491</v>
      </c>
      <c r="F213" s="41" t="s">
        <v>3483</v>
      </c>
      <c r="G213" s="39" t="s">
        <v>3499</v>
      </c>
      <c r="H213" s="58" t="s">
        <v>4010</v>
      </c>
      <c r="I213" s="41" t="s">
        <v>3493</v>
      </c>
      <c r="J213" s="45" t="s">
        <v>2304</v>
      </c>
      <c r="K213" s="45" t="s">
        <v>2304</v>
      </c>
      <c r="L213" s="46">
        <v>45717</v>
      </c>
      <c r="M213" s="14"/>
      <c r="N213" s="45"/>
      <c r="O213" s="45"/>
      <c r="P213" s="45"/>
      <c r="Q213" s="45"/>
      <c r="R213" s="45"/>
      <c r="S213" s="45"/>
      <c r="T213" s="47" t="s">
        <v>4249</v>
      </c>
      <c r="U213" s="39" t="s">
        <v>3764</v>
      </c>
      <c r="V213" s="39" t="str">
        <f>CONCATENATE(U213, D213)</f>
        <v>https://example.websquare.kr/websquare/websquare.html?w2xPath=/guide/GridView/_General/setMultiFocus_removeMultiFocus_GridView.xml</v>
      </c>
      <c r="W213" s="39" t="s">
        <v>4512</v>
      </c>
      <c r="X213" s="39" t="str">
        <f>CONCATENATE(W213, D213)</f>
        <v>https://docs.inswave.com/websquare/websquare.html?w2xPath=/support/api/guide/GridView/_General/setMultiFocus_removeMultiFocus_GridView.xml</v>
      </c>
      <c r="Y213" s="48" t="str">
        <f>HYPERLINK(X213, H213)</f>
        <v>여러 셀들을 한번에 선택하거나 선택 해제</v>
      </c>
      <c r="Z213" s="4" t="str">
        <f>HYPERLINK(V213,H213)</f>
        <v>여러 셀들을 한번에 선택하거나 선택 해제</v>
      </c>
      <c r="AA213" s="45" t="s">
        <v>2304</v>
      </c>
      <c r="AB213" s="39" t="str">
        <f t="shared" si="7"/>
        <v>https://docs.inswave.com/websquare/websquare.html?w2xPath=/support/api/guide/GridView/_General/setMultiFocus_removeMultiFocus_GridView.xml</v>
      </c>
    </row>
    <row r="214" spans="1:28" s="39" customFormat="1" ht="102" x14ac:dyDescent="0.45">
      <c r="A214" s="37">
        <f>SUBTOTAL(3, $T$2:T214)</f>
        <v>153</v>
      </c>
      <c r="B214" s="38" t="s">
        <v>0</v>
      </c>
      <c r="C214" s="39" t="s">
        <v>1098</v>
      </c>
      <c r="D214" s="39" t="s">
        <v>3705</v>
      </c>
      <c r="E214" s="57" t="s">
        <v>231</v>
      </c>
      <c r="F214" s="41" t="s">
        <v>160</v>
      </c>
      <c r="G214" s="39" t="s">
        <v>120</v>
      </c>
      <c r="H214" s="53" t="s">
        <v>3975</v>
      </c>
      <c r="I214" s="44" t="s">
        <v>255</v>
      </c>
      <c r="J214" s="14" t="s">
        <v>161</v>
      </c>
      <c r="K214" s="22" t="s">
        <v>2853</v>
      </c>
      <c r="L214" s="46">
        <v>44470</v>
      </c>
      <c r="M214" s="14"/>
      <c r="N214" s="45" t="s">
        <v>199</v>
      </c>
      <c r="O214" s="45" t="s">
        <v>199</v>
      </c>
      <c r="P214" s="45" t="s">
        <v>199</v>
      </c>
      <c r="Q214" s="45" t="s">
        <v>199</v>
      </c>
      <c r="R214" s="45" t="s">
        <v>199</v>
      </c>
      <c r="S214" s="45" t="s">
        <v>199</v>
      </c>
      <c r="T214" s="47" t="s">
        <v>4247</v>
      </c>
      <c r="U214" s="39" t="s">
        <v>3764</v>
      </c>
      <c r="V214" s="39" t="str">
        <f>CONCATENATE(U214, D214)</f>
        <v>https://example.websquare.kr/websquare/websquare.html?w2xPath=/guide/GridView/_General/setFocusedMultiCell_GridView/setFocusedMultiCell_GridView.xml</v>
      </c>
      <c r="W214" s="39" t="s">
        <v>4512</v>
      </c>
      <c r="X214" s="39" t="str">
        <f>CONCATENATE(W214, D214)</f>
        <v>https://docs.inswave.com/websquare/websquare.html?w2xPath=/support/api/guide/GridView/_General/setFocusedMultiCell_GridView/setFocusedMultiCell_GridView.xml</v>
      </c>
      <c r="Y214" s="48" t="str">
        <f>HYPERLINK(X214, H214)</f>
        <v>연속적인 셀 선택</v>
      </c>
      <c r="Z214" s="4" t="str">
        <f>HYPERLINK(V214,H214)</f>
        <v>연속적인 셀 선택</v>
      </c>
      <c r="AA214" s="4" t="str">
        <f>HYPERLINK(J214,H214)</f>
        <v>연속적인 셀 선택</v>
      </c>
      <c r="AB214" s="39" t="str">
        <f t="shared" si="7"/>
        <v>https://docs.inswave.com/websquare/websquare.html?w2xPath=/support/api/guide/GridView/_General/setFocusedMultiCell_GridView/setFocusedMultiCell_GridView.xml</v>
      </c>
    </row>
    <row r="215" spans="1:28" s="39" customFormat="1" ht="102" x14ac:dyDescent="0.45">
      <c r="A215" s="37">
        <f>SUBTOTAL(3, $T$2:T215)</f>
        <v>154</v>
      </c>
      <c r="B215" s="38" t="s">
        <v>1814</v>
      </c>
      <c r="C215" s="38" t="s">
        <v>1815</v>
      </c>
      <c r="D215" s="39" t="s">
        <v>2572</v>
      </c>
      <c r="E215" s="40" t="s">
        <v>2558</v>
      </c>
      <c r="F215" s="41" t="s">
        <v>2565</v>
      </c>
      <c r="G215" s="39" t="s">
        <v>2559</v>
      </c>
      <c r="H215" s="53" t="s">
        <v>4016</v>
      </c>
      <c r="I215" s="40" t="s">
        <v>2557</v>
      </c>
      <c r="J215" s="14" t="s">
        <v>2573</v>
      </c>
      <c r="K215" s="22" t="s">
        <v>2886</v>
      </c>
      <c r="L215" s="46">
        <v>45292</v>
      </c>
      <c r="M215" s="60"/>
      <c r="N215" s="45"/>
      <c r="O215" s="45"/>
      <c r="P215" s="45"/>
      <c r="Q215" s="45" t="s">
        <v>199</v>
      </c>
      <c r="R215" s="45" t="s">
        <v>199</v>
      </c>
      <c r="S215" s="45" t="s">
        <v>199</v>
      </c>
      <c r="T215" s="47" t="s">
        <v>4247</v>
      </c>
      <c r="U215" s="39" t="s">
        <v>3764</v>
      </c>
      <c r="V215" s="39" t="str">
        <f>CONCATENATE(U215, D215)</f>
        <v>https://example.websquare.kr/websquare/websquare.html?w2xPath=/guide/GridView/_General/setReadOnly_GridView.xml</v>
      </c>
      <c r="W215" s="39" t="s">
        <v>4512</v>
      </c>
      <c r="X215" s="39" t="str">
        <f>CONCATENATE(W215, D215)</f>
        <v>https://docs.inswave.com/websquare/websquare.html?w2xPath=/support/api/guide/GridView/_General/setReadOnly_GridView.xml</v>
      </c>
      <c r="Y215" s="48" t="str">
        <f>HYPERLINK(X215, H215)</f>
        <v>읽기 전용 동적 설정 (함수 사용)</v>
      </c>
      <c r="Z215" s="4" t="str">
        <f>HYPERLINK(V215,H215)</f>
        <v>읽기 전용 동적 설정 (함수 사용)</v>
      </c>
      <c r="AA215" s="4" t="str">
        <f>HYPERLINK(J215,H215)</f>
        <v>읽기 전용 동적 설정 (함수 사용)</v>
      </c>
      <c r="AB215" s="39" t="str">
        <f t="shared" si="7"/>
        <v>https://docs.inswave.com/websquare/websquare.html?w2xPath=/support/api/guide/GridView/_General/setReadOnly_GridView.xml</v>
      </c>
    </row>
    <row r="216" spans="1:28" s="39" customFormat="1" ht="102" x14ac:dyDescent="0.45">
      <c r="A216" s="37">
        <f>SUBTOTAL(3, $T$2:T216)</f>
        <v>155</v>
      </c>
      <c r="B216" s="40" t="s">
        <v>1814</v>
      </c>
      <c r="C216" s="39" t="s">
        <v>1098</v>
      </c>
      <c r="D216" s="39" t="s">
        <v>4568</v>
      </c>
      <c r="E216" s="40" t="s">
        <v>2658</v>
      </c>
      <c r="F216" s="41" t="s">
        <v>2657</v>
      </c>
      <c r="G216" s="39" t="s">
        <v>2660</v>
      </c>
      <c r="H216" s="53" t="s">
        <v>4011</v>
      </c>
      <c r="I216" s="44" t="s">
        <v>2659</v>
      </c>
      <c r="J216" s="14" t="s">
        <v>2661</v>
      </c>
      <c r="K216" s="22" t="s">
        <v>2885</v>
      </c>
      <c r="L216" s="46">
        <v>45352</v>
      </c>
      <c r="M216" s="14"/>
      <c r="N216" s="45" t="s">
        <v>199</v>
      </c>
      <c r="O216" s="45" t="s">
        <v>199</v>
      </c>
      <c r="P216" s="45" t="s">
        <v>199</v>
      </c>
      <c r="Q216" s="45" t="s">
        <v>199</v>
      </c>
      <c r="R216" s="45" t="s">
        <v>199</v>
      </c>
      <c r="S216" s="45" t="s">
        <v>199</v>
      </c>
      <c r="T216" s="47" t="s">
        <v>4247</v>
      </c>
      <c r="U216" s="39" t="s">
        <v>3764</v>
      </c>
      <c r="V216" s="39" t="str">
        <f>CONCATENATE(U216, D216)</f>
        <v>https://example.websquare.kr/websquare/websquare.html?w2xPath=/guide/GridView/_General/setFocusedCell_GridView.xml</v>
      </c>
      <c r="W216" s="39" t="s">
        <v>4512</v>
      </c>
      <c r="X216" s="39" t="str">
        <f>CONCATENATE(W216, D216)</f>
        <v>https://docs.inswave.com/websquare/websquare.html?w2xPath=/support/api/guide/GridView/_General/setFocusedCell_GridView.xml</v>
      </c>
      <c r="Y216" s="48" t="str">
        <f>HYPERLINK(X216, H216)</f>
        <v>지정한 셀 선택</v>
      </c>
      <c r="Z216" s="4" t="str">
        <f>HYPERLINK(V216,H216)</f>
        <v>지정한 셀 선택</v>
      </c>
      <c r="AA216" s="4" t="str">
        <f>HYPERLINK(J216,H216)</f>
        <v>지정한 셀 선택</v>
      </c>
      <c r="AB216" s="39" t="str">
        <f t="shared" si="7"/>
        <v>https://docs.inswave.com/websquare/websquare.html?w2xPath=/support/api/guide/GridView/_General/setFocusedCell_GridView.xml</v>
      </c>
    </row>
    <row r="217" spans="1:28" s="39" customFormat="1" ht="119" x14ac:dyDescent="0.45">
      <c r="A217" s="37">
        <f>SUBTOTAL(3, $T$2:T217)</f>
        <v>156</v>
      </c>
      <c r="B217" s="38" t="s">
        <v>0</v>
      </c>
      <c r="C217" s="44" t="s">
        <v>1098</v>
      </c>
      <c r="D217" s="39" t="s">
        <v>1286</v>
      </c>
      <c r="E217" s="40" t="s">
        <v>2490</v>
      </c>
      <c r="F217" s="41" t="s">
        <v>2529</v>
      </c>
      <c r="G217" s="44" t="s">
        <v>2491</v>
      </c>
      <c r="H217" s="53" t="s">
        <v>3989</v>
      </c>
      <c r="I217" s="44" t="s">
        <v>2488</v>
      </c>
      <c r="J217" s="14" t="s">
        <v>2489</v>
      </c>
      <c r="K217" s="22" t="s">
        <v>2874</v>
      </c>
      <c r="L217" s="46">
        <v>43739</v>
      </c>
      <c r="M217" s="14"/>
      <c r="N217" s="45" t="s">
        <v>199</v>
      </c>
      <c r="O217" s="45" t="s">
        <v>199</v>
      </c>
      <c r="P217" s="45" t="s">
        <v>199</v>
      </c>
      <c r="Q217" s="45" t="s">
        <v>199</v>
      </c>
      <c r="R217" s="45" t="s">
        <v>199</v>
      </c>
      <c r="S217" s="45" t="s">
        <v>199</v>
      </c>
      <c r="T217" s="47" t="s">
        <v>4247</v>
      </c>
      <c r="U217" s="39" t="s">
        <v>3764</v>
      </c>
      <c r="V217" s="39" t="str">
        <f>CONCATENATE(U217, D217)</f>
        <v>https://example.websquare.kr/websquare/websquare.html?w2xPath=/guide/GridView/_General/getCheckedXXX_Gridview.xml</v>
      </c>
      <c r="W217" s="39" t="s">
        <v>4512</v>
      </c>
      <c r="X217" s="39" t="str">
        <f>CONCATENATE(W217, D217)</f>
        <v>https://docs.inswave.com/websquare/websquare.html?w2xPath=/support/api/guide/GridView/_General/getCheckedXXX_Gridview.xml</v>
      </c>
      <c r="Y217" s="48" t="str">
        <f>HYPERLINK(X217, H217)</f>
        <v>체크 박스로 선택한 행의 인덱스 및 데이터 반환</v>
      </c>
      <c r="Z217" s="4" t="str">
        <f>HYPERLINK(V217,H217)</f>
        <v>체크 박스로 선택한 행의 인덱스 및 데이터 반환</v>
      </c>
      <c r="AA217" s="4" t="str">
        <f>HYPERLINK(J217,H217)</f>
        <v>체크 박스로 선택한 행의 인덱스 및 데이터 반환</v>
      </c>
      <c r="AB217" s="39" t="str">
        <f t="shared" si="7"/>
        <v>https://docs.inswave.com/websquare/websquare.html?w2xPath=/support/api/guide/GridView/_General/getCheckedXXX_Gridview.xml</v>
      </c>
    </row>
    <row r="218" spans="1:28" s="39" customFormat="1" ht="102" x14ac:dyDescent="0.45">
      <c r="A218" s="37">
        <f>SUBTOTAL(3, $T$2:T218)</f>
        <v>157</v>
      </c>
      <c r="B218" s="38" t="s">
        <v>0</v>
      </c>
      <c r="C218" s="39" t="s">
        <v>1098</v>
      </c>
      <c r="D218" s="39" t="s">
        <v>1112</v>
      </c>
      <c r="E218" s="40" t="s">
        <v>1144</v>
      </c>
      <c r="F218" s="41" t="s">
        <v>1111</v>
      </c>
      <c r="G218" s="39" t="s">
        <v>1107</v>
      </c>
      <c r="H218" s="53" t="s">
        <v>3996</v>
      </c>
      <c r="I218" s="39" t="s">
        <v>1103</v>
      </c>
      <c r="J218" s="14" t="s">
        <v>1110</v>
      </c>
      <c r="K218" s="22" t="s">
        <v>2866</v>
      </c>
      <c r="L218" s="46">
        <v>44682</v>
      </c>
      <c r="M218" s="50" t="s">
        <v>199</v>
      </c>
      <c r="N218" s="45" t="s">
        <v>199</v>
      </c>
      <c r="O218" s="45" t="s">
        <v>199</v>
      </c>
      <c r="P218" s="45" t="s">
        <v>199</v>
      </c>
      <c r="Q218" s="45" t="s">
        <v>199</v>
      </c>
      <c r="R218" s="45" t="s">
        <v>199</v>
      </c>
      <c r="S218" s="45" t="s">
        <v>199</v>
      </c>
      <c r="T218" s="47" t="s">
        <v>4247</v>
      </c>
      <c r="U218" s="39" t="s">
        <v>3764</v>
      </c>
      <c r="V218" s="39" t="str">
        <f>CONCATENATE(U218, D218)</f>
        <v>https://example.websquare.kr/websquare/websquare.html?w2xPath=/guide/GridView/_General/contextMenu_GridView.xml</v>
      </c>
      <c r="W218" s="39" t="s">
        <v>4512</v>
      </c>
      <c r="X218" s="39" t="str">
        <f>CONCATENATE(W218, D218)</f>
        <v>https://docs.inswave.com/websquare/websquare.html?w2xPath=/support/api/guide/GridView/_General/contextMenu_GridView.xml</v>
      </c>
      <c r="Y218" s="48" t="str">
        <f>HYPERLINK(X218, H218)</f>
        <v>컨텍스트 메뉴 표시</v>
      </c>
      <c r="Z218" s="4" t="str">
        <f>HYPERLINK(V218,H218)</f>
        <v>컨텍스트 메뉴 표시</v>
      </c>
      <c r="AA218" s="4" t="str">
        <f>HYPERLINK(J218,H218)</f>
        <v>컨텍스트 메뉴 표시</v>
      </c>
      <c r="AB218" s="39" t="str">
        <f t="shared" si="7"/>
        <v>https://docs.inswave.com/websquare/websquare.html?w2xPath=/support/api/guide/GridView/_General/contextMenu_GridView.xml</v>
      </c>
    </row>
    <row r="219" spans="1:28" s="39" customFormat="1" ht="102" x14ac:dyDescent="0.45">
      <c r="A219" s="37">
        <f>SUBTOTAL(3, $T$2:T219)</f>
        <v>158</v>
      </c>
      <c r="B219" s="38" t="s">
        <v>0</v>
      </c>
      <c r="C219" s="39" t="s">
        <v>1098</v>
      </c>
      <c r="D219" s="39" t="s">
        <v>3700</v>
      </c>
      <c r="E219" s="40" t="s">
        <v>1149</v>
      </c>
      <c r="F219" s="41" t="s">
        <v>1109</v>
      </c>
      <c r="G219" s="39" t="s">
        <v>1105</v>
      </c>
      <c r="H219" s="53" t="s">
        <v>3980</v>
      </c>
      <c r="I219" s="44" t="s">
        <v>57</v>
      </c>
      <c r="J219" s="14" t="s">
        <v>1108</v>
      </c>
      <c r="K219" s="22" t="s">
        <v>2846</v>
      </c>
      <c r="L219" s="46">
        <v>43983</v>
      </c>
      <c r="M219" s="14"/>
      <c r="N219" s="45" t="s">
        <v>199</v>
      </c>
      <c r="O219" s="45" t="s">
        <v>199</v>
      </c>
      <c r="P219" s="47" t="s">
        <v>199</v>
      </c>
      <c r="Q219" s="45" t="s">
        <v>199</v>
      </c>
      <c r="R219" s="45" t="s">
        <v>199</v>
      </c>
      <c r="S219" s="45" t="s">
        <v>199</v>
      </c>
      <c r="T219" s="47" t="s">
        <v>4247</v>
      </c>
      <c r="U219" s="39" t="s">
        <v>3764</v>
      </c>
      <c r="V219" s="39" t="str">
        <f>CONCATENATE(U219, D219)</f>
        <v>https://example.websquare.kr/websquare/websquare.html?w2xPath=/guide/GridView/_General/contextMenu_autoFit_GridView/contextMenu_autoFit_GridView.xml</v>
      </c>
      <c r="W219" s="39" t="s">
        <v>4512</v>
      </c>
      <c r="X219" s="39" t="str">
        <f>CONCATENATE(W219, D219)</f>
        <v>https://docs.inswave.com/websquare/websquare.html?w2xPath=/support/api/guide/GridView/_General/contextMenu_autoFit_GridView/contextMenu_autoFit_GridView.xml</v>
      </c>
      <c r="Y219" s="48" t="str">
        <f>HYPERLINK(X219, H219)</f>
        <v>컨텍스트 메뉴를 통한 컬럼 폭 조정</v>
      </c>
      <c r="Z219" s="4" t="str">
        <f>HYPERLINK(V219,H219)</f>
        <v>컨텍스트 메뉴를 통한 컬럼 폭 조정</v>
      </c>
      <c r="AA219" s="4" t="str">
        <f>HYPERLINK(J219,H219)</f>
        <v>컨텍스트 메뉴를 통한 컬럼 폭 조정</v>
      </c>
      <c r="AB219" s="39" t="str">
        <f t="shared" si="7"/>
        <v>https://docs.inswave.com/websquare/websquare.html?w2xPath=/support/api/guide/GridView/_General/contextMenu_autoFit_GridView/contextMenu_autoFit_GridView.xml</v>
      </c>
    </row>
    <row r="220" spans="1:28" s="39" customFormat="1" ht="102" x14ac:dyDescent="0.45">
      <c r="A220" s="37">
        <f>SUBTOTAL(3, $T$2:T220)</f>
        <v>159</v>
      </c>
      <c r="B220" s="38" t="s">
        <v>0</v>
      </c>
      <c r="C220" s="39" t="s">
        <v>1098</v>
      </c>
      <c r="D220" s="39" t="s">
        <v>2104</v>
      </c>
      <c r="E220" s="40" t="s">
        <v>2101</v>
      </c>
      <c r="F220" s="41" t="s">
        <v>2100</v>
      </c>
      <c r="G220" s="39" t="s">
        <v>1463</v>
      </c>
      <c r="H220" s="53" t="s">
        <v>4019</v>
      </c>
      <c r="I220" s="44" t="s">
        <v>2071</v>
      </c>
      <c r="J220" s="14" t="s">
        <v>2102</v>
      </c>
      <c r="K220" s="22" t="s">
        <v>2864</v>
      </c>
      <c r="L220" s="46">
        <v>43952</v>
      </c>
      <c r="M220" s="14"/>
      <c r="N220" s="45" t="s">
        <v>199</v>
      </c>
      <c r="O220" s="45" t="s">
        <v>199</v>
      </c>
      <c r="P220" s="45" t="s">
        <v>199</v>
      </c>
      <c r="Q220" s="45" t="s">
        <v>199</v>
      </c>
      <c r="R220" s="45" t="s">
        <v>199</v>
      </c>
      <c r="S220" s="45" t="s">
        <v>199</v>
      </c>
      <c r="T220" s="47" t="s">
        <v>4247</v>
      </c>
      <c r="U220" s="39" t="s">
        <v>3764</v>
      </c>
      <c r="V220" s="39" t="str">
        <f>CONCATENATE(U220, D220)</f>
        <v>https://example.websquare.kr/websquare/websquare.html?w2xPath=/guide/GridView/_General/column_mapping_GridView.xml</v>
      </c>
      <c r="W220" s="39" t="s">
        <v>4512</v>
      </c>
      <c r="X220" s="39" t="str">
        <f>CONCATENATE(W220, D220)</f>
        <v>https://docs.inswave.com/websquare/websquare.html?w2xPath=/support/api/guide/GridView/_General/column_mapping_GridView.xml</v>
      </c>
      <c r="Y220" s="48" t="str">
        <f>HYPERLINK(X220, H220)</f>
        <v xml:space="preserve">컬럼 데이터를 다른 컴포넌트와 맵핑 </v>
      </c>
      <c r="Z220" s="4" t="str">
        <f>HYPERLINK(V220,H220)</f>
        <v xml:space="preserve">컬럼 데이터를 다른 컴포넌트와 맵핑 </v>
      </c>
      <c r="AA220" s="4" t="str">
        <f>HYPERLINK(J220,H220)</f>
        <v xml:space="preserve">컬럼 데이터를 다른 컴포넌트와 맵핑 </v>
      </c>
      <c r="AB220" s="39" t="str">
        <f t="shared" si="7"/>
        <v>https://docs.inswave.com/websquare/websquare.html?w2xPath=/support/api/guide/GridView/_General/column_mapping_GridView.xml</v>
      </c>
    </row>
    <row r="221" spans="1:28" s="39" customFormat="1" ht="102" x14ac:dyDescent="0.45">
      <c r="A221" s="37">
        <f>SUBTOTAL(3, $T$2:T221)</f>
        <v>160</v>
      </c>
      <c r="B221" s="38" t="s">
        <v>0</v>
      </c>
      <c r="C221" s="39" t="s">
        <v>1098</v>
      </c>
      <c r="D221" s="39" t="s">
        <v>1155</v>
      </c>
      <c r="E221" s="40" t="s">
        <v>1167</v>
      </c>
      <c r="F221" s="41" t="s">
        <v>2231</v>
      </c>
      <c r="G221" s="39" t="s">
        <v>1156</v>
      </c>
      <c r="H221" s="53" t="s">
        <v>4002</v>
      </c>
      <c r="I221" s="39" t="s">
        <v>56</v>
      </c>
      <c r="J221" s="14" t="s">
        <v>1154</v>
      </c>
      <c r="K221" s="22" t="s">
        <v>2857</v>
      </c>
      <c r="L221" s="46">
        <v>43800</v>
      </c>
      <c r="M221" s="50" t="s">
        <v>199</v>
      </c>
      <c r="N221" s="45" t="s">
        <v>199</v>
      </c>
      <c r="O221" s="45" t="s">
        <v>199</v>
      </c>
      <c r="P221" s="45" t="s">
        <v>199</v>
      </c>
      <c r="Q221" s="45" t="s">
        <v>199</v>
      </c>
      <c r="R221" s="45" t="s">
        <v>199</v>
      </c>
      <c r="S221" s="45" t="s">
        <v>199</v>
      </c>
      <c r="T221" s="47" t="s">
        <v>4247</v>
      </c>
      <c r="U221" s="39" t="s">
        <v>3764</v>
      </c>
      <c r="V221" s="39" t="str">
        <f>CONCATENATE(U221, D221)</f>
        <v>https://example.websquare.kr/websquare/websquare.html?w2xPath=/guide/GridView/_General/autoFit_GridView.xml</v>
      </c>
      <c r="W221" s="39" t="s">
        <v>4512</v>
      </c>
      <c r="X221" s="39" t="str">
        <f>CONCATENATE(W221, D221)</f>
        <v>https://docs.inswave.com/websquare/websquare.html?w2xPath=/support/api/guide/GridView/_General/autoFit_GridView.xml</v>
      </c>
      <c r="Y221" s="48" t="str">
        <f>HYPERLINK(X221, H221)</f>
        <v>컬럼 폭 자동 맞춤</v>
      </c>
      <c r="Z221" s="4" t="str">
        <f>HYPERLINK(V221,H221)</f>
        <v>컬럼 폭 자동 맞춤</v>
      </c>
      <c r="AA221" s="4" t="str">
        <f>HYPERLINK(J221,H221)</f>
        <v>컬럼 폭 자동 맞춤</v>
      </c>
      <c r="AB221" s="39" t="str">
        <f t="shared" si="7"/>
        <v>https://docs.inswave.com/websquare/websquare.html?w2xPath=/support/api/guide/GridView/_General/autoFit_GridView.xml</v>
      </c>
    </row>
    <row r="222" spans="1:28" s="39" customFormat="1" ht="102" x14ac:dyDescent="0.45">
      <c r="A222" s="37">
        <f>SUBTOTAL(3, $T$2:T222)</f>
        <v>161</v>
      </c>
      <c r="B222" s="38" t="s">
        <v>0</v>
      </c>
      <c r="C222" s="39" t="s">
        <v>1098</v>
      </c>
      <c r="D222" s="39" t="s">
        <v>3704</v>
      </c>
      <c r="E222" s="40" t="s">
        <v>3226</v>
      </c>
      <c r="F222" s="41" t="s">
        <v>1162</v>
      </c>
      <c r="G222" s="44" t="s">
        <v>1163</v>
      </c>
      <c r="H222" s="53" t="s">
        <v>3977</v>
      </c>
      <c r="I222" s="44" t="s">
        <v>1165</v>
      </c>
      <c r="J222" s="14" t="s">
        <v>1161</v>
      </c>
      <c r="K222" s="22" t="s">
        <v>2851</v>
      </c>
      <c r="L222" s="46">
        <v>43983</v>
      </c>
      <c r="M222" s="14"/>
      <c r="N222" s="45" t="s">
        <v>199</v>
      </c>
      <c r="O222" s="45" t="s">
        <v>199</v>
      </c>
      <c r="P222" s="45" t="s">
        <v>199</v>
      </c>
      <c r="Q222" s="45" t="s">
        <v>199</v>
      </c>
      <c r="R222" s="45" t="s">
        <v>199</v>
      </c>
      <c r="S222" s="45" t="s">
        <v>199</v>
      </c>
      <c r="T222" s="47" t="s">
        <v>4247</v>
      </c>
      <c r="U222" s="39" t="s">
        <v>3764</v>
      </c>
      <c r="V222" s="39" t="str">
        <f>CONCATENATE(U222, D222)</f>
        <v>https://example.websquare.kr/websquare/websquare.html?w2xPath=/guide/GridView/_General/setAutoFit_clearAutoFit_GridView/setAutoFit_clearAutoFit_GridView.xml</v>
      </c>
      <c r="W222" s="39" t="s">
        <v>4512</v>
      </c>
      <c r="X222" s="39" t="str">
        <f>CONCATENATE(W222, D222)</f>
        <v>https://docs.inswave.com/websquare/websquare.html?w2xPath=/support/api/guide/GridView/_General/setAutoFit_clearAutoFit_GridView/setAutoFit_clearAutoFit_GridView.xml</v>
      </c>
      <c r="Y222" s="48" t="str">
        <f>HYPERLINK(X222, H222)</f>
        <v>컬럼 폭 자동 맞춤 설정 및 취소</v>
      </c>
      <c r="Z222" s="4" t="str">
        <f>HYPERLINK(V222,H222)</f>
        <v>컬럼 폭 자동 맞춤 설정 및 취소</v>
      </c>
      <c r="AA222" s="4" t="str">
        <f>HYPERLINK(J222,H222)</f>
        <v>컬럼 폭 자동 맞춤 설정 및 취소</v>
      </c>
      <c r="AB222" s="39" t="str">
        <f t="shared" si="7"/>
        <v>https://docs.inswave.com/websquare/websquare.html?w2xPath=/support/api/guide/GridView/_General/setAutoFit_clearAutoFit_GridView/setAutoFit_clearAutoFit_GridView.xml</v>
      </c>
    </row>
    <row r="223" spans="1:28" s="39" customFormat="1" ht="102" x14ac:dyDescent="0.45">
      <c r="A223" s="37">
        <f>SUBTOTAL(3, $T$2:T223)</f>
        <v>162</v>
      </c>
      <c r="B223" s="38" t="s">
        <v>0</v>
      </c>
      <c r="C223" s="39" t="s">
        <v>1098</v>
      </c>
      <c r="D223" s="39" t="s">
        <v>1160</v>
      </c>
      <c r="E223" s="40" t="s">
        <v>1168</v>
      </c>
      <c r="F223" s="41" t="s">
        <v>1159</v>
      </c>
      <c r="G223" s="39" t="s">
        <v>1158</v>
      </c>
      <c r="H223" s="53" t="s">
        <v>4003</v>
      </c>
      <c r="I223" s="44" t="s">
        <v>55</v>
      </c>
      <c r="J223" s="14" t="s">
        <v>1157</v>
      </c>
      <c r="K223" s="22" t="s">
        <v>2856</v>
      </c>
      <c r="L223" s="46">
        <v>43831</v>
      </c>
      <c r="M223" s="14"/>
      <c r="N223" s="45" t="s">
        <v>199</v>
      </c>
      <c r="O223" s="45" t="s">
        <v>199</v>
      </c>
      <c r="P223" s="45" t="s">
        <v>199</v>
      </c>
      <c r="Q223" s="45" t="s">
        <v>199</v>
      </c>
      <c r="R223" s="45" t="s">
        <v>199</v>
      </c>
      <c r="S223" s="45" t="s">
        <v>199</v>
      </c>
      <c r="T223" s="47" t="s">
        <v>4247</v>
      </c>
      <c r="U223" s="39" t="s">
        <v>3764</v>
      </c>
      <c r="V223" s="39" t="str">
        <f>CONCATENATE(U223, D223)</f>
        <v>https://example.websquare.kr/websquare/websquare.html?w2xPath=/guide/GridView/_General/autoFit_autoFitMinWidth_GridView.xml</v>
      </c>
      <c r="W223" s="39" t="s">
        <v>4512</v>
      </c>
      <c r="X223" s="39" t="str">
        <f>CONCATENATE(W223, D223)</f>
        <v>https://docs.inswave.com/websquare/websquare.html?w2xPath=/support/api/guide/GridView/_General/autoFit_autoFitMinWidth_GridView.xml</v>
      </c>
      <c r="Y223" s="48" t="str">
        <f>HYPERLINK(X223, H223)</f>
        <v>컬럼 폭 자동 맞춤을 위한 최소 너비 설정</v>
      </c>
      <c r="Z223" s="4" t="str">
        <f>HYPERLINK(V223,H223)</f>
        <v>컬럼 폭 자동 맞춤을 위한 최소 너비 설정</v>
      </c>
      <c r="AA223" s="4" t="str">
        <f>HYPERLINK(J223,H223)</f>
        <v>컬럼 폭 자동 맞춤을 위한 최소 너비 설정</v>
      </c>
      <c r="AB223" s="39" t="str">
        <f t="shared" si="7"/>
        <v>https://docs.inswave.com/websquare/websquare.html?w2xPath=/support/api/guide/GridView/_General/autoFit_autoFitMinWidth_GridView.xml</v>
      </c>
    </row>
    <row r="224" spans="1:28" s="39" customFormat="1" ht="102" x14ac:dyDescent="0.45">
      <c r="A224" s="37">
        <f>SUBTOTAL(3, $T$2:T224)</f>
        <v>163</v>
      </c>
      <c r="B224" s="40" t="s">
        <v>1814</v>
      </c>
      <c r="C224" s="39" t="s">
        <v>1098</v>
      </c>
      <c r="D224" s="39" t="s">
        <v>2651</v>
      </c>
      <c r="E224" s="40" t="s">
        <v>2648</v>
      </c>
      <c r="F224" s="41" t="s">
        <v>2647</v>
      </c>
      <c r="G224" s="39" t="s">
        <v>2649</v>
      </c>
      <c r="H224" s="53" t="s">
        <v>4521</v>
      </c>
      <c r="I224" s="44" t="s">
        <v>2650</v>
      </c>
      <c r="J224" s="14" t="s">
        <v>2652</v>
      </c>
      <c r="K224" s="22" t="s">
        <v>2883</v>
      </c>
      <c r="L224" s="46">
        <v>45352</v>
      </c>
      <c r="M224" s="14"/>
      <c r="N224" s="45" t="s">
        <v>199</v>
      </c>
      <c r="O224" s="45" t="s">
        <v>199</v>
      </c>
      <c r="P224" s="45" t="s">
        <v>199</v>
      </c>
      <c r="Q224" s="45" t="s">
        <v>199</v>
      </c>
      <c r="R224" s="45" t="s">
        <v>199</v>
      </c>
      <c r="S224" s="45" t="s">
        <v>199</v>
      </c>
      <c r="T224" s="47" t="s">
        <v>4247</v>
      </c>
      <c r="U224" s="39" t="s">
        <v>3764</v>
      </c>
      <c r="V224" s="39" t="str">
        <f>CONCATENATE(U224, D224)</f>
        <v>https://example.websquare.kr/websquare/websquare.html?w2xPath=/guide/GridView/_General/setDataType_date_GridView.xml</v>
      </c>
      <c r="W224" s="39" t="s">
        <v>4512</v>
      </c>
      <c r="X224" s="39" t="str">
        <f>CONCATENATE(W224, D224)</f>
        <v>https://docs.inswave.com/websquare/websquare.html?w2xPath=/support/api/guide/GridView/_General/setDataType_date_GridView.xml</v>
      </c>
      <c r="Y224" s="48" t="str">
        <f>HYPERLINK(X224, H224)</f>
        <v>컬럼에 datatType='date' 설정하기</v>
      </c>
      <c r="Z224" s="4" t="str">
        <f>HYPERLINK(V224,H224)</f>
        <v>컬럼에 datatType='date' 설정하기</v>
      </c>
      <c r="AA224" s="4" t="str">
        <f>HYPERLINK(J224,H224)</f>
        <v>컬럼에 datatType='date' 설정하기</v>
      </c>
      <c r="AB224" s="39" t="str">
        <f t="shared" si="7"/>
        <v>https://docs.inswave.com/websquare/websquare.html?w2xPath=/support/api/guide/GridView/_General/setDataType_date_GridView.xml</v>
      </c>
    </row>
    <row r="225" spans="1:30" s="39" customFormat="1" ht="119" x14ac:dyDescent="0.45">
      <c r="A225" s="37">
        <f>SUBTOTAL(3, $T$2:T225)</f>
        <v>164</v>
      </c>
      <c r="B225" s="38" t="s">
        <v>0</v>
      </c>
      <c r="C225" s="39" t="s">
        <v>1098</v>
      </c>
      <c r="D225" s="39" t="s">
        <v>591</v>
      </c>
      <c r="E225" s="40" t="s">
        <v>590</v>
      </c>
      <c r="F225" s="41" t="s">
        <v>589</v>
      </c>
      <c r="G225" s="39" t="s">
        <v>593</v>
      </c>
      <c r="H225" s="53" t="s">
        <v>4015</v>
      </c>
      <c r="I225" s="44" t="s">
        <v>624</v>
      </c>
      <c r="J225" s="14" t="s">
        <v>592</v>
      </c>
      <c r="K225" s="22" t="s">
        <v>2882</v>
      </c>
      <c r="L225" s="46">
        <v>44562</v>
      </c>
      <c r="M225" s="14"/>
      <c r="N225" s="45" t="s">
        <v>199</v>
      </c>
      <c r="O225" s="45" t="s">
        <v>199</v>
      </c>
      <c r="P225" s="47" t="s">
        <v>199</v>
      </c>
      <c r="Q225" s="45" t="s">
        <v>199</v>
      </c>
      <c r="R225" s="45" t="s">
        <v>199</v>
      </c>
      <c r="S225" s="45" t="s">
        <v>199</v>
      </c>
      <c r="T225" s="47" t="s">
        <v>4247</v>
      </c>
      <c r="U225" s="39" t="s">
        <v>3764</v>
      </c>
      <c r="V225" s="39" t="str">
        <f>CONCATENATE(U225, D225)</f>
        <v>https://example.websquare.kr/websquare/websquare.html?w2xPath=/guide/GridView/_General/setColumnEnableColumn_GridView.xml</v>
      </c>
      <c r="W225" s="39" t="s">
        <v>4512</v>
      </c>
      <c r="X225" s="39" t="str">
        <f>CONCATENATE(W225, D225)</f>
        <v>https://docs.inswave.com/websquare/websquare.html?w2xPath=/support/api/guide/GridView/_General/setColumnEnableColumn_GridView.xml</v>
      </c>
      <c r="Y225" s="48" t="str">
        <f>HYPERLINK(X225, H225)</f>
        <v>컬럼의 일부 선택 항목 비활성화하기</v>
      </c>
      <c r="Z225" s="4" t="str">
        <f>HYPERLINK(V225,H225)</f>
        <v>컬럼의 일부 선택 항목 비활성화하기</v>
      </c>
      <c r="AA225" s="4" t="str">
        <f>HYPERLINK(J225,H225)</f>
        <v>컬럼의 일부 선택 항목 비활성화하기</v>
      </c>
      <c r="AB225" s="39" t="str">
        <f t="shared" si="7"/>
        <v>https://docs.inswave.com/websquare/websquare.html?w2xPath=/support/api/guide/GridView/_General/setColumnEnableColumn_GridView.xml</v>
      </c>
    </row>
    <row r="226" spans="1:30" s="39" customFormat="1" ht="119" x14ac:dyDescent="0.45">
      <c r="A226" s="37">
        <f>SUBTOTAL(3, $T$2:T226)</f>
        <v>165</v>
      </c>
      <c r="B226" s="38" t="s">
        <v>0</v>
      </c>
      <c r="C226" s="39" t="s">
        <v>1098</v>
      </c>
      <c r="D226" s="39" t="s">
        <v>3756</v>
      </c>
      <c r="E226" s="40" t="s">
        <v>3233</v>
      </c>
      <c r="F226" s="41" t="s">
        <v>595</v>
      </c>
      <c r="G226" s="39" t="s">
        <v>596</v>
      </c>
      <c r="H226" s="53" t="s">
        <v>3976</v>
      </c>
      <c r="I226" s="44" t="s">
        <v>625</v>
      </c>
      <c r="J226" s="14" t="s">
        <v>594</v>
      </c>
      <c r="K226" s="22" t="s">
        <v>2852</v>
      </c>
      <c r="L226" s="46">
        <v>43770</v>
      </c>
      <c r="M226" s="14"/>
      <c r="N226" s="45" t="s">
        <v>199</v>
      </c>
      <c r="O226" s="45" t="s">
        <v>199</v>
      </c>
      <c r="P226" s="47" t="s">
        <v>199</v>
      </c>
      <c r="Q226" s="45" t="s">
        <v>199</v>
      </c>
      <c r="R226" s="45" t="s">
        <v>199</v>
      </c>
      <c r="S226" s="45" t="s">
        <v>199</v>
      </c>
      <c r="T226" s="47" t="s">
        <v>4247</v>
      </c>
      <c r="U226" s="39" t="s">
        <v>3764</v>
      </c>
      <c r="V226" s="39" t="str">
        <f>CONCATENATE(U226, D226)</f>
        <v>https://example.websquare.kr/websquare/websquare.html?w2xPath=/guide/GridView/_General/setColumnVisibleColumn_GridView/setColumnVisibleColumn_GridView.xml</v>
      </c>
      <c r="W226" s="39" t="s">
        <v>4512</v>
      </c>
      <c r="X226" s="39" t="str">
        <f>CONCATENATE(W226, D226)</f>
        <v>https://docs.inswave.com/websquare/websquare.html?w2xPath=/support/api/guide/GridView/_General/setColumnVisibleColumn_GridView/setColumnVisibleColumn_GridView.xml</v>
      </c>
      <c r="Y226" s="48" t="str">
        <f>HYPERLINK(X226, H226)</f>
        <v>컬럼의 일부 선택 항목 숨기기</v>
      </c>
      <c r="Z226" s="4" t="str">
        <f>HYPERLINK(V226,H226)</f>
        <v>컬럼의 일부 선택 항목 숨기기</v>
      </c>
      <c r="AA226" s="4" t="str">
        <f>HYPERLINK(J226,H226)</f>
        <v>컬럼의 일부 선택 항목 숨기기</v>
      </c>
      <c r="AB226" s="39" t="str">
        <f t="shared" si="7"/>
        <v>https://docs.inswave.com/websquare/websquare.html?w2xPath=/support/api/guide/GridView/_General/setColumnVisibleColumn_GridView/setColumnVisibleColumn_GridView.xml</v>
      </c>
    </row>
    <row r="227" spans="1:30" s="39" customFormat="1" ht="102" x14ac:dyDescent="0.45">
      <c r="A227" s="37">
        <f>SUBTOTAL(3, $T$2:T227)</f>
        <v>166</v>
      </c>
      <c r="B227" s="38" t="s">
        <v>0</v>
      </c>
      <c r="C227" s="39" t="s">
        <v>1098</v>
      </c>
      <c r="D227" s="39" t="s">
        <v>1381</v>
      </c>
      <c r="E227" s="40" t="s">
        <v>4037</v>
      </c>
      <c r="F227" s="41" t="s">
        <v>1383</v>
      </c>
      <c r="G227" s="39" t="s">
        <v>1382</v>
      </c>
      <c r="H227" s="53" t="s">
        <v>4036</v>
      </c>
      <c r="I227" s="44" t="s">
        <v>1393</v>
      </c>
      <c r="J227" s="14" t="s">
        <v>2318</v>
      </c>
      <c r="K227" s="22" t="s">
        <v>2890</v>
      </c>
      <c r="L227" s="46">
        <v>43831</v>
      </c>
      <c r="M227" s="46" t="s">
        <v>199</v>
      </c>
      <c r="N227" s="45" t="s">
        <v>199</v>
      </c>
      <c r="O227" s="45" t="s">
        <v>199</v>
      </c>
      <c r="P227" s="45" t="s">
        <v>199</v>
      </c>
      <c r="Q227" s="45" t="s">
        <v>199</v>
      </c>
      <c r="R227" s="45" t="s">
        <v>199</v>
      </c>
      <c r="S227" s="45" t="s">
        <v>199</v>
      </c>
      <c r="T227" s="47" t="s">
        <v>4247</v>
      </c>
      <c r="U227" s="39" t="s">
        <v>3764</v>
      </c>
      <c r="V227" s="39" t="str">
        <f>CONCATENATE(U227, D227)</f>
        <v>https://example.websquare.kr/websquare/websquare.html?w2xPath=/guide/GridView/_General/tooltipDisplay_tooltipShowAlways_GridView.xml</v>
      </c>
      <c r="W227" s="39" t="s">
        <v>4512</v>
      </c>
      <c r="X227" s="39" t="str">
        <f>CONCATENATE(W227, D227)</f>
        <v>https://docs.inswave.com/websquare/websquare.html?w2xPath=/support/api/guide/GridView/_General/tooltipDisplay_tooltipShowAlways_GridView.xml</v>
      </c>
      <c r="Y227" s="48" t="str">
        <f>HYPERLINK(X227, H227)</f>
        <v>툴팁 표시하기</v>
      </c>
      <c r="Z227" s="4" t="str">
        <f>HYPERLINK(V227,H227)</f>
        <v>툴팁 표시하기</v>
      </c>
      <c r="AA227" s="4" t="str">
        <f>HYPERLINK(J227,H227)</f>
        <v>툴팁 표시하기</v>
      </c>
      <c r="AB227" s="39" t="str">
        <f t="shared" si="7"/>
        <v>https://docs.inswave.com/websquare/websquare.html?w2xPath=/support/api/guide/GridView/_General/tooltipDisplay_tooltipShowAlways_GridView.xml</v>
      </c>
      <c r="AC227" s="45"/>
      <c r="AD227" s="45"/>
    </row>
    <row r="228" spans="1:30" s="39" customFormat="1" ht="102" x14ac:dyDescent="0.45">
      <c r="A228" s="37">
        <f>SUBTOTAL(3, $T$2:T228)</f>
        <v>167</v>
      </c>
      <c r="B228" s="38" t="s">
        <v>1814</v>
      </c>
      <c r="C228" s="39" t="s">
        <v>1815</v>
      </c>
      <c r="D228" s="39" t="s">
        <v>3348</v>
      </c>
      <c r="E228" s="41" t="s">
        <v>4038</v>
      </c>
      <c r="F228" s="41" t="s">
        <v>3345</v>
      </c>
      <c r="G228" s="39" t="s">
        <v>3347</v>
      </c>
      <c r="H228" s="58" t="s">
        <v>4430</v>
      </c>
      <c r="I228" s="44" t="s">
        <v>3346</v>
      </c>
      <c r="J228" s="14" t="s">
        <v>3355</v>
      </c>
      <c r="K228" s="23" t="s">
        <v>3349</v>
      </c>
      <c r="L228" s="46">
        <v>45597</v>
      </c>
      <c r="M228" s="50" t="s">
        <v>199</v>
      </c>
      <c r="N228" s="45"/>
      <c r="O228" s="45"/>
      <c r="P228" s="45"/>
      <c r="Q228" s="45"/>
      <c r="R228" s="45"/>
      <c r="S228" s="45"/>
      <c r="T228" s="47" t="s">
        <v>4247</v>
      </c>
      <c r="U228" s="39" t="s">
        <v>3764</v>
      </c>
      <c r="V228" s="39" t="str">
        <f>CONCATENATE(U228, D228)</f>
        <v>https://example.websquare.kr/websquare/websquare.html?w2xPath=/guide/GridView/_General/tooltipHideInputType_GridView.xml</v>
      </c>
      <c r="W228" s="39" t="s">
        <v>4512</v>
      </c>
      <c r="X228" s="39" t="str">
        <f>CONCATENATE(W228, D228)</f>
        <v>https://docs.inswave.com/websquare/websquare.html?w2xPath=/support/api/guide/GridView/_General/tooltipHideInputType_GridView.xml</v>
      </c>
      <c r="Y228" s="48" t="str">
        <f>HYPERLINK(X228, H228)</f>
        <v>툴팁을 표시하지 않을 컬럼 지정</v>
      </c>
      <c r="Z228" s="4" t="str">
        <f>HYPERLINK(V228,H228)</f>
        <v>툴팁을 표시하지 않을 컬럼 지정</v>
      </c>
      <c r="AA228" s="4" t="str">
        <f>HYPERLINK(J228,H228)</f>
        <v>툴팁을 표시하지 않을 컬럼 지정</v>
      </c>
      <c r="AB228" s="39" t="str">
        <f t="shared" si="7"/>
        <v>https://docs.inswave.com/websquare/websquare.html?w2xPath=/support/api/guide/GridView/_General/tooltipHideInputType_GridView.xml</v>
      </c>
    </row>
    <row r="229" spans="1:30" s="39" customFormat="1" ht="102" x14ac:dyDescent="0.45">
      <c r="A229" s="37">
        <f>SUBTOTAL(3, $T$2:T229)</f>
        <v>168</v>
      </c>
      <c r="B229" s="38" t="s">
        <v>1814</v>
      </c>
      <c r="C229" s="39" t="s">
        <v>1815</v>
      </c>
      <c r="D229" s="39" t="s">
        <v>3992</v>
      </c>
      <c r="E229" s="40" t="s">
        <v>3993</v>
      </c>
      <c r="F229" s="41" t="s">
        <v>2706</v>
      </c>
      <c r="G229" s="39" t="s">
        <v>2707</v>
      </c>
      <c r="H229" s="58" t="s">
        <v>4431</v>
      </c>
      <c r="I229" s="44" t="s">
        <v>2708</v>
      </c>
      <c r="J229" s="14" t="s">
        <v>2709</v>
      </c>
      <c r="K229" s="22" t="s">
        <v>2871</v>
      </c>
      <c r="L229" s="46">
        <v>45413</v>
      </c>
      <c r="M229" s="14"/>
      <c r="N229" s="45"/>
      <c r="O229" s="45"/>
      <c r="P229" s="45"/>
      <c r="Q229" s="45" t="s">
        <v>199</v>
      </c>
      <c r="R229" s="45" t="s">
        <v>199</v>
      </c>
      <c r="S229" s="45" t="s">
        <v>199</v>
      </c>
      <c r="T229" s="47" t="s">
        <v>4247</v>
      </c>
      <c r="U229" s="39" t="s">
        <v>3764</v>
      </c>
      <c r="V229" s="39" t="str">
        <f>CONCATENATE(U229, D229)</f>
        <v>https://example.websquare.kr/websquare/websquare.html?w2xPath=/guide/GridView/_General/fixedColumn_columnMove_fixedColumnNoMove_GridView.xml</v>
      </c>
      <c r="W229" s="39" t="s">
        <v>4512</v>
      </c>
      <c r="X229" s="39" t="str">
        <f>CONCATENATE(W229, D229)</f>
        <v>https://docs.inswave.com/websquare/websquare.html?w2xPath=/support/api/guide/GridView/_General/fixedColumn_columnMove_fixedColumnNoMove_GridView.xml</v>
      </c>
      <c r="Y229" s="48" t="str">
        <f>HYPERLINK(X229, H229)</f>
        <v>틀 고정 컬럼 이동 허용 및 방지</v>
      </c>
      <c r="Z229" s="4" t="str">
        <f>HYPERLINK(V229,H229)</f>
        <v>틀 고정 컬럼 이동 허용 및 방지</v>
      </c>
      <c r="AA229" s="4" t="str">
        <f>HYPERLINK(J229,H229)</f>
        <v>틀 고정 컬럼 이동 허용 및 방지</v>
      </c>
      <c r="AB229" s="39" t="str">
        <f t="shared" si="7"/>
        <v>https://docs.inswave.com/websquare/websquare.html?w2xPath=/support/api/guide/GridView/_General/fixedColumn_columnMove_fixedColumnNoMove_GridView.xml</v>
      </c>
    </row>
    <row r="230" spans="1:30" s="39" customFormat="1" ht="102" x14ac:dyDescent="0.45">
      <c r="A230" s="37">
        <f>SUBTOTAL(3, $T$2:T230)</f>
        <v>169</v>
      </c>
      <c r="B230" s="38" t="s">
        <v>0</v>
      </c>
      <c r="C230" s="39" t="s">
        <v>1098</v>
      </c>
      <c r="D230" s="39" t="s">
        <v>1392</v>
      </c>
      <c r="E230" s="40" t="s">
        <v>3991</v>
      </c>
      <c r="F230" s="41" t="s">
        <v>2217</v>
      </c>
      <c r="G230" s="39" t="s">
        <v>1390</v>
      </c>
      <c r="H230" s="49" t="s">
        <v>3990</v>
      </c>
      <c r="I230" s="39" t="s">
        <v>1391</v>
      </c>
      <c r="J230" s="14" t="s">
        <v>2219</v>
      </c>
      <c r="K230" s="22" t="s">
        <v>2873</v>
      </c>
      <c r="L230" s="46">
        <v>43862</v>
      </c>
      <c r="M230" s="45" t="s">
        <v>199</v>
      </c>
      <c r="N230" s="45" t="s">
        <v>199</v>
      </c>
      <c r="O230" s="45" t="s">
        <v>199</v>
      </c>
      <c r="P230" s="45" t="s">
        <v>199</v>
      </c>
      <c r="Q230" s="45" t="s">
        <v>199</v>
      </c>
      <c r="R230" s="45" t="s">
        <v>199</v>
      </c>
      <c r="S230" s="45" t="s">
        <v>199</v>
      </c>
      <c r="T230" s="47" t="s">
        <v>4247</v>
      </c>
      <c r="U230" s="39" t="s">
        <v>3764</v>
      </c>
      <c r="V230" s="39" t="str">
        <f>CONCATENATE(U230, D230)</f>
        <v>https://example.websquare.kr/websquare/websquare.html?w2xPath=/guide/GridView/_General/focusFlow_GridView.xml</v>
      </c>
      <c r="W230" s="39" t="s">
        <v>4512</v>
      </c>
      <c r="X230" s="39" t="str">
        <f>CONCATENATE(W230, D230)</f>
        <v>https://docs.inswave.com/websquare/websquare.html?w2xPath=/support/api/guide/GridView/_General/focusFlow_GridView.xml</v>
      </c>
      <c r="Y230" s="48" t="str">
        <f>HYPERLINK(X230, H230)</f>
        <v>포커스 이동 방향 설정</v>
      </c>
      <c r="Z230" s="4" t="str">
        <f>HYPERLINK(V230,H230)</f>
        <v>포커스 이동 방향 설정</v>
      </c>
      <c r="AA230" s="4" t="str">
        <f>HYPERLINK(J230,H230)</f>
        <v>포커스 이동 방향 설정</v>
      </c>
      <c r="AB230" s="39" t="str">
        <f t="shared" si="7"/>
        <v>https://docs.inswave.com/websquare/websquare.html?w2xPath=/support/api/guide/GridView/_General/focusFlow_GridView.xml</v>
      </c>
      <c r="AC230" s="45"/>
      <c r="AD230" s="45"/>
    </row>
    <row r="231" spans="1:30" s="39" customFormat="1" ht="102" x14ac:dyDescent="0.45">
      <c r="A231" s="37">
        <f>SUBTOTAL(3, $T$2:T231)</f>
        <v>170</v>
      </c>
      <c r="B231" s="38" t="s">
        <v>0</v>
      </c>
      <c r="C231" s="39" t="s">
        <v>1098</v>
      </c>
      <c r="D231" s="39" t="s">
        <v>1403</v>
      </c>
      <c r="E231" s="40" t="s">
        <v>3983</v>
      </c>
      <c r="F231" s="41" t="s">
        <v>2229</v>
      </c>
      <c r="G231" s="39" t="s">
        <v>2243</v>
      </c>
      <c r="H231" s="53" t="s">
        <v>3984</v>
      </c>
      <c r="I231" s="39" t="s">
        <v>41</v>
      </c>
      <c r="J231" s="14" t="s">
        <v>2228</v>
      </c>
      <c r="K231" s="22" t="s">
        <v>2892</v>
      </c>
      <c r="L231" s="46">
        <v>43891</v>
      </c>
      <c r="M231" s="14"/>
      <c r="N231" s="45" t="s">
        <v>199</v>
      </c>
      <c r="O231" s="45" t="s">
        <v>199</v>
      </c>
      <c r="P231" s="45" t="s">
        <v>199</v>
      </c>
      <c r="Q231" s="45" t="s">
        <v>199</v>
      </c>
      <c r="R231" s="45" t="s">
        <v>199</v>
      </c>
      <c r="S231" s="45" t="s">
        <v>199</v>
      </c>
      <c r="T231" s="47" t="s">
        <v>4247</v>
      </c>
      <c r="U231" s="39" t="s">
        <v>3764</v>
      </c>
      <c r="V231" s="39" t="str">
        <f>CONCATENATE(U231, D231)</f>
        <v>https://example.websquare.kr/websquare/websquare.html?w2xPath=/guide/GridView/_General/visibleRowNum_GridView.xml</v>
      </c>
      <c r="W231" s="39" t="s">
        <v>4512</v>
      </c>
      <c r="X231" s="39" t="str">
        <f>CONCATENATE(W231, D231)</f>
        <v>https://docs.inswave.com/websquare/websquare.html?w2xPath=/support/api/guide/GridView/_General/visibleRowNum_GridView.xml</v>
      </c>
      <c r="Y231" s="48" t="str">
        <f>HYPERLINK(X231, H231)</f>
        <v>표시할 행 수 지정 (속성 이용)</v>
      </c>
      <c r="Z231" s="4" t="str">
        <f>HYPERLINK(V231,H231)</f>
        <v>표시할 행 수 지정 (속성 이용)</v>
      </c>
      <c r="AA231" s="4" t="str">
        <f>HYPERLINK(J231,H231)</f>
        <v>표시할 행 수 지정 (속성 이용)</v>
      </c>
      <c r="AB231" s="39" t="str">
        <f t="shared" si="7"/>
        <v>https://docs.inswave.com/websquare/websquare.html?w2xPath=/support/api/guide/GridView/_General/visibleRowNum_GridView.xml</v>
      </c>
    </row>
    <row r="232" spans="1:30" s="39" customFormat="1" ht="102" x14ac:dyDescent="0.45">
      <c r="A232" s="37">
        <f>SUBTOTAL(3, $T$2:T232)</f>
        <v>171</v>
      </c>
      <c r="B232" s="38" t="s">
        <v>0</v>
      </c>
      <c r="C232" s="39" t="s">
        <v>1098</v>
      </c>
      <c r="D232" s="39" t="s">
        <v>1791</v>
      </c>
      <c r="E232" s="40" t="s">
        <v>1798</v>
      </c>
      <c r="F232" s="41" t="s">
        <v>1790</v>
      </c>
      <c r="G232" s="39" t="s">
        <v>1785</v>
      </c>
      <c r="H232" s="53" t="s">
        <v>3985</v>
      </c>
      <c r="I232" s="44" t="s">
        <v>1808</v>
      </c>
      <c r="J232" s="14" t="s">
        <v>1795</v>
      </c>
      <c r="K232" s="22" t="s">
        <v>2889</v>
      </c>
      <c r="L232" s="46">
        <v>44835</v>
      </c>
      <c r="M232" s="45" t="s">
        <v>199</v>
      </c>
      <c r="N232" s="45" t="s">
        <v>199</v>
      </c>
      <c r="O232" s="45" t="s">
        <v>199</v>
      </c>
      <c r="P232" s="45" t="s">
        <v>199</v>
      </c>
      <c r="Q232" s="45" t="s">
        <v>199</v>
      </c>
      <c r="R232" s="45" t="s">
        <v>199</v>
      </c>
      <c r="S232" s="45" t="s">
        <v>199</v>
      </c>
      <c r="T232" s="47" t="s">
        <v>4247</v>
      </c>
      <c r="U232" s="39" t="s">
        <v>3764</v>
      </c>
      <c r="V232" s="39" t="str">
        <f>CONCATENATE(U232, D232)</f>
        <v>https://example.websquare.kr/websquare/websquare.html?w2xPath=/guide/GridView/_General/setVisibleRowNum_GridView.xml</v>
      </c>
      <c r="W232" s="39" t="s">
        <v>4512</v>
      </c>
      <c r="X232" s="39" t="str">
        <f>CONCATENATE(W232, D232)</f>
        <v>https://docs.inswave.com/websquare/websquare.html?w2xPath=/support/api/guide/GridView/_General/setVisibleRowNum_GridView.xml</v>
      </c>
      <c r="Y232" s="48" t="str">
        <f>HYPERLINK(X232, H232)</f>
        <v>표시할 행 수 지정 (함수 이용)</v>
      </c>
      <c r="Z232" s="4" t="str">
        <f>HYPERLINK(V232,H232)</f>
        <v>표시할 행 수 지정 (함수 이용)</v>
      </c>
      <c r="AA232" s="4" t="str">
        <f>HYPERLINK(J232,H232)</f>
        <v>표시할 행 수 지정 (함수 이용)</v>
      </c>
      <c r="AB232" s="39" t="str">
        <f t="shared" si="7"/>
        <v>https://docs.inswave.com/websquare/websquare.html?w2xPath=/support/api/guide/GridView/_General/setVisibleRowNum_GridView.xml</v>
      </c>
    </row>
    <row r="233" spans="1:30" s="39" customFormat="1" ht="102" x14ac:dyDescent="0.45">
      <c r="A233" s="37">
        <f>SUBTOTAL(3, $T$2:T233)</f>
        <v>172</v>
      </c>
      <c r="B233" s="38" t="s">
        <v>0</v>
      </c>
      <c r="C233" s="39" t="s">
        <v>1098</v>
      </c>
      <c r="D233" s="39" t="s">
        <v>1375</v>
      </c>
      <c r="E233" s="40" t="s">
        <v>4018</v>
      </c>
      <c r="F233" s="41" t="s">
        <v>1374</v>
      </c>
      <c r="G233" s="39" t="s">
        <v>1373</v>
      </c>
      <c r="H233" s="53" t="s">
        <v>4017</v>
      </c>
      <c r="I233" s="44" t="s">
        <v>1371</v>
      </c>
      <c r="J233" s="14" t="s">
        <v>2313</v>
      </c>
      <c r="K233" s="22" t="s">
        <v>2863</v>
      </c>
      <c r="L233" s="46">
        <v>43831</v>
      </c>
      <c r="M233" s="50" t="s">
        <v>199</v>
      </c>
      <c r="N233" s="45" t="s">
        <v>199</v>
      </c>
      <c r="O233" s="45" t="s">
        <v>199</v>
      </c>
      <c r="P233" s="45" t="s">
        <v>199</v>
      </c>
      <c r="Q233" s="45" t="s">
        <v>199</v>
      </c>
      <c r="R233" s="45" t="s">
        <v>199</v>
      </c>
      <c r="S233" s="45" t="s">
        <v>199</v>
      </c>
      <c r="T233" s="47" t="s">
        <v>4247</v>
      </c>
      <c r="U233" s="39" t="s">
        <v>3764</v>
      </c>
      <c r="V233" s="39" t="str">
        <f>CONCATENATE(U233, D233)</f>
        <v>https://example.websquare.kr/websquare/websquare.html?w2xPath=/guide/GridView/_General/columnMove_columnMoveWithFooter_GridView.xml</v>
      </c>
      <c r="W233" s="39" t="s">
        <v>4512</v>
      </c>
      <c r="X233" s="39" t="str">
        <f>CONCATENATE(W233, D233)</f>
        <v>https://docs.inswave.com/websquare/websquare.html?w2xPath=/support/api/guide/GridView/_General/columnMove_columnMoveWithFooter_GridView.xml</v>
      </c>
      <c r="Y233" s="48" t="str">
        <f>HYPERLINK(X233, H233)</f>
        <v>푸터와 함께 컬럼 이동</v>
      </c>
      <c r="Z233" s="4" t="str">
        <f>HYPERLINK(V233,H233)</f>
        <v>푸터와 함께 컬럼 이동</v>
      </c>
      <c r="AA233" s="4" t="str">
        <f>HYPERLINK(J233,H233)</f>
        <v>푸터와 함께 컬럼 이동</v>
      </c>
      <c r="AB233" s="39" t="str">
        <f t="shared" si="7"/>
        <v>https://docs.inswave.com/websquare/websquare.html?w2xPath=/support/api/guide/GridView/_General/columnMove_columnMoveWithFooter_GridView.xml</v>
      </c>
    </row>
    <row r="234" spans="1:30" s="39" customFormat="1" ht="102" x14ac:dyDescent="0.45">
      <c r="A234" s="37">
        <f>SUBTOTAL(3, $T$2:T234)</f>
        <v>173</v>
      </c>
      <c r="B234" s="38" t="s">
        <v>0</v>
      </c>
      <c r="C234" s="39" t="s">
        <v>1098</v>
      </c>
      <c r="D234" s="39" t="s">
        <v>819</v>
      </c>
      <c r="E234" s="40" t="s">
        <v>880</v>
      </c>
      <c r="F234" s="41" t="s">
        <v>817</v>
      </c>
      <c r="G234" s="39" t="s">
        <v>815</v>
      </c>
      <c r="H234" s="53" t="s">
        <v>4004</v>
      </c>
      <c r="I234" s="44" t="s">
        <v>821</v>
      </c>
      <c r="J234" s="14" t="s">
        <v>816</v>
      </c>
      <c r="K234" s="22" t="s">
        <v>2858</v>
      </c>
      <c r="L234" s="46">
        <v>44621</v>
      </c>
      <c r="M234" s="50" t="s">
        <v>199</v>
      </c>
      <c r="N234" s="45" t="s">
        <v>199</v>
      </c>
      <c r="O234" s="45" t="s">
        <v>199</v>
      </c>
      <c r="P234" s="47" t="s">
        <v>199</v>
      </c>
      <c r="Q234" s="45" t="s">
        <v>199</v>
      </c>
      <c r="R234" s="45" t="s">
        <v>199</v>
      </c>
      <c r="S234" s="45" t="s">
        <v>199</v>
      </c>
      <c r="T234" s="47" t="s">
        <v>4247</v>
      </c>
      <c r="U234" s="39" t="s">
        <v>3764</v>
      </c>
      <c r="V234" s="39" t="str">
        <f>CONCATENATE(U234, D234)</f>
        <v>https://example.websquare.kr/websquare/websquare.html?w2xPath=/guide/GridView/_General/autoFitFilterList_gridView_column.xml</v>
      </c>
      <c r="W234" s="39" t="s">
        <v>4512</v>
      </c>
      <c r="X234" s="39" t="str">
        <f>CONCATENATE(W234, D234)</f>
        <v>https://docs.inswave.com/websquare/websquare.html?w2xPath=/support/api/guide/GridView/_General/autoFitFilterList_gridView_column.xml</v>
      </c>
      <c r="Y234" s="48" t="str">
        <f>HYPERLINK(X234, H234)</f>
        <v>필터 상자 폭 자동 맞춤</v>
      </c>
      <c r="Z234" s="4" t="str">
        <f>HYPERLINK(V234,H234)</f>
        <v>필터 상자 폭 자동 맞춤</v>
      </c>
      <c r="AA234" s="4" t="str">
        <f>HYPERLINK(J234,H234)</f>
        <v>필터 상자 폭 자동 맞춤</v>
      </c>
      <c r="AB234" s="39" t="str">
        <f t="shared" si="7"/>
        <v>https://docs.inswave.com/websquare/websquare.html?w2xPath=/support/api/guide/GridView/_General/autoFitFilterList_gridView_column.xml</v>
      </c>
    </row>
    <row r="235" spans="1:30" s="39" customFormat="1" ht="102" x14ac:dyDescent="0.45">
      <c r="A235" s="37">
        <f>SUBTOTAL(3, $T$2:T235)</f>
        <v>174</v>
      </c>
      <c r="B235" s="38" t="s">
        <v>0</v>
      </c>
      <c r="C235" s="39" t="s">
        <v>1098</v>
      </c>
      <c r="D235" s="39" t="s">
        <v>1285</v>
      </c>
      <c r="E235" s="40" t="s">
        <v>4027</v>
      </c>
      <c r="F235" s="41" t="s">
        <v>2459</v>
      </c>
      <c r="G235" s="44" t="s">
        <v>2472</v>
      </c>
      <c r="H235" s="53" t="s">
        <v>4026</v>
      </c>
      <c r="I235" s="44" t="s">
        <v>1284</v>
      </c>
      <c r="J235" s="14" t="s">
        <v>2471</v>
      </c>
      <c r="K235" s="22" t="s">
        <v>2878</v>
      </c>
      <c r="L235" s="46">
        <v>43739</v>
      </c>
      <c r="M235" s="45" t="s">
        <v>200</v>
      </c>
      <c r="N235" s="45" t="s">
        <v>199</v>
      </c>
      <c r="O235" s="45" t="s">
        <v>199</v>
      </c>
      <c r="P235" s="45" t="s">
        <v>199</v>
      </c>
      <c r="Q235" s="45" t="s">
        <v>199</v>
      </c>
      <c r="R235" s="45" t="s">
        <v>199</v>
      </c>
      <c r="S235" s="45" t="s">
        <v>199</v>
      </c>
      <c r="T235" s="47" t="s">
        <v>4247</v>
      </c>
      <c r="U235" s="39" t="s">
        <v>3764</v>
      </c>
      <c r="V235" s="39" t="str">
        <f>CONCATENATE(U235, D235)</f>
        <v>https://example.websquare.kr/websquare/websquare.html?w2xPath=/guide/GridView/_General/rowNumVisible_rowStatusVisible_Gridview.xml</v>
      </c>
      <c r="W235" s="39" t="s">
        <v>4512</v>
      </c>
      <c r="X235" s="39" t="str">
        <f>CONCATENATE(W235, D235)</f>
        <v>https://docs.inswave.com/websquare/websquare.html?w2xPath=/support/api/guide/GridView/_General/rowNumVisible_rowStatusVisible_Gridview.xml</v>
      </c>
      <c r="Y235" s="48" t="str">
        <f>HYPERLINK(X235, H235)</f>
        <v>행 번호 및 행 상태 표시 (속성 이용)</v>
      </c>
      <c r="Z235" s="4" t="str">
        <f>HYPERLINK(V235,H235)</f>
        <v>행 번호 및 행 상태 표시 (속성 이용)</v>
      </c>
      <c r="AA235" s="4" t="str">
        <f>HYPERLINK(J235,H235)</f>
        <v>행 번호 및 행 상태 표시 (속성 이용)</v>
      </c>
      <c r="AB235" s="39" t="str">
        <f t="shared" si="7"/>
        <v>https://docs.inswave.com/websquare/websquare.html?w2xPath=/support/api/guide/GridView/_General/rowNumVisible_rowStatusVisible_Gridview.xml</v>
      </c>
      <c r="AC235" s="45"/>
      <c r="AD235" s="45"/>
    </row>
    <row r="236" spans="1:30" s="39" customFormat="1" ht="102" x14ac:dyDescent="0.45">
      <c r="A236" s="37">
        <f>SUBTOTAL(3, $T$2:T236)</f>
        <v>175</v>
      </c>
      <c r="B236" s="38" t="s">
        <v>1814</v>
      </c>
      <c r="C236" s="39" t="s">
        <v>1815</v>
      </c>
      <c r="D236" s="39" t="s">
        <v>2164</v>
      </c>
      <c r="E236" s="40" t="s">
        <v>2152</v>
      </c>
      <c r="F236" s="41" t="s">
        <v>2149</v>
      </c>
      <c r="G236" s="39" t="s">
        <v>2153</v>
      </c>
      <c r="H236" s="53" t="s">
        <v>4025</v>
      </c>
      <c r="I236" s="44" t="s">
        <v>2170</v>
      </c>
      <c r="J236" s="14" t="s">
        <v>2175</v>
      </c>
      <c r="K236" s="22" t="s">
        <v>2887</v>
      </c>
      <c r="L236" s="46">
        <v>45047</v>
      </c>
      <c r="M236" s="14"/>
      <c r="N236" s="45" t="s">
        <v>199</v>
      </c>
      <c r="O236" s="45" t="s">
        <v>199</v>
      </c>
      <c r="P236" s="45" t="s">
        <v>199</v>
      </c>
      <c r="Q236" s="45" t="s">
        <v>199</v>
      </c>
      <c r="R236" s="45" t="s">
        <v>199</v>
      </c>
      <c r="S236" s="45" t="s">
        <v>199</v>
      </c>
      <c r="T236" s="47" t="s">
        <v>4247</v>
      </c>
      <c r="U236" s="39" t="s">
        <v>3764</v>
      </c>
      <c r="V236" s="39" t="str">
        <f>CONCATENATE(U236, D236)</f>
        <v>https://example.websquare.kr/websquare/websquare.html?w2xPath=/guide/GridView/_General/setRowNumVisible_GridView.xml</v>
      </c>
      <c r="W236" s="39" t="s">
        <v>4512</v>
      </c>
      <c r="X236" s="39" t="str">
        <f>CONCATENATE(W236, D236)</f>
        <v>https://docs.inswave.com/websquare/websquare.html?w2xPath=/support/api/guide/GridView/_General/setRowNumVisible_GridView.xml</v>
      </c>
      <c r="Y236" s="48" t="str">
        <f>HYPERLINK(X236, H236)</f>
        <v>행 번호 표시 (함수 이용)</v>
      </c>
      <c r="Z236" s="4" t="str">
        <f>HYPERLINK(V236,H236)</f>
        <v>행 번호 표시 (함수 이용)</v>
      </c>
      <c r="AA236" s="4" t="str">
        <f>HYPERLINK(J236,H236)</f>
        <v>행 번호 표시 (함수 이용)</v>
      </c>
      <c r="AB236" s="39" t="str">
        <f t="shared" si="7"/>
        <v>https://docs.inswave.com/websquare/websquare.html?w2xPath=/support/api/guide/GridView/_General/setRowNumVisible_GridView.xml</v>
      </c>
    </row>
    <row r="237" spans="1:30" s="39" customFormat="1" ht="102" hidden="1" x14ac:dyDescent="0.45">
      <c r="A237" s="37">
        <f>SUBTOTAL(3, $T$2:T237)</f>
        <v>175</v>
      </c>
      <c r="B237" s="38" t="s">
        <v>24</v>
      </c>
      <c r="C237" s="39" t="s">
        <v>24</v>
      </c>
      <c r="D237" s="39" t="s">
        <v>4358</v>
      </c>
      <c r="E237" s="40" t="s">
        <v>2062</v>
      </c>
      <c r="F237" s="41" t="s">
        <v>1396</v>
      </c>
      <c r="G237" s="39" t="s">
        <v>1394</v>
      </c>
      <c r="H237" s="52" t="s">
        <v>3608</v>
      </c>
      <c r="I237" s="44" t="s">
        <v>1395</v>
      </c>
      <c r="J237" s="14" t="s">
        <v>3444</v>
      </c>
      <c r="K237" s="22" t="s">
        <v>2969</v>
      </c>
      <c r="L237" s="46">
        <v>44136</v>
      </c>
      <c r="M237" s="14"/>
      <c r="N237" s="45" t="s">
        <v>199</v>
      </c>
      <c r="O237" s="45" t="s">
        <v>199</v>
      </c>
      <c r="P237" s="45" t="s">
        <v>199</v>
      </c>
      <c r="Q237" s="45" t="s">
        <v>199</v>
      </c>
      <c r="R237" s="45" t="s">
        <v>199</v>
      </c>
      <c r="S237" s="45" t="s">
        <v>199</v>
      </c>
      <c r="T237" s="47" t="s">
        <v>4515</v>
      </c>
      <c r="U237" s="39" t="s">
        <v>3764</v>
      </c>
      <c r="V237" s="39" t="str">
        <f>CONCATENATE(U237, D237)</f>
        <v>https://example.websquare.kr/websquare/websquare.html?w2xPath=/guide/_Page/initScript_Page/</v>
      </c>
      <c r="W237" s="39" t="s">
        <v>4220</v>
      </c>
      <c r="X237" s="39" t="str">
        <f>CONCATENATE(W237, D237)</f>
        <v>https://docs.inswave.com/websquare/websquare.html?w2xPath=/support/api/samples/_Page/initScript_Page/</v>
      </c>
      <c r="Y237" s="48"/>
      <c r="Z237" s="4"/>
      <c r="AA237" s="4" t="str">
        <f>HYPERLINK(J237,H237)</f>
        <v>onpageload 이전</v>
      </c>
      <c r="AB237" s="39" t="str">
        <f t="shared" si="7"/>
        <v>https://docs.inswave.com/websquare/websquare.html?w2xPath=/support/api/samples/_Page/initScript_Page/</v>
      </c>
    </row>
    <row r="238" spans="1:30" s="39" customFormat="1" ht="102" hidden="1" x14ac:dyDescent="0.45">
      <c r="A238" s="37">
        <f>SUBTOTAL(3, $T$2:T238)</f>
        <v>175</v>
      </c>
      <c r="B238" s="38" t="s">
        <v>24</v>
      </c>
      <c r="C238" s="44" t="s">
        <v>24</v>
      </c>
      <c r="D238" s="39" t="s">
        <v>4359</v>
      </c>
      <c r="E238" s="40" t="s">
        <v>1399</v>
      </c>
      <c r="F238" s="41" t="s">
        <v>1964</v>
      </c>
      <c r="G238" s="39" t="s">
        <v>1397</v>
      </c>
      <c r="H238" s="52" t="s">
        <v>3609</v>
      </c>
      <c r="I238" s="44" t="s">
        <v>1398</v>
      </c>
      <c r="J238" s="18" t="s">
        <v>3445</v>
      </c>
      <c r="K238" s="22" t="s">
        <v>2971</v>
      </c>
      <c r="L238" s="46">
        <v>44136</v>
      </c>
      <c r="M238" s="18"/>
      <c r="N238" s="45" t="s">
        <v>199</v>
      </c>
      <c r="O238" s="45" t="s">
        <v>199</v>
      </c>
      <c r="P238" s="45" t="s">
        <v>199</v>
      </c>
      <c r="Q238" s="45" t="s">
        <v>199</v>
      </c>
      <c r="R238" s="45" t="s">
        <v>199</v>
      </c>
      <c r="S238" s="45" t="s">
        <v>199</v>
      </c>
      <c r="T238" s="47" t="s">
        <v>4515</v>
      </c>
      <c r="U238" s="39" t="s">
        <v>3764</v>
      </c>
      <c r="V238" s="39" t="str">
        <f>CONCATENATE(U238, D238)</f>
        <v>https://example.websquare.kr/websquare/websquare.html?w2xPath=/guide/_Page/postScript_Page/</v>
      </c>
      <c r="W238" s="39" t="s">
        <v>4220</v>
      </c>
      <c r="X238" s="39" t="str">
        <f>CONCATENATE(W238, D238)</f>
        <v>https://docs.inswave.com/websquare/websquare.html?w2xPath=/support/api/samples/_Page/postScript_Page/</v>
      </c>
      <c r="Y238" s="48"/>
      <c r="Z238" s="4"/>
      <c r="AA238" s="4" t="str">
        <f>HYPERLINK(J238,H238)</f>
        <v>onpageload 이후</v>
      </c>
      <c r="AB238" s="39" t="str">
        <f t="shared" si="7"/>
        <v>https://docs.inswave.com/websquare/websquare.html?w2xPath=/support/api/samples/_Page/postScript_Page/</v>
      </c>
    </row>
    <row r="239" spans="1:30" s="39" customFormat="1" ht="119" x14ac:dyDescent="0.45">
      <c r="A239" s="37">
        <f>SUBTOTAL(3, $T$2:T239)</f>
        <v>176</v>
      </c>
      <c r="B239" s="51" t="s">
        <v>1814</v>
      </c>
      <c r="C239" s="39" t="s">
        <v>1098</v>
      </c>
      <c r="D239" s="39" t="s">
        <v>4418</v>
      </c>
      <c r="E239" s="40" t="s">
        <v>4029</v>
      </c>
      <c r="F239" s="41" t="s">
        <v>2248</v>
      </c>
      <c r="G239" s="44" t="s">
        <v>1318</v>
      </c>
      <c r="H239" s="53" t="s">
        <v>4028</v>
      </c>
      <c r="I239" s="44" t="s">
        <v>1319</v>
      </c>
      <c r="J239" s="14" t="s">
        <v>2249</v>
      </c>
      <c r="K239" s="22" t="s">
        <v>3278</v>
      </c>
      <c r="L239" s="46">
        <v>43862</v>
      </c>
      <c r="M239" s="14"/>
      <c r="N239" s="45" t="s">
        <v>199</v>
      </c>
      <c r="O239" s="45" t="s">
        <v>199</v>
      </c>
      <c r="P239" s="45" t="s">
        <v>199</v>
      </c>
      <c r="Q239" s="45" t="s">
        <v>199</v>
      </c>
      <c r="R239" s="45" t="s">
        <v>199</v>
      </c>
      <c r="S239" s="45" t="s">
        <v>199</v>
      </c>
      <c r="T239" s="47" t="s">
        <v>4247</v>
      </c>
      <c r="U239" s="39" t="s">
        <v>3764</v>
      </c>
      <c r="V239" s="39" t="str">
        <f>CONCATENATE(U239, D239)</f>
        <v>https://example.websquare.kr/websquare/websquare.html?w2xPath=/guide/GridView/_General/rowNumVisible_rowNumHeaderValue_rowNumWidth_rowNumBackgroundColor_GridView.xml</v>
      </c>
      <c r="W239" s="39" t="s">
        <v>4512</v>
      </c>
      <c r="X239" s="39" t="str">
        <f>CONCATENATE(W239, D239)</f>
        <v>https://docs.inswave.com/websquare/websquare.html?w2xPath=/support/api/guide/GridView/_General/rowNumVisible_rowNumHeaderValue_rowNumWidth_rowNumBackgroundColor_GridView.xml</v>
      </c>
      <c r="Y239" s="48" t="str">
        <f>HYPERLINK(X239, H239)</f>
        <v>행 번호 헤더 설정</v>
      </c>
      <c r="Z239" s="4" t="str">
        <f>HYPERLINK(V239,H239)</f>
        <v>행 번호 헤더 설정</v>
      </c>
      <c r="AA239" s="4" t="str">
        <f>HYPERLINK(J239,H239)</f>
        <v>행 번호 헤더 설정</v>
      </c>
      <c r="AB239" s="39" t="str">
        <f t="shared" si="7"/>
        <v>https://docs.inswave.com/websquare/websquare.html?w2xPath=/support/api/guide/GridView/_General/rowNumVisible_rowNumHeaderValue_rowNumWidth_rowNumBackgroundColor_GridView.xml</v>
      </c>
      <c r="AC239" s="45"/>
      <c r="AD239" s="45"/>
    </row>
    <row r="240" spans="1:30" s="39" customFormat="1" ht="102" x14ac:dyDescent="0.45">
      <c r="A240" s="37">
        <f>SUBTOTAL(3, $T$2:T240)</f>
        <v>177</v>
      </c>
      <c r="B240" s="38" t="s">
        <v>1814</v>
      </c>
      <c r="C240" s="39" t="s">
        <v>1815</v>
      </c>
      <c r="D240" s="39" t="s">
        <v>2165</v>
      </c>
      <c r="E240" s="40" t="s">
        <v>2151</v>
      </c>
      <c r="F240" s="41" t="s">
        <v>2150</v>
      </c>
      <c r="G240" s="44" t="s">
        <v>2169</v>
      </c>
      <c r="H240" s="53" t="s">
        <v>4034</v>
      </c>
      <c r="I240" s="44" t="s">
        <v>2154</v>
      </c>
      <c r="J240" s="14" t="s">
        <v>2174</v>
      </c>
      <c r="K240" s="22" t="s">
        <v>2888</v>
      </c>
      <c r="L240" s="46">
        <v>45047</v>
      </c>
      <c r="M240" s="14"/>
      <c r="N240" s="45" t="s">
        <v>199</v>
      </c>
      <c r="O240" s="45" t="s">
        <v>199</v>
      </c>
      <c r="P240" s="45" t="s">
        <v>199</v>
      </c>
      <c r="Q240" s="45" t="s">
        <v>199</v>
      </c>
      <c r="R240" s="45" t="s">
        <v>199</v>
      </c>
      <c r="S240" s="45" t="s">
        <v>199</v>
      </c>
      <c r="T240" s="47" t="s">
        <v>4247</v>
      </c>
      <c r="U240" s="39" t="s">
        <v>3764</v>
      </c>
      <c r="V240" s="39" t="str">
        <f>CONCATENATE(U240, D240)</f>
        <v>https://example.websquare.kr/websquare/websquare.html?w2xPath=/guide/GridView/_General/setRowStatusVisible_GridView.xml</v>
      </c>
      <c r="W240" s="39" t="s">
        <v>4512</v>
      </c>
      <c r="X240" s="39" t="str">
        <f>CONCATENATE(W240, D240)</f>
        <v>https://docs.inswave.com/websquare/websquare.html?w2xPath=/support/api/guide/GridView/_General/setRowStatusVisible_GridView.xml</v>
      </c>
      <c r="Y240" s="48" t="str">
        <f>HYPERLINK(X240, H240)</f>
        <v>행 상태 표시 (함수 이용)</v>
      </c>
      <c r="Z240" s="4" t="str">
        <f>HYPERLINK(V240,H240)</f>
        <v>행 상태 표시 (함수 이용)</v>
      </c>
      <c r="AA240" s="4" t="str">
        <f>HYPERLINK(J240,H240)</f>
        <v>행 상태 표시 (함수 이용)</v>
      </c>
      <c r="AB240" s="39" t="str">
        <f t="shared" si="7"/>
        <v>https://docs.inswave.com/websquare/websquare.html?w2xPath=/support/api/guide/GridView/_General/setRowStatusVisible_GridView.xml</v>
      </c>
    </row>
    <row r="241" spans="1:30" s="39" customFormat="1" ht="102" x14ac:dyDescent="0.45">
      <c r="A241" s="37">
        <f>SUBTOTAL(3, $T$2:T241)</f>
        <v>178</v>
      </c>
      <c r="B241" s="51" t="s">
        <v>1814</v>
      </c>
      <c r="C241" s="39" t="s">
        <v>1098</v>
      </c>
      <c r="D241" s="39" t="s">
        <v>1321</v>
      </c>
      <c r="E241" s="40" t="s">
        <v>4031</v>
      </c>
      <c r="F241" s="41" t="s">
        <v>1320</v>
      </c>
      <c r="G241" s="44" t="s">
        <v>1317</v>
      </c>
      <c r="H241" s="53" t="s">
        <v>4030</v>
      </c>
      <c r="I241" s="44" t="s">
        <v>1295</v>
      </c>
      <c r="J241" s="14" t="s">
        <v>2250</v>
      </c>
      <c r="K241" s="22" t="s">
        <v>2879</v>
      </c>
      <c r="L241" s="46">
        <v>43862</v>
      </c>
      <c r="M241" s="14"/>
      <c r="N241" s="45" t="s">
        <v>199</v>
      </c>
      <c r="O241" s="45" t="s">
        <v>199</v>
      </c>
      <c r="P241" s="45" t="s">
        <v>199</v>
      </c>
      <c r="Q241" s="45" t="s">
        <v>199</v>
      </c>
      <c r="R241" s="45" t="s">
        <v>199</v>
      </c>
      <c r="S241" s="45" t="s">
        <v>199</v>
      </c>
      <c r="T241" s="47" t="s">
        <v>4247</v>
      </c>
      <c r="U241" s="39" t="s">
        <v>3764</v>
      </c>
      <c r="V241" s="39" t="str">
        <f>CONCATENATE(U241, D241)</f>
        <v>https://example.websquare.kr/websquare/websquare.html?w2xPath=/guide/GridView/_General/rowStatusVisible_rowStatusHeaderValue_rowStatusWidth_GridView.xml</v>
      </c>
      <c r="W241" s="39" t="s">
        <v>4512</v>
      </c>
      <c r="X241" s="39" t="str">
        <f>CONCATENATE(W241, D241)</f>
        <v>https://docs.inswave.com/websquare/websquare.html?w2xPath=/support/api/guide/GridView/_General/rowStatusVisible_rowStatusHeaderValue_rowStatusWidth_GridView.xml</v>
      </c>
      <c r="Y241" s="48" t="str">
        <f>HYPERLINK(X241, H241)</f>
        <v>행 상태 헤더 설정</v>
      </c>
      <c r="Z241" s="4" t="str">
        <f>HYPERLINK(V241,H241)</f>
        <v>행 상태 헤더 설정</v>
      </c>
      <c r="AA241" s="4" t="str">
        <f>HYPERLINK(J241,H241)</f>
        <v>행 상태 헤더 설정</v>
      </c>
      <c r="AB241" s="39" t="str">
        <f t="shared" si="7"/>
        <v>https://docs.inswave.com/websquare/websquare.html?w2xPath=/support/api/guide/GridView/_General/rowStatusVisible_rowStatusHeaderValue_rowStatusWidth_GridView.xml</v>
      </c>
    </row>
    <row r="242" spans="1:30" s="39" customFormat="1" ht="102" hidden="1" x14ac:dyDescent="0.45">
      <c r="A242" s="37">
        <f>SUBTOTAL(3, $T$2:T242)</f>
        <v>178</v>
      </c>
      <c r="B242" s="38" t="s">
        <v>24</v>
      </c>
      <c r="C242" s="44" t="s">
        <v>24</v>
      </c>
      <c r="D242" s="39" t="s">
        <v>2014</v>
      </c>
      <c r="E242" s="40" t="s">
        <v>1516</v>
      </c>
      <c r="F242" s="41" t="s">
        <v>1434</v>
      </c>
      <c r="G242" s="44" t="s">
        <v>1436</v>
      </c>
      <c r="H242" s="52" t="s">
        <v>3610</v>
      </c>
      <c r="I242" s="44" t="s">
        <v>1435</v>
      </c>
      <c r="J242" s="14" t="s">
        <v>1519</v>
      </c>
      <c r="K242" s="22" t="s">
        <v>2973</v>
      </c>
      <c r="L242" s="46">
        <v>44136</v>
      </c>
      <c r="M242" s="45" t="s">
        <v>200</v>
      </c>
      <c r="N242" s="45" t="s">
        <v>199</v>
      </c>
      <c r="O242" s="45" t="s">
        <v>199</v>
      </c>
      <c r="P242" s="45" t="s">
        <v>199</v>
      </c>
      <c r="Q242" s="45" t="s">
        <v>199</v>
      </c>
      <c r="R242" s="45" t="s">
        <v>199</v>
      </c>
      <c r="S242" s="45" t="s">
        <v>199</v>
      </c>
      <c r="T242" s="47" t="s">
        <v>4515</v>
      </c>
      <c r="U242" s="39" t="s">
        <v>3764</v>
      </c>
      <c r="V242" s="39" t="str">
        <f>CONCATENATE(U242, D242)</f>
        <v>https://example.websquare.kr/websquare/websquare.html?w2xPath=/guide/_Page_SP4/onpageload_Page.xml</v>
      </c>
      <c r="W242" s="39" t="s">
        <v>4220</v>
      </c>
      <c r="X242" s="39" t="str">
        <f>CONCATENATE(W242, D242)</f>
        <v>https://docs.inswave.com/websquare/websquare.html?w2xPath=/support/api/samples/_Page_SP4/onpageload_Page.xml</v>
      </c>
      <c r="Y242" s="48"/>
      <c r="Z242" s="4"/>
      <c r="AA242" s="4" t="str">
        <f>HYPERLINK(J242,H242)</f>
        <v>onpageload 이벤트</v>
      </c>
      <c r="AB242" s="39" t="str">
        <f t="shared" si="7"/>
        <v>https://docs.inswave.com/websquare/websquare.html?w2xPath=/support/api/samples/_Page_SP4/onpageload_Page.xml</v>
      </c>
    </row>
    <row r="243" spans="1:30" s="39" customFormat="1" ht="119" x14ac:dyDescent="0.45">
      <c r="A243" s="37">
        <f>SUBTOTAL(3, $T$2:T243)</f>
        <v>179</v>
      </c>
      <c r="B243" s="38" t="s">
        <v>0</v>
      </c>
      <c r="C243" s="39" t="s">
        <v>1098</v>
      </c>
      <c r="D243" s="39" t="s">
        <v>3701</v>
      </c>
      <c r="E243" s="40" t="s">
        <v>1063</v>
      </c>
      <c r="F243" s="41" t="s">
        <v>976</v>
      </c>
      <c r="G243" s="39" t="s">
        <v>982</v>
      </c>
      <c r="H243" s="53" t="s">
        <v>3970</v>
      </c>
      <c r="I243" s="44" t="s">
        <v>985</v>
      </c>
      <c r="J243" s="14" t="s">
        <v>983</v>
      </c>
      <c r="K243" s="22" t="s">
        <v>2855</v>
      </c>
      <c r="L243" s="46">
        <v>44166</v>
      </c>
      <c r="M243" s="50" t="s">
        <v>199</v>
      </c>
      <c r="N243" s="45" t="s">
        <v>199</v>
      </c>
      <c r="O243" s="45" t="s">
        <v>199</v>
      </c>
      <c r="P243" s="47" t="s">
        <v>199</v>
      </c>
      <c r="Q243" s="45" t="s">
        <v>199</v>
      </c>
      <c r="R243" s="45" t="s">
        <v>199</v>
      </c>
      <c r="S243" s="45" t="s">
        <v>199</v>
      </c>
      <c r="T243" s="47" t="s">
        <v>4247</v>
      </c>
      <c r="U243" s="39" t="s">
        <v>3764</v>
      </c>
      <c r="V243" s="39" t="str">
        <f>CONCATENATE(U243, D243)</f>
        <v>https://example.websquare.kr/websquare/websquare.html?w2xPath=/guide/GridView/_General/visibleRowNum_visibleRowNumFix_GridView/visibleRowNum_visibleRowNumFix_GridView.xml</v>
      </c>
      <c r="W243" s="39" t="s">
        <v>4512</v>
      </c>
      <c r="X243" s="39" t="str">
        <f>CONCATENATE(W243, D243)</f>
        <v>https://docs.inswave.com/websquare/websquare.html?w2xPath=/support/api/guide/GridView/_General/visibleRowNum_visibleRowNumFix_GridView/visibleRowNum_visibleRowNumFix_GridView.xml</v>
      </c>
      <c r="Y243" s="48" t="str">
        <f>HYPERLINK(X243, H243)</f>
        <v>행 수를 기반으로 높이 설정</v>
      </c>
      <c r="Z243" s="4" t="str">
        <f>HYPERLINK(V243,H243)</f>
        <v>행 수를 기반으로 높이 설정</v>
      </c>
      <c r="AA243" s="4" t="str">
        <f>HYPERLINK(J243,H243)</f>
        <v>행 수를 기반으로 높이 설정</v>
      </c>
      <c r="AB243" s="39" t="str">
        <f t="shared" si="7"/>
        <v>https://docs.inswave.com/websquare/websquare.html?w2xPath=/support/api/guide/GridView/_General/visibleRowNum_visibleRowNumFix_GridView/visibleRowNum_visibleRowNumFix_GridView.xml</v>
      </c>
    </row>
    <row r="244" spans="1:30" s="39" customFormat="1" ht="102" x14ac:dyDescent="0.45">
      <c r="A244" s="37">
        <f>SUBTOTAL(3, $T$2:T244)</f>
        <v>180</v>
      </c>
      <c r="B244" s="38" t="s">
        <v>0</v>
      </c>
      <c r="C244" s="39" t="s">
        <v>1098</v>
      </c>
      <c r="D244" s="39" t="s">
        <v>3706</v>
      </c>
      <c r="E244" s="40" t="s">
        <v>2227</v>
      </c>
      <c r="F244" s="41" t="s">
        <v>2226</v>
      </c>
      <c r="G244" s="39" t="s">
        <v>1407</v>
      </c>
      <c r="H244" s="53" t="s">
        <v>3971</v>
      </c>
      <c r="I244" s="44" t="s">
        <v>1402</v>
      </c>
      <c r="J244" s="14" t="s">
        <v>2225</v>
      </c>
      <c r="K244" s="22" t="s">
        <v>2893</v>
      </c>
      <c r="L244" s="46">
        <v>43891</v>
      </c>
      <c r="M244" s="14"/>
      <c r="N244" s="45" t="s">
        <v>199</v>
      </c>
      <c r="O244" s="45" t="s">
        <v>199</v>
      </c>
      <c r="P244" s="45" t="s">
        <v>199</v>
      </c>
      <c r="Q244" s="45" t="s">
        <v>199</v>
      </c>
      <c r="R244" s="45" t="s">
        <v>199</v>
      </c>
      <c r="S244" s="45" t="s">
        <v>199</v>
      </c>
      <c r="T244" s="47" t="s">
        <v>4247</v>
      </c>
      <c r="U244" s="39" t="s">
        <v>3764</v>
      </c>
      <c r="V244" s="39" t="str">
        <f>CONCATENATE(U244, D244)</f>
        <v>https://example.websquare.kr/websquare/websquare.html?w2xPath=/guide/GridView/_General/setRowVisible_clearRowVisible_GridView/setRowVisible_clearRowVisible_GridView.xml</v>
      </c>
      <c r="W244" s="39" t="s">
        <v>4512</v>
      </c>
      <c r="X244" s="39" t="str">
        <f>CONCATENATE(W244, D244)</f>
        <v>https://docs.inswave.com/websquare/websquare.html?w2xPath=/support/api/guide/GridView/_General/setRowVisible_clearRowVisible_GridView/setRowVisible_clearRowVisible_GridView.xml</v>
      </c>
      <c r="Y244" s="48" t="str">
        <f>HYPERLINK(X244, H244)</f>
        <v>행 숨김 및 숨김 해제</v>
      </c>
      <c r="Z244" s="4" t="str">
        <f>HYPERLINK(V244,H244)</f>
        <v>행 숨김 및 숨김 해제</v>
      </c>
      <c r="AA244" s="4" t="str">
        <f>HYPERLINK(J244,H244)</f>
        <v>행 숨김 및 숨김 해제</v>
      </c>
      <c r="AB244" s="39" t="str">
        <f t="shared" si="7"/>
        <v>https://docs.inswave.com/websquare/websquare.html?w2xPath=/support/api/guide/GridView/_General/setRowVisible_clearRowVisible_GridView/setRowVisible_clearRowVisible_GridView.xml</v>
      </c>
    </row>
    <row r="245" spans="1:30" s="39" customFormat="1" ht="102" x14ac:dyDescent="0.45">
      <c r="A245" s="37">
        <f>SUBTOTAL(3, $T$2:T245)</f>
        <v>181</v>
      </c>
      <c r="B245" s="38" t="s">
        <v>0</v>
      </c>
      <c r="C245" s="39" t="s">
        <v>1098</v>
      </c>
      <c r="D245" s="40" t="s">
        <v>1359</v>
      </c>
      <c r="E245" s="40" t="s">
        <v>2322</v>
      </c>
      <c r="F245" s="41" t="s">
        <v>2350</v>
      </c>
      <c r="G245" s="39" t="s">
        <v>1351</v>
      </c>
      <c r="H245" s="53" t="s">
        <v>4001</v>
      </c>
      <c r="I245" s="39" t="s">
        <v>1329</v>
      </c>
      <c r="J245" s="14" t="s">
        <v>2337</v>
      </c>
      <c r="K245" s="22" t="s">
        <v>2865</v>
      </c>
      <c r="L245" s="46">
        <v>43800</v>
      </c>
      <c r="M245" s="46" t="s">
        <v>199</v>
      </c>
      <c r="N245" s="45" t="s">
        <v>199</v>
      </c>
      <c r="O245" s="45" t="s">
        <v>199</v>
      </c>
      <c r="P245" s="45" t="s">
        <v>199</v>
      </c>
      <c r="Q245" s="45" t="s">
        <v>199</v>
      </c>
      <c r="R245" s="45" t="s">
        <v>199</v>
      </c>
      <c r="S245" s="45" t="s">
        <v>199</v>
      </c>
      <c r="T245" s="47" t="s">
        <v>4247</v>
      </c>
      <c r="U245" s="39" t="s">
        <v>3764</v>
      </c>
      <c r="V245" s="39" t="str">
        <f>CONCATENATE(U245, D245)</f>
        <v>https://example.websquare.kr/websquare/websquare.html?w2xPath=/guide/GridView/_General/columnMove_GridView.xml</v>
      </c>
      <c r="W245" s="39" t="s">
        <v>4512</v>
      </c>
      <c r="X245" s="39" t="str">
        <f>CONCATENATE(W245, D245)</f>
        <v>https://docs.inswave.com/websquare/websquare.html?w2xPath=/support/api/guide/GridView/_General/columnMove_GridView.xml</v>
      </c>
      <c r="Y245" s="48" t="str">
        <f>HYPERLINK(X245, H245)</f>
        <v>헤더 드래깅을 통한 컬럼 이동</v>
      </c>
      <c r="Z245" s="4" t="str">
        <f>HYPERLINK(V245,H245)</f>
        <v>헤더 드래깅을 통한 컬럼 이동</v>
      </c>
      <c r="AA245" s="4" t="str">
        <f>HYPERLINK(J245,H245)</f>
        <v>헤더 드래깅을 통한 컬럼 이동</v>
      </c>
      <c r="AB245" s="39" t="str">
        <f t="shared" si="7"/>
        <v>https://docs.inswave.com/websquare/websquare.html?w2xPath=/support/api/guide/GridView/_General/columnMove_GridView.xml</v>
      </c>
    </row>
    <row r="246" spans="1:30" s="39" customFormat="1" ht="102" x14ac:dyDescent="0.45">
      <c r="A246" s="37">
        <f>SUBTOTAL(3, $T$2:T246)</f>
        <v>182</v>
      </c>
      <c r="B246" s="38" t="s">
        <v>0</v>
      </c>
      <c r="C246" s="39" t="s">
        <v>1098</v>
      </c>
      <c r="D246" s="39" t="s">
        <v>1674</v>
      </c>
      <c r="E246" s="40" t="s">
        <v>4033</v>
      </c>
      <c r="F246" s="41" t="s">
        <v>1671</v>
      </c>
      <c r="G246" s="44" t="s">
        <v>1672</v>
      </c>
      <c r="H246" s="53" t="s">
        <v>4032</v>
      </c>
      <c r="I246" s="44" t="s">
        <v>1676</v>
      </c>
      <c r="J246" s="14" t="s">
        <v>1670</v>
      </c>
      <c r="K246" s="22" t="s">
        <v>2891</v>
      </c>
      <c r="L246" s="46">
        <v>44743</v>
      </c>
      <c r="M246" s="14"/>
      <c r="N246" s="45" t="s">
        <v>199</v>
      </c>
      <c r="O246" s="45" t="s">
        <v>199</v>
      </c>
      <c r="P246" s="45" t="s">
        <v>199</v>
      </c>
      <c r="Q246" s="45" t="s">
        <v>199</v>
      </c>
      <c r="R246" s="45" t="s">
        <v>199</v>
      </c>
      <c r="S246" s="45" t="s">
        <v>199</v>
      </c>
      <c r="T246" s="47" t="s">
        <v>4247</v>
      </c>
      <c r="U246" s="39" t="s">
        <v>3764</v>
      </c>
      <c r="V246" s="39" t="str">
        <f>CONCATENATE(U246, D246)</f>
        <v>https://example.websquare.kr/websquare/websquare.html?w2xPath=/guide/GridView/_General/useHeaderContextMenu_contextMenu_GridView.xml</v>
      </c>
      <c r="W246" s="39" t="s">
        <v>4512</v>
      </c>
      <c r="X246" s="39" t="str">
        <f>CONCATENATE(W246, D246)</f>
        <v>https://docs.inswave.com/websquare/websquare.html?w2xPath=/support/api/guide/GridView/_General/useHeaderContextMenu_contextMenu_GridView.xml</v>
      </c>
      <c r="Y246" s="48" t="str">
        <f>HYPERLINK(X246, H246)</f>
        <v>헤더 우클릭을 통한 컨텍스트 메뉴 표시</v>
      </c>
      <c r="Z246" s="4" t="str">
        <f>HYPERLINK(V246,H246)</f>
        <v>헤더 우클릭을 통한 컨텍스트 메뉴 표시</v>
      </c>
      <c r="AA246" s="4" t="str">
        <f>HYPERLINK(J246,H246)</f>
        <v>헤더 우클릭을 통한 컨텍스트 메뉴 표시</v>
      </c>
      <c r="AB246" s="39" t="str">
        <f t="shared" si="7"/>
        <v>https://docs.inswave.com/websquare/websquare.html?w2xPath=/support/api/guide/GridView/_General/useHeaderContextMenu_contextMenu_GridView.xml</v>
      </c>
    </row>
    <row r="247" spans="1:30" s="39" customFormat="1" ht="102" x14ac:dyDescent="0.45">
      <c r="A247" s="37">
        <f>SUBTOTAL(3, $T$2:T247)</f>
        <v>183</v>
      </c>
      <c r="B247" s="38" t="s">
        <v>0</v>
      </c>
      <c r="C247" s="39" t="s">
        <v>1098</v>
      </c>
      <c r="D247" s="39" t="s">
        <v>291</v>
      </c>
      <c r="E247" s="57" t="s">
        <v>4008</v>
      </c>
      <c r="F247" s="41" t="s">
        <v>195</v>
      </c>
      <c r="G247" s="39" t="s">
        <v>116</v>
      </c>
      <c r="H247" s="53" t="s">
        <v>4009</v>
      </c>
      <c r="I247" s="44" t="s">
        <v>253</v>
      </c>
      <c r="J247" s="14" t="s">
        <v>357</v>
      </c>
      <c r="K247" s="22" t="s">
        <v>2861</v>
      </c>
      <c r="L247" s="46">
        <v>44440</v>
      </c>
      <c r="M247" s="14"/>
      <c r="N247" s="45" t="s">
        <v>199</v>
      </c>
      <c r="O247" s="45" t="s">
        <v>199</v>
      </c>
      <c r="P247" s="45" t="s">
        <v>199</v>
      </c>
      <c r="Q247" s="45" t="s">
        <v>199</v>
      </c>
      <c r="R247" s="45" t="s">
        <v>199</v>
      </c>
      <c r="S247" s="45" t="s">
        <v>199</v>
      </c>
      <c r="T247" s="47" t="s">
        <v>4247</v>
      </c>
      <c r="U247" s="39" t="s">
        <v>3764</v>
      </c>
      <c r="V247" s="39" t="str">
        <f>CONCATENATE(U247, D247)</f>
        <v>https://example.websquare.kr/websquare/websquare.html?w2xPath=/guide/GridView/_General/checkAllType_GridView.xml</v>
      </c>
      <c r="W247" s="39" t="s">
        <v>4512</v>
      </c>
      <c r="X247" s="39" t="str">
        <f>CONCATENATE(W247, D247)</f>
        <v>https://docs.inswave.com/websquare/websquare.html?w2xPath=/support/api/guide/GridView/_General/checkAllType_GridView.xml</v>
      </c>
      <c r="Y247" s="48" t="str">
        <f>HYPERLINK(X247, H247)</f>
        <v>헤더의 체크 박스 선택 시 disabled 및 readOnly 셀 처리 방식 설정</v>
      </c>
      <c r="Z247" s="4" t="str">
        <f>HYPERLINK(V247,H247)</f>
        <v>헤더의 체크 박스 선택 시 disabled 및 readOnly 셀 처리 방식 설정</v>
      </c>
      <c r="AA247" s="4" t="str">
        <f>HYPERLINK(J247,H247)</f>
        <v>헤더의 체크 박스 선택 시 disabled 및 readOnly 셀 처리 방식 설정</v>
      </c>
      <c r="AB247" s="39" t="str">
        <f t="shared" si="7"/>
        <v>https://docs.inswave.com/websquare/websquare.html?w2xPath=/support/api/guide/GridView/_General/checkAllType_GridView.xml</v>
      </c>
      <c r="AC247" s="45"/>
      <c r="AD247" s="45"/>
    </row>
    <row r="248" spans="1:30" s="39" customFormat="1" ht="102" x14ac:dyDescent="0.45">
      <c r="A248" s="37">
        <f>SUBTOTAL(3, $T$2:T248)</f>
        <v>184</v>
      </c>
      <c r="B248" s="38" t="s">
        <v>0</v>
      </c>
      <c r="C248" s="39" t="s">
        <v>1099</v>
      </c>
      <c r="D248" s="39" t="s">
        <v>4489</v>
      </c>
      <c r="E248" s="40" t="s">
        <v>3998</v>
      </c>
      <c r="F248" s="41" t="s">
        <v>2017</v>
      </c>
      <c r="G248" s="44" t="s">
        <v>1734</v>
      </c>
      <c r="H248" s="53" t="s">
        <v>3997</v>
      </c>
      <c r="I248" s="44" t="s">
        <v>1741</v>
      </c>
      <c r="J248" s="14" t="s">
        <v>3437</v>
      </c>
      <c r="K248" s="22" t="s">
        <v>2869</v>
      </c>
      <c r="L248" s="46">
        <v>44805</v>
      </c>
      <c r="M248" s="14"/>
      <c r="N248" s="45" t="s">
        <v>199</v>
      </c>
      <c r="O248" s="45" t="s">
        <v>199</v>
      </c>
      <c r="P248" s="45" t="s">
        <v>199</v>
      </c>
      <c r="Q248" s="45" t="s">
        <v>199</v>
      </c>
      <c r="R248" s="45" t="s">
        <v>199</v>
      </c>
      <c r="S248" s="45" t="s">
        <v>199</v>
      </c>
      <c r="T248" s="47" t="s">
        <v>4247</v>
      </c>
      <c r="U248" s="39" t="s">
        <v>3764</v>
      </c>
      <c r="V248" s="39" t="str">
        <f>CONCATENATE(U248, D248)</f>
        <v>https://example.websquare.kr/websquare/websquare.html?w2xPath=/guide/GridView/Dragging/ctrlShiftKey_GridView.xml</v>
      </c>
      <c r="W248" s="39" t="s">
        <v>4512</v>
      </c>
      <c r="X248" s="39" t="str">
        <f>CONCATENATE(W248, D248)</f>
        <v>https://docs.inswave.com/websquare/websquare.html?w2xPath=/support/api/guide/GridView/Dragging/ctrlShiftKey_GridView.xml</v>
      </c>
      <c r="Y248" s="48" t="str">
        <f>HYPERLINK(X248, H248)</f>
        <v>Ctrl 및 Shift 키를 통한 다중 선택 허용</v>
      </c>
      <c r="Z248" s="4" t="str">
        <f>HYPERLINK(V248,H248)</f>
        <v>Ctrl 및 Shift 키를 통한 다중 선택 허용</v>
      </c>
      <c r="AA248" s="4" t="str">
        <f>HYPERLINK(J248,H248)</f>
        <v>Ctrl 및 Shift 키를 통한 다중 선택 허용</v>
      </c>
      <c r="AB248" s="39" t="str">
        <f t="shared" si="7"/>
        <v>https://docs.inswave.com/websquare/websquare.html?w2xPath=/support/api/guide/GridView/Dragging/ctrlShiftKey_GridView.xml</v>
      </c>
    </row>
    <row r="249" spans="1:30" s="39" customFormat="1" ht="102" x14ac:dyDescent="0.45">
      <c r="A249" s="37">
        <f>SUBTOTAL(3, $T$2:T249)</f>
        <v>185</v>
      </c>
      <c r="B249" s="38" t="s">
        <v>1814</v>
      </c>
      <c r="C249" s="38" t="s">
        <v>2571</v>
      </c>
      <c r="D249" s="39" t="s">
        <v>2586</v>
      </c>
      <c r="E249" s="39" t="s">
        <v>4046</v>
      </c>
      <c r="F249" s="41" t="s">
        <v>2575</v>
      </c>
      <c r="G249" s="39" t="s">
        <v>2587</v>
      </c>
      <c r="H249" s="53" t="s">
        <v>4045</v>
      </c>
      <c r="I249" s="39" t="s">
        <v>2582</v>
      </c>
      <c r="J249" s="14" t="s">
        <v>2588</v>
      </c>
      <c r="K249" s="22" t="s">
        <v>3138</v>
      </c>
      <c r="L249" s="46">
        <v>45292</v>
      </c>
      <c r="M249" s="60"/>
      <c r="N249" s="45"/>
      <c r="O249" s="45"/>
      <c r="P249" s="45"/>
      <c r="Q249" s="45" t="s">
        <v>199</v>
      </c>
      <c r="R249" s="45" t="s">
        <v>199</v>
      </c>
      <c r="S249" s="45" t="s">
        <v>199</v>
      </c>
      <c r="T249" s="47" t="s">
        <v>4247</v>
      </c>
      <c r="U249" s="39" t="s">
        <v>3764</v>
      </c>
      <c r="V249" s="39" t="str">
        <f>CONCATENATE(U249, D249)</f>
        <v>https://example.websquare.kr/websquare/websquare.html?w2xPath=/guide/GridView/Dragging/dataDragDropSelf_GridView.xml</v>
      </c>
      <c r="W249" s="39" t="s">
        <v>4512</v>
      </c>
      <c r="X249" s="39" t="str">
        <f>CONCATENATE(W249, D249)</f>
        <v>https://docs.inswave.com/websquare/websquare.html?w2xPath=/support/api/guide/GridView/Dragging/dataDragDropSelf_GridView.xml</v>
      </c>
      <c r="Y249" s="48" t="str">
        <f>HYPERLINK(X249, H249)</f>
        <v>다른 GridView로의 행 이동 금지</v>
      </c>
      <c r="Z249" s="4" t="str">
        <f>HYPERLINK(V249,H249)</f>
        <v>다른 GridView로의 행 이동 금지</v>
      </c>
      <c r="AA249" s="4" t="str">
        <f>HYPERLINK(J249,H249)</f>
        <v>다른 GridView로의 행 이동 금지</v>
      </c>
      <c r="AB249" s="39" t="str">
        <f t="shared" si="7"/>
        <v>https://docs.inswave.com/websquare/websquare.html?w2xPath=/support/api/guide/GridView/Dragging/dataDragDropSelf_GridView.xml</v>
      </c>
      <c r="AC249" s="45"/>
      <c r="AD249" s="45"/>
    </row>
    <row r="250" spans="1:30" s="39" customFormat="1" ht="102" x14ac:dyDescent="0.45">
      <c r="A250" s="37">
        <f>SUBTOTAL(3, $T$2:T250)</f>
        <v>186</v>
      </c>
      <c r="B250" s="38" t="s">
        <v>0</v>
      </c>
      <c r="C250" s="39" t="s">
        <v>1099</v>
      </c>
      <c r="D250" s="39" t="s">
        <v>732</v>
      </c>
      <c r="E250" s="40" t="s">
        <v>4043</v>
      </c>
      <c r="F250" s="41" t="s">
        <v>724</v>
      </c>
      <c r="G250" s="39" t="s">
        <v>725</v>
      </c>
      <c r="H250" s="53" t="s">
        <v>4044</v>
      </c>
      <c r="I250" s="44" t="s">
        <v>731</v>
      </c>
      <c r="J250" s="14" t="s">
        <v>768</v>
      </c>
      <c r="K250" s="22" t="s">
        <v>3137</v>
      </c>
      <c r="L250" s="46">
        <v>44621</v>
      </c>
      <c r="M250" s="14"/>
      <c r="N250" s="45" t="s">
        <v>199</v>
      </c>
      <c r="O250" s="45" t="s">
        <v>199</v>
      </c>
      <c r="P250" s="47" t="s">
        <v>199</v>
      </c>
      <c r="Q250" s="45" t="s">
        <v>199</v>
      </c>
      <c r="R250" s="45" t="s">
        <v>199</v>
      </c>
      <c r="S250" s="45" t="s">
        <v>199</v>
      </c>
      <c r="T250" s="47" t="s">
        <v>4247</v>
      </c>
      <c r="U250" s="39" t="s">
        <v>3764</v>
      </c>
      <c r="V250" s="39" t="str">
        <f>CONCATENATE(U250, D250)</f>
        <v>https://example.websquare.kr/websquare/websquare.html?w2xPath=/guide/GridView/Dragging/dataDragDropOther_GridView.xml</v>
      </c>
      <c r="W250" s="39" t="s">
        <v>4512</v>
      </c>
      <c r="X250" s="39" t="str">
        <f>CONCATENATE(W250, D250)</f>
        <v>https://docs.inswave.com/websquare/websquare.html?w2xPath=/support/api/guide/GridView/Dragging/dataDragDropOther_GridView.xml</v>
      </c>
      <c r="Y250" s="48" t="str">
        <f>HYPERLINK(X250, H250)</f>
        <v>동일한 GridView 내에서의 행 이동 금지</v>
      </c>
      <c r="Z250" s="4" t="str">
        <f>HYPERLINK(V250,H250)</f>
        <v>동일한 GridView 내에서의 행 이동 금지</v>
      </c>
      <c r="AA250" s="4" t="str">
        <f>HYPERLINK(J250,H250)</f>
        <v>동일한 GridView 내에서의 행 이동 금지</v>
      </c>
      <c r="AB250" s="39" t="str">
        <f t="shared" si="7"/>
        <v>https://docs.inswave.com/websquare/websquare.html?w2xPath=/support/api/guide/GridView/Dragging/dataDragDropOther_GridView.xml</v>
      </c>
      <c r="AC250" s="45"/>
      <c r="AD250" s="45"/>
    </row>
    <row r="251" spans="1:30" s="39" customFormat="1" ht="102" x14ac:dyDescent="0.45">
      <c r="A251" s="37">
        <f>SUBTOTAL(3, $T$2:T251)</f>
        <v>187</v>
      </c>
      <c r="B251" s="38" t="s">
        <v>0</v>
      </c>
      <c r="C251" s="39" t="s">
        <v>1099</v>
      </c>
      <c r="D251" s="39" t="s">
        <v>290</v>
      </c>
      <c r="E251" s="57" t="s">
        <v>3239</v>
      </c>
      <c r="F251" s="41" t="s">
        <v>154</v>
      </c>
      <c r="G251" s="39" t="s">
        <v>73</v>
      </c>
      <c r="H251" s="53" t="s">
        <v>4488</v>
      </c>
      <c r="I251" s="44" t="s">
        <v>237</v>
      </c>
      <c r="J251" s="14" t="s">
        <v>132</v>
      </c>
      <c r="K251" s="22" t="s">
        <v>3141</v>
      </c>
      <c r="L251" s="46">
        <v>44348</v>
      </c>
      <c r="M251" s="14"/>
      <c r="N251" s="45" t="s">
        <v>199</v>
      </c>
      <c r="O251" s="45" t="s">
        <v>199</v>
      </c>
      <c r="P251" s="45" t="s">
        <v>199</v>
      </c>
      <c r="Q251" s="45" t="s">
        <v>199</v>
      </c>
      <c r="R251" s="45" t="s">
        <v>199</v>
      </c>
      <c r="S251" s="45" t="s">
        <v>199</v>
      </c>
      <c r="T251" s="47" t="s">
        <v>4247</v>
      </c>
      <c r="U251" s="39" t="s">
        <v>3764</v>
      </c>
      <c r="V251" s="39" t="str">
        <f>CONCATENATE(U251, D251)</f>
        <v>https://example.websquare.kr/websquare/websquare.html?w2xPath=/guide/GridView/Dragging/dataDragSelect_useShiftKey_GridView.xml</v>
      </c>
      <c r="W251" s="39" t="s">
        <v>4512</v>
      </c>
      <c r="X251" s="39" t="str">
        <f>CONCATENATE(W251, D251)</f>
        <v>https://docs.inswave.com/websquare/websquare.html?w2xPath=/support/api/guide/GridView/Dragging/dataDragSelect_useShiftKey_GridView.xml</v>
      </c>
      <c r="Y251" s="48" t="str">
        <f>HYPERLINK(X251, H251)</f>
        <v>드래깅 및 Shift 키를 통한 셀 선택 및 데이터 삭제</v>
      </c>
      <c r="Z251" s="4" t="str">
        <f>HYPERLINK(V251,H251)</f>
        <v>드래깅 및 Shift 키를 통한 셀 선택 및 데이터 삭제</v>
      </c>
      <c r="AA251" s="4" t="str">
        <f>HYPERLINK(J251,H251)</f>
        <v>드래깅 및 Shift 키를 통한 셀 선택 및 데이터 삭제</v>
      </c>
      <c r="AB251" s="39" t="str">
        <f t="shared" si="7"/>
        <v>https://docs.inswave.com/websquare/websquare.html?w2xPath=/support/api/guide/GridView/Dragging/dataDragSelect_useShiftKey_GridView.xml</v>
      </c>
    </row>
    <row r="252" spans="1:30" s="39" customFormat="1" ht="102" x14ac:dyDescent="0.45">
      <c r="A252" s="37">
        <f>SUBTOTAL(3, $T$2:T252)</f>
        <v>188</v>
      </c>
      <c r="B252" s="38" t="s">
        <v>0</v>
      </c>
      <c r="C252" s="39" t="s">
        <v>1099</v>
      </c>
      <c r="D252" s="39" t="s">
        <v>1412</v>
      </c>
      <c r="E252" s="40" t="s">
        <v>4048</v>
      </c>
      <c r="F252" s="41" t="s">
        <v>2132</v>
      </c>
      <c r="G252" s="44" t="s">
        <v>1411</v>
      </c>
      <c r="H252" s="53" t="s">
        <v>4049</v>
      </c>
      <c r="I252" s="44" t="s">
        <v>2133</v>
      </c>
      <c r="J252" s="14" t="s">
        <v>2134</v>
      </c>
      <c r="K252" s="22" t="s">
        <v>3140</v>
      </c>
      <c r="L252" s="46">
        <v>43891</v>
      </c>
      <c r="M252" s="14"/>
      <c r="N252" s="45" t="s">
        <v>199</v>
      </c>
      <c r="O252" s="45" t="s">
        <v>199</v>
      </c>
      <c r="P252" s="45" t="s">
        <v>199</v>
      </c>
      <c r="Q252" s="45" t="s">
        <v>199</v>
      </c>
      <c r="R252" s="45" t="s">
        <v>199</v>
      </c>
      <c r="S252" s="45" t="s">
        <v>199</v>
      </c>
      <c r="T252" s="47" t="s">
        <v>4247</v>
      </c>
      <c r="U252" s="39" t="s">
        <v>3764</v>
      </c>
      <c r="V252" s="39" t="str">
        <f>CONCATENATE(U252, D252)</f>
        <v>https://example.websquare.kr/websquare/websquare.html?w2xPath=/guide/GridView/Dragging/dataDragSelect_dataDragSelectAutoScroll_2_GridView.xml</v>
      </c>
      <c r="W252" s="39" t="s">
        <v>4512</v>
      </c>
      <c r="X252" s="39" t="str">
        <f>CONCATENATE(W252, D252)</f>
        <v>https://docs.inswave.com/websquare/websquare.html?w2xPath=/support/api/guide/GridView/Dragging/dataDragSelect_dataDragSelectAutoScroll_2_GridView.xml</v>
      </c>
      <c r="Y252" s="48" t="str">
        <f>HYPERLINK(X252, H252)</f>
        <v>드래깅 시 자동 스크롤</v>
      </c>
      <c r="Z252" s="4" t="str">
        <f>HYPERLINK(V252,H252)</f>
        <v>드래깅 시 자동 스크롤</v>
      </c>
      <c r="AA252" s="4" t="str">
        <f>HYPERLINK(J252,H252)</f>
        <v>드래깅 시 자동 스크롤</v>
      </c>
      <c r="AB252" s="39" t="str">
        <f t="shared" si="7"/>
        <v>https://docs.inswave.com/websquare/websquare.html?w2xPath=/support/api/guide/GridView/Dragging/dataDragSelect_dataDragSelectAutoScroll_2_GridView.xml</v>
      </c>
    </row>
    <row r="253" spans="1:30" s="39" customFormat="1" ht="102" x14ac:dyDescent="0.45">
      <c r="A253" s="37">
        <f>SUBTOTAL(3, $T$2:T253)</f>
        <v>189</v>
      </c>
      <c r="B253" s="38" t="s">
        <v>1814</v>
      </c>
      <c r="C253" s="38" t="s">
        <v>2571</v>
      </c>
      <c r="D253" s="41" t="s">
        <v>3528</v>
      </c>
      <c r="E253" s="41" t="s">
        <v>3435</v>
      </c>
      <c r="F253" s="41" t="s">
        <v>3530</v>
      </c>
      <c r="G253" s="39" t="s">
        <v>4039</v>
      </c>
      <c r="H253" s="49" t="s">
        <v>4039</v>
      </c>
      <c r="I253" s="44" t="s">
        <v>3463</v>
      </c>
      <c r="J253" s="45" t="s">
        <v>2304</v>
      </c>
      <c r="K253" s="45" t="s">
        <v>2304</v>
      </c>
      <c r="L253" s="46">
        <v>45689</v>
      </c>
      <c r="M253" s="14"/>
      <c r="N253" s="45"/>
      <c r="O253" s="45"/>
      <c r="P253" s="45"/>
      <c r="Q253" s="45"/>
      <c r="R253" s="45"/>
      <c r="S253" s="45"/>
      <c r="T253" s="47" t="s">
        <v>4249</v>
      </c>
      <c r="U253" s="39" t="s">
        <v>3764</v>
      </c>
      <c r="V253" s="39" t="str">
        <f>CONCATENATE(U253, D253)</f>
        <v>https://example.websquare.kr/websquare/websquare.html?w2xPath=/guide/GridView/Dragging/keepDataDragSelection_GridView.xml</v>
      </c>
      <c r="W253" s="39" t="s">
        <v>4512</v>
      </c>
      <c r="X253" s="39" t="str">
        <f>CONCATENATE(W253, D253)</f>
        <v>https://docs.inswave.com/websquare/websquare.html?w2xPath=/support/api/guide/GridView/Dragging/keepDataDragSelection_GridView.xml</v>
      </c>
      <c r="Y253" s="48" t="str">
        <f>HYPERLINK(X253, H253)</f>
        <v>드래깅된 셀 선택을 유지한 채로 컨텍스트 메뉴 열기</v>
      </c>
      <c r="Z253" s="4" t="str">
        <f>HYPERLINK(V253,H253)</f>
        <v>드래깅된 셀 선택을 유지한 채로 컨텍스트 메뉴 열기</v>
      </c>
      <c r="AA253" s="45" t="s">
        <v>2304</v>
      </c>
      <c r="AB253" s="39" t="str">
        <f t="shared" si="7"/>
        <v>https://docs.inswave.com/websquare/websquare.html?w2xPath=/support/api/guide/GridView/Dragging/keepDataDragSelection_GridView.xml</v>
      </c>
    </row>
    <row r="254" spans="1:30" s="39" customFormat="1" ht="102" x14ac:dyDescent="0.45">
      <c r="A254" s="37">
        <f>SUBTOTAL(3, $T$2:T254)</f>
        <v>190</v>
      </c>
      <c r="B254" s="38" t="s">
        <v>0</v>
      </c>
      <c r="C254" s="39" t="s">
        <v>1099</v>
      </c>
      <c r="D254" s="39" t="s">
        <v>3718</v>
      </c>
      <c r="E254" s="57" t="s">
        <v>230</v>
      </c>
      <c r="F254" s="41" t="s">
        <v>156</v>
      </c>
      <c r="G254" s="39" t="s">
        <v>122</v>
      </c>
      <c r="H254" s="53" t="s">
        <v>4042</v>
      </c>
      <c r="I254" s="44" t="s">
        <v>257</v>
      </c>
      <c r="J254" s="14" t="s">
        <v>157</v>
      </c>
      <c r="K254" s="22" t="s">
        <v>3136</v>
      </c>
      <c r="L254" s="46">
        <v>44470</v>
      </c>
      <c r="M254" s="14"/>
      <c r="N254" s="45" t="s">
        <v>199</v>
      </c>
      <c r="O254" s="45" t="s">
        <v>199</v>
      </c>
      <c r="P254" s="45" t="s">
        <v>199</v>
      </c>
      <c r="Q254" s="45" t="s">
        <v>199</v>
      </c>
      <c r="R254" s="45" t="s">
        <v>199</v>
      </c>
      <c r="S254" s="45" t="s">
        <v>199</v>
      </c>
      <c r="T254" s="47" t="s">
        <v>4247</v>
      </c>
      <c r="U254" s="39" t="s">
        <v>3764</v>
      </c>
      <c r="V254" s="39" t="str">
        <f>CONCATENATE(U254, D254)</f>
        <v>https://example.websquare.kr/websquare/websquare.html?w2xPath=/guide/GridView/Dragging/setDrillDownDragDrop_GridView/setDrillDownDragDrop_GridView.xml</v>
      </c>
      <c r="W254" s="39" t="s">
        <v>4512</v>
      </c>
      <c r="X254" s="39" t="str">
        <f>CONCATENATE(W254, D254)</f>
        <v>https://docs.inswave.com/websquare/websquare.html?w2xPath=/support/api/guide/GridView/Dragging/setDrillDownDragDrop_GridView/setDrillDownDragDrop_GridView.xml</v>
      </c>
      <c r="Y254" s="48" t="str">
        <f>HYPERLINK(X254, H254)</f>
        <v>드릴다운 컬럼을 포함한 행 전체를 드래깅하여 이동</v>
      </c>
      <c r="Z254" s="4" t="str">
        <f>HYPERLINK(V254,H254)</f>
        <v>드릴다운 컬럼을 포함한 행 전체를 드래깅하여 이동</v>
      </c>
      <c r="AA254" s="4" t="str">
        <f>HYPERLINK(J254,H254)</f>
        <v>드릴다운 컬럼을 포함한 행 전체를 드래깅하여 이동</v>
      </c>
    </row>
    <row r="255" spans="1:30" s="39" customFormat="1" ht="119" x14ac:dyDescent="0.45">
      <c r="A255" s="37">
        <f>SUBTOTAL(3, $T$2:T255)</f>
        <v>191</v>
      </c>
      <c r="B255" s="38" t="s">
        <v>0</v>
      </c>
      <c r="C255" s="39" t="s">
        <v>1099</v>
      </c>
      <c r="D255" s="39" t="s">
        <v>3717</v>
      </c>
      <c r="E255" s="40" t="s">
        <v>4041</v>
      </c>
      <c r="F255" s="41" t="s">
        <v>1334</v>
      </c>
      <c r="G255" s="39" t="s">
        <v>1333</v>
      </c>
      <c r="H255" s="53" t="s">
        <v>4050</v>
      </c>
      <c r="I255" s="44" t="s">
        <v>1344</v>
      </c>
      <c r="J255" s="14" t="s">
        <v>3438</v>
      </c>
      <c r="K255" s="22" t="s">
        <v>3135</v>
      </c>
      <c r="L255" s="46">
        <v>44166</v>
      </c>
      <c r="M255" s="14"/>
      <c r="N255" s="45" t="s">
        <v>199</v>
      </c>
      <c r="O255" s="45" t="s">
        <v>199</v>
      </c>
      <c r="P255" s="45" t="s">
        <v>199</v>
      </c>
      <c r="Q255" s="45" t="s">
        <v>199</v>
      </c>
      <c r="R255" s="45" t="s">
        <v>199</v>
      </c>
      <c r="S255" s="45" t="s">
        <v>199</v>
      </c>
      <c r="T255" s="47" t="s">
        <v>4247</v>
      </c>
      <c r="U255" s="39" t="s">
        <v>3764</v>
      </c>
      <c r="V255" s="39" t="str">
        <f>CONCATENATE(U255, D255)</f>
        <v>https://example.websquare.kr/websquare/websquare.html?w2xPath=/guide/GridView/Dragging/dataDragSelect_useShiftKey_to_copy_GridView/dataDragSelect_useShiftKey_to_copy_GridView.xml</v>
      </c>
      <c r="W255" s="39" t="s">
        <v>4512</v>
      </c>
      <c r="X255" s="39" t="str">
        <f>CONCATENATE(W255, D255)</f>
        <v>https://docs.inswave.com/websquare/websquare.html?w2xPath=/support/api/guide/GridView/Dragging/dataDragSelect_useShiftKey_to_copy_GridView/dataDragSelect_useShiftKey_to_copy_GridView.xml</v>
      </c>
      <c r="Y255" s="48" t="str">
        <f>HYPERLINK(X255, H255)</f>
        <v>선택한 셀의 데이터를 복사</v>
      </c>
      <c r="Z255" s="4" t="str">
        <f>HYPERLINK(V255,H255)</f>
        <v>선택한 셀의 데이터를 복사</v>
      </c>
      <c r="AA255" s="4" t="str">
        <f>HYPERLINK(J255,H255)</f>
        <v>선택한 셀의 데이터를 복사</v>
      </c>
      <c r="AB255" s="39" t="str">
        <f t="shared" ref="AB255:AB318" si="8">CONCATENATE(W255, D255)</f>
        <v>https://docs.inswave.com/websquare/websquare.html?w2xPath=/support/api/guide/GridView/Dragging/dataDragSelect_useShiftKey_to_copy_GridView/dataDragSelect_useShiftKey_to_copy_GridView.xml</v>
      </c>
    </row>
    <row r="256" spans="1:30" s="39" customFormat="1" ht="102" x14ac:dyDescent="0.45">
      <c r="A256" s="37">
        <f>SUBTOTAL(3, $T$2:T256)</f>
        <v>192</v>
      </c>
      <c r="B256" s="38" t="s">
        <v>0</v>
      </c>
      <c r="C256" s="39" t="s">
        <v>1099</v>
      </c>
      <c r="D256" s="39" t="s">
        <v>3750</v>
      </c>
      <c r="E256" s="40" t="s">
        <v>375</v>
      </c>
      <c r="F256" s="41" t="s">
        <v>383</v>
      </c>
      <c r="G256" s="44" t="s">
        <v>374</v>
      </c>
      <c r="H256" s="53" t="s">
        <v>4047</v>
      </c>
      <c r="I256" s="44" t="s">
        <v>456</v>
      </c>
      <c r="J256" s="14" t="s">
        <v>382</v>
      </c>
      <c r="K256" s="22" t="s">
        <v>3139</v>
      </c>
      <c r="L256" s="46">
        <v>44531</v>
      </c>
      <c r="M256" s="14"/>
      <c r="N256" s="45" t="s">
        <v>199</v>
      </c>
      <c r="O256" s="45" t="s">
        <v>199</v>
      </c>
      <c r="P256" s="45" t="s">
        <v>199</v>
      </c>
      <c r="Q256" s="45" t="s">
        <v>199</v>
      </c>
      <c r="R256" s="45" t="s">
        <v>199</v>
      </c>
      <c r="S256" s="45" t="s">
        <v>199</v>
      </c>
      <c r="T256" s="47" t="s">
        <v>4247</v>
      </c>
      <c r="U256" s="39" t="s">
        <v>3764</v>
      </c>
      <c r="V256" s="39" t="str">
        <f>CONCATENATE(U256, D256)</f>
        <v>https://example.websquare.kr/websquare/websquare.html?w2xPath=/guide/GridView/Dragging/dataDragDropStatus_GridView.xml</v>
      </c>
      <c r="W256" s="39" t="s">
        <v>4512</v>
      </c>
      <c r="X256" s="39" t="str">
        <f>CONCATENATE(W256, D256)</f>
        <v>https://docs.inswave.com/websquare/websquare.html?w2xPath=/support/api/guide/GridView/Dragging/dataDragDropStatus_GridView.xml</v>
      </c>
      <c r="Y256" s="48" t="str">
        <f>HYPERLINK(X256, H256)</f>
        <v>행 상태를 유지한 채로 행을 드래깅하여 이동</v>
      </c>
      <c r="Z256" s="4" t="str">
        <f>HYPERLINK(V256,H256)</f>
        <v>행 상태를 유지한 채로 행을 드래깅하여 이동</v>
      </c>
      <c r="AA256" s="4" t="str">
        <f>HYPERLINK(J256,H256)</f>
        <v>행 상태를 유지한 채로 행을 드래깅하여 이동</v>
      </c>
      <c r="AB256" s="39" t="str">
        <f t="shared" si="8"/>
        <v>https://docs.inswave.com/websquare/websquare.html?w2xPath=/support/api/guide/GridView/Dragging/dataDragDropStatus_GridView.xml</v>
      </c>
    </row>
    <row r="257" spans="1:30" s="39" customFormat="1" ht="102" x14ac:dyDescent="0.45">
      <c r="A257" s="37">
        <f>SUBTOTAL(3, $T$2:T257)</f>
        <v>193</v>
      </c>
      <c r="B257" s="38" t="s">
        <v>0</v>
      </c>
      <c r="C257" s="39" t="s">
        <v>1099</v>
      </c>
      <c r="D257" s="39" t="s">
        <v>3719</v>
      </c>
      <c r="E257" s="57" t="s">
        <v>300</v>
      </c>
      <c r="F257" s="41" t="s">
        <v>158</v>
      </c>
      <c r="G257" s="39" t="s">
        <v>121</v>
      </c>
      <c r="H257" s="53" t="s">
        <v>4040</v>
      </c>
      <c r="I257" s="44" t="s">
        <v>256</v>
      </c>
      <c r="J257" s="14" t="s">
        <v>159</v>
      </c>
      <c r="K257" s="22" t="s">
        <v>3134</v>
      </c>
      <c r="L257" s="46">
        <v>44470</v>
      </c>
      <c r="M257" s="14"/>
      <c r="N257" s="45" t="s">
        <v>199</v>
      </c>
      <c r="O257" s="45" t="s">
        <v>199</v>
      </c>
      <c r="P257" s="45" t="s">
        <v>199</v>
      </c>
      <c r="Q257" s="45" t="s">
        <v>199</v>
      </c>
      <c r="R257" s="45" t="s">
        <v>199</v>
      </c>
      <c r="S257" s="45" t="s">
        <v>199</v>
      </c>
      <c r="T257" s="47" t="s">
        <v>4247</v>
      </c>
      <c r="U257" s="39" t="s">
        <v>3764</v>
      </c>
      <c r="V257" s="39" t="str">
        <f>CONCATENATE(U257, D257)</f>
        <v>https://example.websquare.kr/websquare/websquare.html?w2xPath=/guide/GridView/Dragging/dataDragDrop_GridView/dataDragDrop_GridView.xml</v>
      </c>
      <c r="W257" s="39" t="s">
        <v>4512</v>
      </c>
      <c r="X257" s="39" t="str">
        <f>CONCATENATE(W257, D257)</f>
        <v>https://docs.inswave.com/websquare/websquare.html?w2xPath=/support/api/guide/GridView/Dragging/dataDragDrop_GridView/dataDragDrop_GridView.xml</v>
      </c>
      <c r="Y257" s="48" t="str">
        <f>HYPERLINK(X257, H257)</f>
        <v>행을 드래깅하여 이동</v>
      </c>
      <c r="Z257" s="4" t="str">
        <f>HYPERLINK(V257,H257)</f>
        <v>행을 드래깅하여 이동</v>
      </c>
      <c r="AA257" s="4" t="str">
        <f>HYPERLINK(J257,H257)</f>
        <v>행을 드래깅하여 이동</v>
      </c>
      <c r="AB257" s="39" t="str">
        <f t="shared" si="8"/>
        <v>https://docs.inswave.com/websquare/websquare.html?w2xPath=/support/api/guide/GridView/Dragging/dataDragDrop_GridView/dataDragDrop_GridView.xml</v>
      </c>
    </row>
    <row r="258" spans="1:30" s="39" customFormat="1" ht="102" x14ac:dyDescent="0.45">
      <c r="A258" s="37">
        <f>SUBTOTAL(3, $T$2:T258)</f>
        <v>194</v>
      </c>
      <c r="B258" s="38" t="s">
        <v>0</v>
      </c>
      <c r="C258" s="39" t="s">
        <v>1335</v>
      </c>
      <c r="D258" s="39" t="s">
        <v>1522</v>
      </c>
      <c r="E258" s="40" t="s">
        <v>4056</v>
      </c>
      <c r="F258" s="41" t="s">
        <v>1904</v>
      </c>
      <c r="G258" s="39" t="s">
        <v>4063</v>
      </c>
      <c r="H258" s="53" t="s">
        <v>4057</v>
      </c>
      <c r="I258" s="39" t="s">
        <v>42</v>
      </c>
      <c r="J258" s="14" t="s">
        <v>1903</v>
      </c>
      <c r="K258" s="22" t="s">
        <v>3144</v>
      </c>
      <c r="L258" s="46">
        <v>43983</v>
      </c>
      <c r="M258" s="14"/>
      <c r="N258" s="45" t="s">
        <v>199</v>
      </c>
      <c r="O258" s="45" t="s">
        <v>199</v>
      </c>
      <c r="P258" s="45" t="s">
        <v>199</v>
      </c>
      <c r="Q258" s="45" t="s">
        <v>199</v>
      </c>
      <c r="R258" s="45" t="s">
        <v>199</v>
      </c>
      <c r="S258" s="45" t="s">
        <v>199</v>
      </c>
      <c r="T258" s="47" t="s">
        <v>4247</v>
      </c>
      <c r="U258" s="39" t="s">
        <v>3764</v>
      </c>
      <c r="V258" s="39" t="str">
        <f>CONCATENATE(U258, D258)</f>
        <v>https://example.websquare.kr/websquare/websquare.html?w2xPath=/guide/GridView/Events/oncellclick_2_GridView.xml</v>
      </c>
      <c r="W258" s="39" t="s">
        <v>4512</v>
      </c>
      <c r="X258" s="39" t="str">
        <f>CONCATENATE(W258, D258)</f>
        <v>https://docs.inswave.com/websquare/websquare.html?w2xPath=/support/api/guide/GridView/Events/oncellclick_2_GridView.xml</v>
      </c>
      <c r="Y258" s="48" t="str">
        <f>HYPERLINK(X258, H258)</f>
        <v>이벤트 - oncellclick</v>
      </c>
      <c r="Z258" s="4" t="str">
        <f>HYPERLINK(V258,H258)</f>
        <v>이벤트 - oncellclick</v>
      </c>
      <c r="AA258" s="4" t="str">
        <f>HYPERLINK(J258,H258)</f>
        <v>이벤트 - oncellclick</v>
      </c>
      <c r="AB258" s="39" t="str">
        <f t="shared" si="8"/>
        <v>https://docs.inswave.com/websquare/websquare.html?w2xPath=/support/api/guide/GridView/Events/oncellclick_2_GridView.xml</v>
      </c>
    </row>
    <row r="259" spans="1:30" s="39" customFormat="1" ht="102" x14ac:dyDescent="0.45">
      <c r="A259" s="37">
        <f>SUBTOTAL(3, $T$2:T259)</f>
        <v>195</v>
      </c>
      <c r="B259" s="38" t="s">
        <v>0</v>
      </c>
      <c r="C259" s="39" t="s">
        <v>1335</v>
      </c>
      <c r="D259" s="39" t="s">
        <v>1520</v>
      </c>
      <c r="E259" s="40" t="s">
        <v>4058</v>
      </c>
      <c r="F259" s="41" t="s">
        <v>2117</v>
      </c>
      <c r="G259" s="39" t="s">
        <v>1460</v>
      </c>
      <c r="H259" s="53" t="s">
        <v>4059</v>
      </c>
      <c r="I259" s="39" t="s">
        <v>1462</v>
      </c>
      <c r="J259" s="14" t="s">
        <v>2118</v>
      </c>
      <c r="K259" s="22" t="s">
        <v>3145</v>
      </c>
      <c r="L259" s="46">
        <v>43952</v>
      </c>
      <c r="M259" s="14"/>
      <c r="N259" s="45" t="s">
        <v>199</v>
      </c>
      <c r="O259" s="45" t="s">
        <v>199</v>
      </c>
      <c r="P259" s="45" t="s">
        <v>199</v>
      </c>
      <c r="Q259" s="45" t="s">
        <v>199</v>
      </c>
      <c r="R259" s="45" t="s">
        <v>199</v>
      </c>
      <c r="S259" s="45" t="s">
        <v>199</v>
      </c>
      <c r="T259" s="47" t="s">
        <v>4247</v>
      </c>
      <c r="U259" s="39" t="s">
        <v>3764</v>
      </c>
      <c r="V259" s="39" t="str">
        <f>CONCATENATE(U259, D259)</f>
        <v>https://example.websquare.kr/websquare/websquare.html?w2xPath=/guide/GridView/Events/oncelldblclick_GridView.xml</v>
      </c>
      <c r="W259" s="39" t="s">
        <v>4512</v>
      </c>
      <c r="X259" s="39" t="str">
        <f>CONCATENATE(W259, D259)</f>
        <v>https://docs.inswave.com/websquare/websquare.html?w2xPath=/support/api/guide/GridView/Events/oncelldblclick_GridView.xml</v>
      </c>
      <c r="Y259" s="48" t="str">
        <f>HYPERLINK(X259, H259)</f>
        <v>이벤트 - oncelldblclick</v>
      </c>
      <c r="Z259" s="4" t="str">
        <f>HYPERLINK(V259,H259)</f>
        <v>이벤트 - oncelldblclick</v>
      </c>
      <c r="AA259" s="4" t="str">
        <f>HYPERLINK(J259,H259)</f>
        <v>이벤트 - oncelldblclick</v>
      </c>
      <c r="AB259" s="39" t="str">
        <f t="shared" si="8"/>
        <v>https://docs.inswave.com/websquare/websquare.html?w2xPath=/support/api/guide/GridView/Events/oncelldblclick_GridView.xml</v>
      </c>
    </row>
    <row r="260" spans="1:30" s="39" customFormat="1" ht="102" x14ac:dyDescent="0.45">
      <c r="A260" s="37">
        <f>SUBTOTAL(3, $T$2:T260)</f>
        <v>196</v>
      </c>
      <c r="B260" s="38" t="s">
        <v>0</v>
      </c>
      <c r="C260" s="39" t="s">
        <v>1335</v>
      </c>
      <c r="D260" s="39" t="s">
        <v>1675</v>
      </c>
      <c r="E260" s="40" t="s">
        <v>4051</v>
      </c>
      <c r="F260" s="41" t="s">
        <v>2178</v>
      </c>
      <c r="G260" s="39" t="s">
        <v>1668</v>
      </c>
      <c r="H260" s="53" t="s">
        <v>4052</v>
      </c>
      <c r="I260" s="44" t="s">
        <v>1669</v>
      </c>
      <c r="J260" s="14" t="s">
        <v>1673</v>
      </c>
      <c r="K260" s="22" t="s">
        <v>3146</v>
      </c>
      <c r="L260" s="46">
        <v>44743</v>
      </c>
      <c r="M260" s="14"/>
      <c r="N260" s="45" t="s">
        <v>199</v>
      </c>
      <c r="O260" s="45" t="s">
        <v>199</v>
      </c>
      <c r="P260" s="45" t="s">
        <v>199</v>
      </c>
      <c r="Q260" s="45" t="s">
        <v>199</v>
      </c>
      <c r="R260" s="45" t="s">
        <v>199</v>
      </c>
      <c r="S260" s="45" t="s">
        <v>199</v>
      </c>
      <c r="T260" s="47" t="s">
        <v>4247</v>
      </c>
      <c r="U260" s="39" t="s">
        <v>3764</v>
      </c>
      <c r="V260" s="39" t="str">
        <f>CONCATENATE(U260, D260)</f>
        <v>https://example.websquare.kr/websquare/websquare.html?w2xPath=/guide/GridView/Events/oncontextopen_GridView.xml</v>
      </c>
      <c r="W260" s="39" t="s">
        <v>4512</v>
      </c>
      <c r="X260" s="39" t="str">
        <f>CONCATENATE(W260, D260)</f>
        <v>https://docs.inswave.com/websquare/websquare.html?w2xPath=/support/api/guide/GridView/Events/oncontextopen_GridView.xml</v>
      </c>
      <c r="Y260" s="48" t="str">
        <f>HYPERLINK(X260, H260)</f>
        <v>이벤트 - oncontextopen</v>
      </c>
      <c r="Z260" s="4" t="str">
        <f>HYPERLINK(V260,H260)</f>
        <v>이벤트 - oncontextopen</v>
      </c>
      <c r="AA260" s="4" t="str">
        <f>HYPERLINK(J260,H260)</f>
        <v>이벤트 - oncontextopen</v>
      </c>
      <c r="AB260" s="39" t="str">
        <f t="shared" si="8"/>
        <v>https://docs.inswave.com/websquare/websquare.html?w2xPath=/support/api/guide/GridView/Events/oncontextopen_GridView.xml</v>
      </c>
    </row>
    <row r="261" spans="1:30" s="39" customFormat="1" ht="102" x14ac:dyDescent="0.45">
      <c r="A261" s="37">
        <f>SUBTOTAL(3, $T$2:T261)</f>
        <v>197</v>
      </c>
      <c r="B261" s="38" t="s">
        <v>0</v>
      </c>
      <c r="C261" s="39" t="s">
        <v>1335</v>
      </c>
      <c r="D261" s="39" t="s">
        <v>1602</v>
      </c>
      <c r="E261" s="40" t="s">
        <v>1542</v>
      </c>
      <c r="F261" s="41" t="s">
        <v>1601</v>
      </c>
      <c r="G261" s="39" t="s">
        <v>1541</v>
      </c>
      <c r="H261" s="53" t="s">
        <v>4055</v>
      </c>
      <c r="I261" s="44" t="s">
        <v>1543</v>
      </c>
      <c r="J261" s="14" t="s">
        <v>1751</v>
      </c>
      <c r="K261" s="22" t="s">
        <v>3147</v>
      </c>
      <c r="L261" s="46">
        <v>44075</v>
      </c>
      <c r="M261" s="14"/>
      <c r="N261" s="45" t="s">
        <v>199</v>
      </c>
      <c r="O261" s="45" t="s">
        <v>199</v>
      </c>
      <c r="P261" s="45" t="s">
        <v>199</v>
      </c>
      <c r="Q261" s="45" t="s">
        <v>199</v>
      </c>
      <c r="R261" s="45" t="s">
        <v>199</v>
      </c>
      <c r="S261" s="45" t="s">
        <v>199</v>
      </c>
      <c r="T261" s="47" t="s">
        <v>4247</v>
      </c>
      <c r="U261" s="39" t="s">
        <v>3764</v>
      </c>
      <c r="V261" s="39" t="str">
        <f>CONCATENATE(U261, D261)</f>
        <v>https://example.websquare.kr/websquare/websquare.html?w2xPath=/guide/GridView/Events/ondateselect_onmonthselect_onyearselect_GridView.xml</v>
      </c>
      <c r="W261" s="39" t="s">
        <v>4512</v>
      </c>
      <c r="X261" s="39" t="str">
        <f>CONCATENATE(W261, D261)</f>
        <v>https://docs.inswave.com/websquare/websquare.html?w2xPath=/support/api/guide/GridView/Events/ondateselect_onmonthselect_onyearselect_GridView.xml</v>
      </c>
      <c r="Y261" s="48" t="str">
        <f>HYPERLINK(X261, H261)</f>
        <v>이벤트 - ondateselect &amp; onmonthselect &amp; onyearselect</v>
      </c>
      <c r="Z261" s="4" t="str">
        <f>HYPERLINK(V261,H261)</f>
        <v>이벤트 - ondateselect &amp; onmonthselect &amp; onyearselect</v>
      </c>
      <c r="AA261" s="4" t="str">
        <f>HYPERLINK(J261,H261)</f>
        <v>이벤트 - ondateselect &amp; onmonthselect &amp; onyearselect</v>
      </c>
      <c r="AB261" s="39" t="str">
        <f t="shared" si="8"/>
        <v>https://docs.inswave.com/websquare/websquare.html?w2xPath=/support/api/guide/GridView/Events/ondateselect_onmonthselect_onyearselect_GridView.xml</v>
      </c>
    </row>
    <row r="262" spans="1:30" s="39" customFormat="1" ht="102" x14ac:dyDescent="0.45">
      <c r="A262" s="25">
        <f>SUBTOTAL(3, $T$2:T262)</f>
        <v>198</v>
      </c>
      <c r="B262" s="26" t="s">
        <v>0</v>
      </c>
      <c r="C262" s="27" t="s">
        <v>1335</v>
      </c>
      <c r="D262" s="27" t="s">
        <v>4615</v>
      </c>
      <c r="E262" s="28" t="s">
        <v>4588</v>
      </c>
      <c r="F262" s="27" t="s">
        <v>4591</v>
      </c>
      <c r="G262" s="27" t="s">
        <v>4589</v>
      </c>
      <c r="H262" s="27" t="s">
        <v>4590</v>
      </c>
      <c r="I262" s="27" t="s">
        <v>4591</v>
      </c>
      <c r="J262" s="30"/>
      <c r="K262" s="30" t="s">
        <v>2304</v>
      </c>
      <c r="L262" s="31" t="s">
        <v>4540</v>
      </c>
      <c r="M262" s="32"/>
      <c r="N262" s="79"/>
      <c r="O262" s="79"/>
      <c r="P262" s="79"/>
      <c r="Q262" s="79"/>
      <c r="R262" s="79"/>
      <c r="S262" s="79"/>
      <c r="T262" s="33" t="s">
        <v>4249</v>
      </c>
      <c r="U262" s="27" t="s">
        <v>3764</v>
      </c>
      <c r="V262" s="27" t="str">
        <f>CONCATENATE(U262, D262)</f>
        <v>https://example.websquare.kr/websquare/websquare.html?w2xPath=/guide/GridView/footer/onfooterclick_GridView.xml</v>
      </c>
      <c r="W262" s="27" t="s">
        <v>4512</v>
      </c>
      <c r="X262" s="27" t="str">
        <f>CONCATENATE(W262, D262)</f>
        <v>https://docs.inswave.com/websquare/websquare.html?w2xPath=/support/api/guide/GridView/footer/onfooterclick_GridView.xml</v>
      </c>
      <c r="Y262" s="34" t="str">
        <f>HYPERLINK(X262, H262)</f>
        <v>이벤트 - onfooterclick</v>
      </c>
      <c r="Z262" s="35" t="str">
        <f>HYPERLINK(V262,H262)</f>
        <v>이벤트 - onfooterclick</v>
      </c>
      <c r="AA262" s="27"/>
      <c r="AB262" s="39" t="str">
        <f t="shared" si="8"/>
        <v>https://docs.inswave.com/websquare/websquare.html?w2xPath=/support/api/guide/GridView/footer/onfooterclick_GridView.xml</v>
      </c>
      <c r="AC262" s="45"/>
      <c r="AD262" s="45"/>
    </row>
    <row r="263" spans="1:30" s="39" customFormat="1" ht="102" x14ac:dyDescent="0.45">
      <c r="A263" s="37">
        <f>SUBTOTAL(3, $T$2:T263)</f>
        <v>199</v>
      </c>
      <c r="B263" s="40" t="s">
        <v>1814</v>
      </c>
      <c r="C263" s="39" t="s">
        <v>2625</v>
      </c>
      <c r="D263" s="39" t="s">
        <v>2642</v>
      </c>
      <c r="E263" s="40" t="s">
        <v>4060</v>
      </c>
      <c r="F263" s="41" t="s">
        <v>2626</v>
      </c>
      <c r="G263" s="39" t="s">
        <v>4064</v>
      </c>
      <c r="H263" s="53" t="s">
        <v>4061</v>
      </c>
      <c r="I263" s="44" t="s">
        <v>2644</v>
      </c>
      <c r="J263" s="14" t="s">
        <v>2643</v>
      </c>
      <c r="K263" s="22" t="s">
        <v>3148</v>
      </c>
      <c r="L263" s="46">
        <v>45352</v>
      </c>
      <c r="M263" s="14"/>
      <c r="N263" s="45" t="s">
        <v>199</v>
      </c>
      <c r="O263" s="45" t="s">
        <v>199</v>
      </c>
      <c r="P263" s="45" t="s">
        <v>199</v>
      </c>
      <c r="Q263" s="45" t="s">
        <v>199</v>
      </c>
      <c r="R263" s="45" t="s">
        <v>199</v>
      </c>
      <c r="S263" s="45" t="s">
        <v>199</v>
      </c>
      <c r="T263" s="47" t="s">
        <v>4247</v>
      </c>
      <c r="U263" s="39" t="s">
        <v>3764</v>
      </c>
      <c r="V263" s="39" t="str">
        <f>CONCATENATE(U263, D263)</f>
        <v>https://example.websquare.kr/websquare/websquare.html?w2xPath=/guide/GridView/Events/onheadermouseover_onheadermouseout_GridView.xml</v>
      </c>
      <c r="W263" s="39" t="s">
        <v>4512</v>
      </c>
      <c r="X263" s="39" t="str">
        <f>CONCATENATE(W263, D263)</f>
        <v>https://docs.inswave.com/websquare/websquare.html?w2xPath=/support/api/guide/GridView/Events/onheadermouseover_onheadermouseout_GridView.xml</v>
      </c>
      <c r="Y263" s="48" t="str">
        <f>HYPERLINK(X263, H263)</f>
        <v>이벤트 - onheadermouseover &amp; onheadermouseout</v>
      </c>
      <c r="Z263" s="4" t="str">
        <f>HYPERLINK(V263,H263)</f>
        <v>이벤트 - onheadermouseover &amp; onheadermouseout</v>
      </c>
      <c r="AA263" s="4" t="str">
        <f>HYPERLINK(J263,H263)</f>
        <v>이벤트 - onheadermouseover &amp; onheadermouseout</v>
      </c>
      <c r="AB263" s="39" t="str">
        <f t="shared" si="8"/>
        <v>https://docs.inswave.com/websquare/websquare.html?w2xPath=/support/api/guide/GridView/Events/onheadermouseover_onheadermouseout_GridView.xml</v>
      </c>
    </row>
    <row r="264" spans="1:30" s="39" customFormat="1" ht="119" x14ac:dyDescent="0.45">
      <c r="A264" s="37">
        <f>SUBTOTAL(3, $T$2:T264)</f>
        <v>200</v>
      </c>
      <c r="B264" s="38" t="s">
        <v>0</v>
      </c>
      <c r="C264" s="39" t="s">
        <v>1335</v>
      </c>
      <c r="D264" s="39" t="s">
        <v>3720</v>
      </c>
      <c r="E264" s="40" t="s">
        <v>4053</v>
      </c>
      <c r="F264" s="41" t="s">
        <v>1337</v>
      </c>
      <c r="G264" s="44" t="s">
        <v>1336</v>
      </c>
      <c r="H264" s="53" t="s">
        <v>4054</v>
      </c>
      <c r="I264" s="44" t="s">
        <v>1345</v>
      </c>
      <c r="J264" s="14" t="s">
        <v>2138</v>
      </c>
      <c r="K264" s="22" t="s">
        <v>3142</v>
      </c>
      <c r="L264" s="46">
        <v>44166</v>
      </c>
      <c r="M264" s="14"/>
      <c r="N264" s="45" t="s">
        <v>199</v>
      </c>
      <c r="O264" s="45" t="s">
        <v>199</v>
      </c>
      <c r="P264" s="45" t="s">
        <v>199</v>
      </c>
      <c r="Q264" s="45" t="s">
        <v>199</v>
      </c>
      <c r="R264" s="45" t="s">
        <v>199</v>
      </c>
      <c r="S264" s="45" t="s">
        <v>199</v>
      </c>
      <c r="T264" s="47" t="s">
        <v>4247</v>
      </c>
      <c r="U264" s="39" t="s">
        <v>3764</v>
      </c>
      <c r="V264" s="39" t="str">
        <f>CONCATENATE(U264, D264)</f>
        <v>https://example.websquare.kr/websquare/websquare.html?w2xPath=/guide/GridView/Events/onscrollstart_alwaysTriggerScrollStart_GridView/onscrollstart_alwaysTriggerScrollStart_GridView.xml</v>
      </c>
      <c r="W264" s="39" t="s">
        <v>4512</v>
      </c>
      <c r="X264" s="39" t="str">
        <f>CONCATENATE(W264, D264)</f>
        <v>https://docs.inswave.com/websquare/websquare.html?w2xPath=/support/api/guide/GridView/Events/onscrollstart_alwaysTriggerScrollStart_GridView/onscrollstart_alwaysTriggerScrollStart_GridView.xml</v>
      </c>
      <c r="Y264" s="48" t="str">
        <f>HYPERLINK(X264, H264)</f>
        <v>이벤트 - onscrollstart</v>
      </c>
      <c r="Z264" s="4" t="str">
        <f>HYPERLINK(V264,H264)</f>
        <v>이벤트 - onscrollstart</v>
      </c>
      <c r="AA264" s="4" t="str">
        <f>HYPERLINK(J264,H264)</f>
        <v>이벤트 - onscrollstart</v>
      </c>
      <c r="AB264" s="39" t="str">
        <f t="shared" si="8"/>
        <v>https://docs.inswave.com/websquare/websquare.html?w2xPath=/support/api/guide/GridView/Events/onscrollstart_alwaysTriggerScrollStart_GridView/onscrollstart_alwaysTriggerScrollStart_GridView.xml</v>
      </c>
    </row>
    <row r="265" spans="1:30" s="39" customFormat="1" ht="102" x14ac:dyDescent="0.45">
      <c r="A265" s="37">
        <f>SUBTOTAL(3, $T$2:T265)</f>
        <v>201</v>
      </c>
      <c r="B265" s="38" t="s">
        <v>0</v>
      </c>
      <c r="C265" s="39" t="s">
        <v>1335</v>
      </c>
      <c r="D265" s="39" t="s">
        <v>1521</v>
      </c>
      <c r="E265" s="40" t="s">
        <v>2109</v>
      </c>
      <c r="F265" s="41" t="s">
        <v>2116</v>
      </c>
      <c r="G265" s="39" t="s">
        <v>2139</v>
      </c>
      <c r="H265" s="53" t="s">
        <v>4062</v>
      </c>
      <c r="I265" s="44" t="s">
        <v>1461</v>
      </c>
      <c r="J265" s="14" t="s">
        <v>2115</v>
      </c>
      <c r="K265" s="22" t="s">
        <v>3143</v>
      </c>
      <c r="L265" s="46">
        <v>43952</v>
      </c>
      <c r="M265" s="14"/>
      <c r="N265" s="45" t="s">
        <v>199</v>
      </c>
      <c r="O265" s="45" t="s">
        <v>199</v>
      </c>
      <c r="P265" s="45" t="s">
        <v>199</v>
      </c>
      <c r="Q265" s="45" t="s">
        <v>199</v>
      </c>
      <c r="R265" s="45" t="s">
        <v>199</v>
      </c>
      <c r="S265" s="45" t="s">
        <v>199</v>
      </c>
      <c r="T265" s="47" t="s">
        <v>4247</v>
      </c>
      <c r="U265" s="39" t="s">
        <v>3764</v>
      </c>
      <c r="V265" s="39" t="str">
        <f>CONCATENATE(U265, D265)</f>
        <v>https://example.websquare.kr/websquare/websquare.html?w2xPath=/guide/GridView/Events/adding_event_example_onsort_GridView.xml</v>
      </c>
      <c r="W265" s="39" t="s">
        <v>4512</v>
      </c>
      <c r="X265" s="39" t="str">
        <f>CONCATENATE(W265, D265)</f>
        <v>https://docs.inswave.com/websquare/websquare.html?w2xPath=/support/api/guide/GridView/Events/adding_event_example_onsort_GridView.xml</v>
      </c>
      <c r="Y265" s="48" t="str">
        <f>HYPERLINK(X265, H265)</f>
        <v>이벤트 - onsort</v>
      </c>
      <c r="Z265" s="4" t="str">
        <f>HYPERLINK(V265,H265)</f>
        <v>이벤트 - onsort</v>
      </c>
      <c r="AA265" s="4" t="str">
        <f>HYPERLINK(J265,H265)</f>
        <v>이벤트 - onsort</v>
      </c>
      <c r="AB265" s="39" t="str">
        <f t="shared" si="8"/>
        <v>https://docs.inswave.com/websquare/websquare.html?w2xPath=/support/api/guide/GridView/Events/adding_event_example_onsort_GridView.xml</v>
      </c>
    </row>
    <row r="266" spans="1:30" s="39" customFormat="1" ht="102" x14ac:dyDescent="0.45">
      <c r="A266" s="37">
        <f>SUBTOTAL(3, $T$2:T266)</f>
        <v>202</v>
      </c>
      <c r="B266" s="38" t="s">
        <v>0</v>
      </c>
      <c r="C266" s="44" t="s">
        <v>1100</v>
      </c>
      <c r="D266" s="39" t="s">
        <v>1492</v>
      </c>
      <c r="E266" s="40" t="s">
        <v>1905</v>
      </c>
      <c r="F266" s="41" t="s">
        <v>1908</v>
      </c>
      <c r="G266" s="44" t="s">
        <v>1909</v>
      </c>
      <c r="H266" s="53" t="s">
        <v>4499</v>
      </c>
      <c r="I266" s="44" t="s">
        <v>1906</v>
      </c>
      <c r="J266" s="14" t="s">
        <v>1907</v>
      </c>
      <c r="K266" s="22" t="s">
        <v>3168</v>
      </c>
      <c r="L266" s="46">
        <v>43983</v>
      </c>
      <c r="M266" s="14"/>
      <c r="N266" s="45" t="s">
        <v>199</v>
      </c>
      <c r="O266" s="45" t="s">
        <v>199</v>
      </c>
      <c r="P266" s="45" t="s">
        <v>199</v>
      </c>
      <c r="Q266" s="45" t="s">
        <v>199</v>
      </c>
      <c r="R266" s="45" t="s">
        <v>199</v>
      </c>
      <c r="S266" s="45" t="s">
        <v>199</v>
      </c>
      <c r="T266" s="47" t="s">
        <v>4247</v>
      </c>
      <c r="U266" s="39" t="s">
        <v>3764</v>
      </c>
      <c r="V266" s="39" t="str">
        <f>CONCATENATE(U266, D266)</f>
        <v>https://example.websquare.kr/websquare/websquare.html?w2xPath=/guide/GridView/Excel/readCSV_wframe_features_className_GridView.xml</v>
      </c>
      <c r="W266" s="39" t="s">
        <v>4512</v>
      </c>
      <c r="X266" s="39" t="str">
        <f>CONCATENATE(W266, D266)</f>
        <v>https://docs.inswave.com/websquare/websquare.html?w2xPath=/support/api/guide/GridView/Excel/readCSV_wframe_features_className_GridView.xml</v>
      </c>
      <c r="Y266" s="48" t="str">
        <f>HYPERLINK(X266, H266)</f>
        <v>CSV 업로드 창 커스터마이징</v>
      </c>
      <c r="Z266" s="4" t="str">
        <f>HYPERLINK(V266,H266)</f>
        <v>CSV 업로드 창 커스터마이징</v>
      </c>
      <c r="AA266" s="4" t="str">
        <f>HYPERLINK(J266,H266)</f>
        <v>CSV 업로드 창 커스터마이징</v>
      </c>
      <c r="AB266" s="39" t="str">
        <f t="shared" si="8"/>
        <v>https://docs.inswave.com/websquare/websquare.html?w2xPath=/support/api/guide/GridView/Excel/readCSV_wframe_features_className_GridView.xml</v>
      </c>
    </row>
    <row r="267" spans="1:30" s="39" customFormat="1" ht="102" x14ac:dyDescent="0.45">
      <c r="A267" s="37">
        <f>SUBTOTAL(3, $T$2:T267)</f>
        <v>203</v>
      </c>
      <c r="B267" s="38" t="s">
        <v>1814</v>
      </c>
      <c r="C267" s="38" t="s">
        <v>2749</v>
      </c>
      <c r="D267" s="39" t="s">
        <v>4563</v>
      </c>
      <c r="E267" s="40" t="s">
        <v>3478</v>
      </c>
      <c r="F267" s="41" t="s">
        <v>3477</v>
      </c>
      <c r="G267" s="39" t="s">
        <v>3769</v>
      </c>
      <c r="H267" s="58" t="s">
        <v>4495</v>
      </c>
      <c r="I267" s="44" t="s">
        <v>3479</v>
      </c>
      <c r="J267" s="45" t="s">
        <v>2304</v>
      </c>
      <c r="K267" s="45" t="s">
        <v>2304</v>
      </c>
      <c r="L267" s="46">
        <v>45689</v>
      </c>
      <c r="M267" s="14"/>
      <c r="N267" s="45"/>
      <c r="O267" s="45"/>
      <c r="P267" s="45"/>
      <c r="Q267" s="45"/>
      <c r="R267" s="45"/>
      <c r="S267" s="45"/>
      <c r="T267" s="47" t="s">
        <v>4249</v>
      </c>
      <c r="U267" s="39" t="s">
        <v>3764</v>
      </c>
      <c r="V267" s="39" t="str">
        <f>CONCATENATE(U267, D267)</f>
        <v>https://example.websquare.kr/websquare/websquare.html?w2xPath=/guide/GridView/Excel/advancedExcelDownload_excelExpression_GridView.xml</v>
      </c>
      <c r="W267" s="39" t="s">
        <v>4512</v>
      </c>
      <c r="X267" s="39" t="str">
        <f>CONCATENATE(W267, D267)</f>
        <v>https://docs.inswave.com/websquare/websquare.html?w2xPath=/support/api/guide/GridView/Excel/advancedExcelDownload_excelExpression_GridView.xml</v>
      </c>
      <c r="Y267" s="48" t="str">
        <f>HYPERLINK(X267, H267)</f>
        <v>Excel 수식을 사용하여 셀 추가</v>
      </c>
      <c r="Z267" s="4" t="str">
        <f>HYPERLINK(V267,H267)</f>
        <v>Excel 수식을 사용하여 셀 추가</v>
      </c>
      <c r="AA267" s="45" t="s">
        <v>2304</v>
      </c>
      <c r="AB267" s="39" t="str">
        <f t="shared" si="8"/>
        <v>https://docs.inswave.com/websquare/websquare.html?w2xPath=/support/api/guide/GridView/Excel/advancedExcelDownload_excelExpression_GridView.xml</v>
      </c>
    </row>
    <row r="268" spans="1:30" s="39" customFormat="1" ht="102" x14ac:dyDescent="0.45">
      <c r="A268" s="37">
        <f>SUBTOTAL(3, $T$2:T268)</f>
        <v>204</v>
      </c>
      <c r="B268" s="38" t="s">
        <v>0</v>
      </c>
      <c r="C268" s="44" t="s">
        <v>1100</v>
      </c>
      <c r="D268" s="39" t="s">
        <v>1491</v>
      </c>
      <c r="E268" s="40" t="s">
        <v>1901</v>
      </c>
      <c r="F268" s="41" t="s">
        <v>1900</v>
      </c>
      <c r="G268" s="44" t="s">
        <v>1468</v>
      </c>
      <c r="H268" s="53" t="s">
        <v>4498</v>
      </c>
      <c r="I268" s="44" t="s">
        <v>1902</v>
      </c>
      <c r="J268" s="14" t="s">
        <v>1899</v>
      </c>
      <c r="K268" s="22" t="s">
        <v>3164</v>
      </c>
      <c r="L268" s="46">
        <v>43983</v>
      </c>
      <c r="M268" s="14"/>
      <c r="N268" s="45" t="s">
        <v>199</v>
      </c>
      <c r="O268" s="45" t="s">
        <v>199</v>
      </c>
      <c r="P268" s="45" t="s">
        <v>199</v>
      </c>
      <c r="Q268" s="45" t="s">
        <v>199</v>
      </c>
      <c r="R268" s="45" t="s">
        <v>199</v>
      </c>
      <c r="S268" s="45" t="s">
        <v>199</v>
      </c>
      <c r="T268" s="47" t="s">
        <v>4247</v>
      </c>
      <c r="U268" s="39" t="s">
        <v>3764</v>
      </c>
      <c r="V268" s="39" t="str">
        <f>CONCATENATE(U268, D268)</f>
        <v>https://example.websquare.kr/websquare/websquare.html?w2xPath=/guide/GridView/Excel/advancedExcelUpload_wframe_features_className_GridView.xml</v>
      </c>
      <c r="W268" s="39" t="s">
        <v>4512</v>
      </c>
      <c r="X268" s="39" t="str">
        <f>CONCATENATE(W268, D268)</f>
        <v>https://docs.inswave.com/websquare/websquare.html?w2xPath=/support/api/guide/GridView/Excel/advancedExcelUpload_wframe_features_className_GridView.xml</v>
      </c>
      <c r="Y268" s="48" t="str">
        <f>HYPERLINK(X268, H268)</f>
        <v>Excel 업로드 창 커스터마이징</v>
      </c>
      <c r="Z268" s="4" t="str">
        <f>HYPERLINK(V268,H268)</f>
        <v>Excel 업로드 창 커스터마이징</v>
      </c>
      <c r="AA268" s="4" t="str">
        <f>HYPERLINK(J268,H268)</f>
        <v>Excel 업로드 창 커스터마이징</v>
      </c>
      <c r="AB268" s="39" t="str">
        <f t="shared" si="8"/>
        <v>https://docs.inswave.com/websquare/websquare.html?w2xPath=/support/api/guide/GridView/Excel/advancedExcelUpload_wframe_features_className_GridView.xml</v>
      </c>
    </row>
    <row r="269" spans="1:30" s="39" customFormat="1" ht="102" x14ac:dyDescent="0.45">
      <c r="A269" s="37">
        <f>SUBTOTAL(3, $T$2:T269)</f>
        <v>205</v>
      </c>
      <c r="B269" s="38" t="s">
        <v>0</v>
      </c>
      <c r="C269" s="39" t="s">
        <v>1100</v>
      </c>
      <c r="D269" s="39" t="s">
        <v>559</v>
      </c>
      <c r="E269" s="40" t="s">
        <v>546</v>
      </c>
      <c r="F269" s="41" t="s">
        <v>551</v>
      </c>
      <c r="G269" s="39" t="s">
        <v>552</v>
      </c>
      <c r="H269" s="53" t="s">
        <v>4492</v>
      </c>
      <c r="I269" s="44" t="s">
        <v>560</v>
      </c>
      <c r="J269" s="14" t="s">
        <v>550</v>
      </c>
      <c r="K269" s="22" t="s">
        <v>3165</v>
      </c>
      <c r="L269" s="46">
        <v>44562</v>
      </c>
      <c r="M269" s="14"/>
      <c r="N269" s="45" t="s">
        <v>199</v>
      </c>
      <c r="O269" s="45" t="s">
        <v>199</v>
      </c>
      <c r="P269" s="45" t="s">
        <v>199</v>
      </c>
      <c r="Q269" s="45" t="s">
        <v>199</v>
      </c>
      <c r="R269" s="45" t="s">
        <v>199</v>
      </c>
      <c r="S269" s="45" t="s">
        <v>199</v>
      </c>
      <c r="T269" s="47" t="s">
        <v>4247</v>
      </c>
      <c r="U269" s="39" t="s">
        <v>3764</v>
      </c>
      <c r="V269" s="39" t="str">
        <f>CONCATENATE(U269, D269)</f>
        <v>https://example.websquare.kr/websquare/websquare.html?w2xPath=/guide/GridView/Excel/excelCellType_gridView_column.xml</v>
      </c>
      <c r="W269" s="39" t="s">
        <v>4512</v>
      </c>
      <c r="X269" s="39" t="str">
        <f>CONCATENATE(W269, D269)</f>
        <v>https://docs.inswave.com/websquare/websquare.html?w2xPath=/support/api/guide/GridView/Excel/excelCellType_gridView_column.xml</v>
      </c>
      <c r="Y269" s="48" t="str">
        <f>HYPERLINK(X269, H269)</f>
        <v>Excel 파일에서의 데이터 표시 형식 설정</v>
      </c>
      <c r="Z269" s="4" t="str">
        <f>HYPERLINK(V269,H269)</f>
        <v>Excel 파일에서의 데이터 표시 형식 설정</v>
      </c>
      <c r="AA269" s="4" t="str">
        <f>HYPERLINK(J269,H269)</f>
        <v>Excel 파일에서의 데이터 표시 형식 설정</v>
      </c>
      <c r="AB269" s="39" t="str">
        <f t="shared" si="8"/>
        <v>https://docs.inswave.com/websquare/websquare.html?w2xPath=/support/api/guide/GridView/Excel/excelCellType_gridView_column.xml</v>
      </c>
    </row>
    <row r="270" spans="1:30" s="39" customFormat="1" ht="102" x14ac:dyDescent="0.45">
      <c r="A270" s="37">
        <f>SUBTOTAL(3, $T$2:T270)</f>
        <v>206</v>
      </c>
      <c r="B270" s="38" t="s">
        <v>0</v>
      </c>
      <c r="C270" s="39" t="s">
        <v>1100</v>
      </c>
      <c r="D270" s="39" t="s">
        <v>268</v>
      </c>
      <c r="E270" s="57" t="s">
        <v>211</v>
      </c>
      <c r="F270" s="41" t="s">
        <v>178</v>
      </c>
      <c r="G270" s="39" t="s">
        <v>86</v>
      </c>
      <c r="H270" s="53" t="s">
        <v>4493</v>
      </c>
      <c r="I270" s="44" t="s">
        <v>240</v>
      </c>
      <c r="J270" s="14" t="s">
        <v>342</v>
      </c>
      <c r="K270" s="22" t="s">
        <v>3166</v>
      </c>
      <c r="L270" s="46">
        <v>44378</v>
      </c>
      <c r="M270" s="14"/>
      <c r="N270" s="45" t="s">
        <v>199</v>
      </c>
      <c r="O270" s="45" t="s">
        <v>199</v>
      </c>
      <c r="P270" s="45" t="s">
        <v>199</v>
      </c>
      <c r="Q270" s="45" t="s">
        <v>199</v>
      </c>
      <c r="R270" s="45" t="s">
        <v>199</v>
      </c>
      <c r="S270" s="45" t="s">
        <v>199</v>
      </c>
      <c r="T270" s="47" t="s">
        <v>4247</v>
      </c>
      <c r="U270" s="39" t="s">
        <v>3764</v>
      </c>
      <c r="V270" s="39" t="str">
        <f>CONCATENATE(U270, D270)</f>
        <v>https://example.websquare.kr/websquare/websquare.html?w2xPath=/guide/GridView/Excel/excelFormat_gridView_column.xml</v>
      </c>
      <c r="W270" s="39" t="s">
        <v>4512</v>
      </c>
      <c r="X270" s="39" t="str">
        <f>CONCATENATE(W270, D270)</f>
        <v>https://docs.inswave.com/websquare/websquare.html?w2xPath=/support/api/guide/GridView/Excel/excelFormat_gridView_column.xml</v>
      </c>
      <c r="Y270" s="48" t="str">
        <f>HYPERLINK(X270, H270)</f>
        <v>Excel 파일에서의 데이터 형식 설정 (속성 이용)</v>
      </c>
      <c r="Z270" s="4" t="str">
        <f>HYPERLINK(V270,H270)</f>
        <v>Excel 파일에서의 데이터 형식 설정 (속성 이용)</v>
      </c>
      <c r="AA270" s="4" t="str">
        <f>HYPERLINK(J270,H270)</f>
        <v>Excel 파일에서의 데이터 형식 설정 (속성 이용)</v>
      </c>
      <c r="AB270" s="39" t="str">
        <f t="shared" si="8"/>
        <v>https://docs.inswave.com/websquare/websquare.html?w2xPath=/support/api/guide/GridView/Excel/excelFormat_gridView_column.xml</v>
      </c>
    </row>
    <row r="271" spans="1:30" s="39" customFormat="1" ht="102" x14ac:dyDescent="0.45">
      <c r="A271" s="37">
        <f>SUBTOTAL(3, $T$2:T271)</f>
        <v>207</v>
      </c>
      <c r="B271" s="38" t="s">
        <v>0</v>
      </c>
      <c r="C271" s="39" t="s">
        <v>1100</v>
      </c>
      <c r="D271" s="39" t="s">
        <v>3548</v>
      </c>
      <c r="E271" s="57" t="s">
        <v>4065</v>
      </c>
      <c r="F271" s="41" t="s">
        <v>197</v>
      </c>
      <c r="G271" s="39" t="s">
        <v>117</v>
      </c>
      <c r="H271" s="53" t="s">
        <v>4494</v>
      </c>
      <c r="I271" s="44" t="s">
        <v>254</v>
      </c>
      <c r="J271" s="14" t="s">
        <v>343</v>
      </c>
      <c r="K271" s="22" t="s">
        <v>3167</v>
      </c>
      <c r="L271" s="46">
        <v>44440</v>
      </c>
      <c r="M271" s="14"/>
      <c r="N271" s="45" t="s">
        <v>199</v>
      </c>
      <c r="O271" s="45" t="s">
        <v>199</v>
      </c>
      <c r="P271" s="45" t="s">
        <v>199</v>
      </c>
      <c r="Q271" s="45" t="s">
        <v>199</v>
      </c>
      <c r="R271" s="45" t="s">
        <v>199</v>
      </c>
      <c r="S271" s="45" t="s">
        <v>199</v>
      </c>
      <c r="T271" s="47" t="s">
        <v>4247</v>
      </c>
      <c r="U271" s="39" t="s">
        <v>3764</v>
      </c>
      <c r="V271" s="39" t="str">
        <f>CONCATENATE(U271, D271)</f>
        <v>https://example.websquare.kr/websquare/websquare.html?w2xPath=/guide/GridView/Excel/excelFormatter_gridView_column.xml</v>
      </c>
      <c r="W271" s="39" t="s">
        <v>4512</v>
      </c>
      <c r="X271" s="39" t="str">
        <f>CONCATENATE(W271, D271)</f>
        <v>https://docs.inswave.com/websquare/websquare.html?w2xPath=/support/api/guide/GridView/Excel/excelFormatter_gridView_column.xml</v>
      </c>
      <c r="Y271" s="48" t="str">
        <f>HYPERLINK(X271, H271)</f>
        <v>Excel 파일에서의 데이터 형식 설정 (함수 이용)</v>
      </c>
      <c r="Z271" s="4" t="str">
        <f>HYPERLINK(V271,H271)</f>
        <v>Excel 파일에서의 데이터 형식 설정 (함수 이용)</v>
      </c>
      <c r="AA271" s="4" t="str">
        <f>HYPERLINK(J271,H271)</f>
        <v>Excel 파일에서의 데이터 형식 설정 (함수 이용)</v>
      </c>
      <c r="AB271" s="39" t="str">
        <f t="shared" si="8"/>
        <v>https://docs.inswave.com/websquare/websquare.html?w2xPath=/support/api/guide/GridView/Excel/excelFormatter_gridView_column.xml</v>
      </c>
    </row>
    <row r="272" spans="1:30" s="39" customFormat="1" ht="102" x14ac:dyDescent="0.45">
      <c r="A272" s="37">
        <f>SUBTOTAL(3, $T$2:T272)</f>
        <v>208</v>
      </c>
      <c r="B272" s="38" t="s">
        <v>0</v>
      </c>
      <c r="C272" s="39" t="s">
        <v>1100</v>
      </c>
      <c r="D272" s="39" t="s">
        <v>1696</v>
      </c>
      <c r="E272" s="40" t="s">
        <v>1698</v>
      </c>
      <c r="F272" s="61" t="s">
        <v>1689</v>
      </c>
      <c r="G272" s="39" t="s">
        <v>1691</v>
      </c>
      <c r="H272" s="53" t="s">
        <v>4066</v>
      </c>
      <c r="I272" s="44" t="s">
        <v>1690</v>
      </c>
      <c r="J272" s="14" t="s">
        <v>1701</v>
      </c>
      <c r="K272" s="22" t="s">
        <v>3163</v>
      </c>
      <c r="L272" s="46">
        <v>44774</v>
      </c>
      <c r="M272" s="14"/>
      <c r="N272" s="45" t="s">
        <v>199</v>
      </c>
      <c r="O272" s="45" t="s">
        <v>199</v>
      </c>
      <c r="P272" s="45" t="s">
        <v>199</v>
      </c>
      <c r="Q272" s="45" t="s">
        <v>199</v>
      </c>
      <c r="R272" s="45" t="s">
        <v>199</v>
      </c>
      <c r="S272" s="45" t="s">
        <v>199</v>
      </c>
      <c r="T272" s="47" t="s">
        <v>4247</v>
      </c>
      <c r="U272" s="39" t="s">
        <v>3764</v>
      </c>
      <c r="V272" s="39" t="str">
        <f>CONCATENATE(U272, D272)</f>
        <v>https://example.websquare.kr/websquare/websquare.html?w2xPath=/guide/GridView/Excel/advancedExcelDownload_xxxFontBold.xml</v>
      </c>
      <c r="W272" s="39" t="s">
        <v>4512</v>
      </c>
      <c r="X272" s="39" t="str">
        <f>CONCATENATE(W272, D272)</f>
        <v>https://docs.inswave.com/websquare/websquare.html?w2xPath=/support/api/guide/GridView/Excel/advancedExcelDownload_xxxFontBold.xml</v>
      </c>
      <c r="Y272" s="48" t="str">
        <f>HYPERLINK(X272, H272)</f>
        <v>Excel 파일의 지정한 영역을 굵게(bold) 표시</v>
      </c>
      <c r="Z272" s="4" t="str">
        <f>HYPERLINK(V272,H272)</f>
        <v>Excel 파일의 지정한 영역을 굵게(bold) 표시</v>
      </c>
      <c r="AA272" s="4" t="str">
        <f>HYPERLINK(J272,H272)</f>
        <v>Excel 파일의 지정한 영역을 굵게(bold) 표시</v>
      </c>
      <c r="AB272" s="39" t="str">
        <f t="shared" si="8"/>
        <v>https://docs.inswave.com/websquare/websquare.html?w2xPath=/support/api/guide/GridView/Excel/advancedExcelDownload_xxxFontBold.xml</v>
      </c>
      <c r="AC272" s="45"/>
      <c r="AD272" s="45"/>
    </row>
    <row r="273" spans="1:28" s="39" customFormat="1" ht="102" x14ac:dyDescent="0.45">
      <c r="A273" s="37">
        <f>SUBTOTAL(3, $T$2:T273)</f>
        <v>209</v>
      </c>
      <c r="B273" s="38" t="s">
        <v>1814</v>
      </c>
      <c r="C273" s="38" t="s">
        <v>2749</v>
      </c>
      <c r="D273" s="39" t="s">
        <v>2751</v>
      </c>
      <c r="E273" s="40" t="s">
        <v>2748</v>
      </c>
      <c r="F273" s="41" t="s">
        <v>2750</v>
      </c>
      <c r="G273" s="39" t="s">
        <v>4084</v>
      </c>
      <c r="H273" s="49" t="s">
        <v>4082</v>
      </c>
      <c r="I273" s="44" t="s">
        <v>2752</v>
      </c>
      <c r="J273" s="14" t="s">
        <v>2753</v>
      </c>
      <c r="K273" s="22" t="s">
        <v>3157</v>
      </c>
      <c r="L273" s="46">
        <v>45444</v>
      </c>
      <c r="M273" s="45" t="s">
        <v>200</v>
      </c>
      <c r="N273" s="45"/>
      <c r="O273" s="45"/>
      <c r="P273" s="45"/>
      <c r="Q273" s="45" t="s">
        <v>199</v>
      </c>
      <c r="R273" s="45" t="s">
        <v>199</v>
      </c>
      <c r="S273" s="45" t="s">
        <v>199</v>
      </c>
      <c r="T273" s="47" t="s">
        <v>4247</v>
      </c>
      <c r="U273" s="39" t="s">
        <v>3764</v>
      </c>
      <c r="V273" s="39" t="str">
        <f>CONCATENATE(U273, D273)</f>
        <v>https://example.websquare.kr/websquare/websquare.html?w2xPath=/guide/GridView/Excel/advancedExcelDownload_headerRowHeight_GridView.xml</v>
      </c>
      <c r="W273" s="39" t="s">
        <v>4512</v>
      </c>
      <c r="X273" s="39" t="str">
        <f>CONCATENATE(W273, D273)</f>
        <v>https://docs.inswave.com/websquare/websquare.html?w2xPath=/support/api/guide/GridView/Excel/advancedExcelDownload_headerRowHeight_GridView.xml</v>
      </c>
      <c r="Y273" s="48" t="str">
        <f>HYPERLINK(X273, H273)</f>
        <v>Excel 파일의 헤더 높이 설정</v>
      </c>
      <c r="Z273" s="4" t="str">
        <f>HYPERLINK(V273,H273)</f>
        <v>Excel 파일의 헤더 높이 설정</v>
      </c>
      <c r="AA273" s="4" t="str">
        <f>HYPERLINK(J273,H273)</f>
        <v>Excel 파일의 헤더 높이 설정</v>
      </c>
      <c r="AB273" s="39" t="str">
        <f t="shared" si="8"/>
        <v>https://docs.inswave.com/websquare/websquare.html?w2xPath=/support/api/guide/GridView/Excel/advancedExcelDownload_headerRowHeight_GridView.xml</v>
      </c>
    </row>
    <row r="274" spans="1:28" s="39" customFormat="1" ht="102" x14ac:dyDescent="0.45">
      <c r="A274" s="37">
        <f>SUBTOTAL(3, $T$2:T274)</f>
        <v>210</v>
      </c>
      <c r="B274" s="38" t="s">
        <v>0</v>
      </c>
      <c r="C274" s="39" t="s">
        <v>1100</v>
      </c>
      <c r="D274" s="39" t="s">
        <v>1597</v>
      </c>
      <c r="E274" s="40" t="s">
        <v>1598</v>
      </c>
      <c r="F274" s="41" t="s">
        <v>1596</v>
      </c>
      <c r="G274" s="44" t="s">
        <v>1535</v>
      </c>
      <c r="H274" s="53" t="s">
        <v>4083</v>
      </c>
      <c r="I274" s="44" t="s">
        <v>1536</v>
      </c>
      <c r="J274" s="14" t="s">
        <v>1813</v>
      </c>
      <c r="K274" s="22" t="s">
        <v>3162</v>
      </c>
      <c r="L274" s="46">
        <v>44075</v>
      </c>
      <c r="M274" s="14"/>
      <c r="N274" s="45" t="s">
        <v>199</v>
      </c>
      <c r="O274" s="45" t="s">
        <v>199</v>
      </c>
      <c r="P274" s="45" t="s">
        <v>199</v>
      </c>
      <c r="Q274" s="45" t="s">
        <v>199</v>
      </c>
      <c r="R274" s="45" t="s">
        <v>199</v>
      </c>
      <c r="S274" s="45" t="s">
        <v>199</v>
      </c>
      <c r="T274" s="47" t="s">
        <v>4247</v>
      </c>
      <c r="U274" s="39" t="s">
        <v>3764</v>
      </c>
      <c r="V274" s="39" t="str">
        <f>CONCATENATE(U274, D274)</f>
        <v>https://example.websquare.kr/websquare/websquare.html?w2xPath=/guide/GridView/Excel/advancedExcelDownload_useStyle_headerFontBold_GridView.xml</v>
      </c>
      <c r="W274" s="39" t="s">
        <v>4512</v>
      </c>
      <c r="X274" s="39" t="str">
        <f>CONCATENATE(W274, D274)</f>
        <v>https://docs.inswave.com/websquare/websquare.html?w2xPath=/support/api/guide/GridView/Excel/advancedExcelDownload_useStyle_headerFontBold_GridView.xml</v>
      </c>
      <c r="Y274" s="48" t="str">
        <f>HYPERLINK(X274, H274)</f>
        <v>Excel 파일의 헤더를 굵게(bold) 표시</v>
      </c>
      <c r="Z274" s="4" t="str">
        <f>HYPERLINK(V274,H274)</f>
        <v>Excel 파일의 헤더를 굵게(bold) 표시</v>
      </c>
      <c r="AA274" s="4" t="str">
        <f>HYPERLINK(J274,H274)</f>
        <v>Excel 파일의 헤더를 굵게(bold) 표시</v>
      </c>
      <c r="AB274" s="39" t="str">
        <f t="shared" si="8"/>
        <v>https://docs.inswave.com/websquare/websquare.html?w2xPath=/support/api/guide/GridView/Excel/advancedExcelDownload_useStyle_headerFontBold_GridView.xml</v>
      </c>
    </row>
    <row r="275" spans="1:28" s="39" customFormat="1" ht="102" x14ac:dyDescent="0.45">
      <c r="A275" s="37">
        <f>SUBTOTAL(3, $T$2:T275)</f>
        <v>211</v>
      </c>
      <c r="B275" s="38" t="s">
        <v>0</v>
      </c>
      <c r="C275" s="39" t="s">
        <v>1100</v>
      </c>
      <c r="D275" s="39" t="s">
        <v>1697</v>
      </c>
      <c r="E275" s="40" t="s">
        <v>1700</v>
      </c>
      <c r="F275" s="41" t="s">
        <v>1694</v>
      </c>
      <c r="G275" s="44" t="s">
        <v>1693</v>
      </c>
      <c r="H275" s="53" t="s">
        <v>4067</v>
      </c>
      <c r="I275" s="44" t="s">
        <v>1695</v>
      </c>
      <c r="J275" s="14" t="s">
        <v>1703</v>
      </c>
      <c r="K275" s="22" t="s">
        <v>3161</v>
      </c>
      <c r="L275" s="46">
        <v>44774</v>
      </c>
      <c r="M275" s="14"/>
      <c r="N275" s="45" t="s">
        <v>199</v>
      </c>
      <c r="O275" s="45" t="s">
        <v>199</v>
      </c>
      <c r="P275" s="45" t="s">
        <v>199</v>
      </c>
      <c r="Q275" s="45" t="s">
        <v>199</v>
      </c>
      <c r="R275" s="45" t="s">
        <v>199</v>
      </c>
      <c r="S275" s="45" t="s">
        <v>199</v>
      </c>
      <c r="T275" s="47" t="s">
        <v>4247</v>
      </c>
      <c r="U275" s="39" t="s">
        <v>3764</v>
      </c>
      <c r="V275" s="39" t="str">
        <f>CONCATENATE(U275, D275)</f>
        <v>https://example.websquare.kr/websquare/websquare.html?w2xPath=/guide/GridView/Excel/advancedExcelDownload_useStyle_GridView.xml</v>
      </c>
      <c r="W275" s="39" t="s">
        <v>4512</v>
      </c>
      <c r="X275" s="39" t="str">
        <f>CONCATENATE(W275, D275)</f>
        <v>https://docs.inswave.com/websquare/websquare.html?w2xPath=/support/api/guide/GridView/Excel/advancedExcelDownload_useStyle_GridView.xml</v>
      </c>
      <c r="Y275" s="48" t="str">
        <f>HYPERLINK(X275, H275)</f>
        <v>GridView 스타일을 Excel 파일에서 유지</v>
      </c>
      <c r="Z275" s="4" t="str">
        <f>HYPERLINK(V275,H275)</f>
        <v>GridView 스타일을 Excel 파일에서 유지</v>
      </c>
      <c r="AA275" s="4" t="str">
        <f>HYPERLINK(J275,H275)</f>
        <v>GridView 스타일을 Excel 파일에서 유지</v>
      </c>
      <c r="AB275" s="39" t="str">
        <f t="shared" si="8"/>
        <v>https://docs.inswave.com/websquare/websquare.html?w2xPath=/support/api/guide/GridView/Excel/advancedExcelDownload_useStyle_GridView.xml</v>
      </c>
    </row>
    <row r="276" spans="1:28" s="39" customFormat="1" ht="102" x14ac:dyDescent="0.45">
      <c r="A276" s="37">
        <f>SUBTOTAL(3, $T$2:T276)</f>
        <v>212</v>
      </c>
      <c r="B276" s="38" t="s">
        <v>0</v>
      </c>
      <c r="C276" s="39" t="s">
        <v>1100</v>
      </c>
      <c r="D276" s="39" t="s">
        <v>3726</v>
      </c>
      <c r="E276" s="40" t="s">
        <v>1565</v>
      </c>
      <c r="F276" s="41" t="s">
        <v>1564</v>
      </c>
      <c r="G276" s="39" t="s">
        <v>44</v>
      </c>
      <c r="H276" s="49" t="s">
        <v>4076</v>
      </c>
      <c r="I276" s="44" t="s">
        <v>1513</v>
      </c>
      <c r="J276" s="14" t="s">
        <v>1842</v>
      </c>
      <c r="K276" s="22" t="s">
        <v>3150</v>
      </c>
      <c r="L276" s="46">
        <v>44044</v>
      </c>
      <c r="M276" s="14"/>
      <c r="N276" s="45" t="s">
        <v>199</v>
      </c>
      <c r="O276" s="45" t="s">
        <v>199</v>
      </c>
      <c r="P276" s="45" t="s">
        <v>199</v>
      </c>
      <c r="Q276" s="45" t="s">
        <v>199</v>
      </c>
      <c r="R276" s="45" t="s">
        <v>199</v>
      </c>
      <c r="S276" s="45" t="s">
        <v>199</v>
      </c>
      <c r="T276" s="47" t="s">
        <v>4247</v>
      </c>
      <c r="U276" s="39" t="s">
        <v>3764</v>
      </c>
      <c r="V276" s="39" t="str">
        <f>CONCATENATE(U276, D276)</f>
        <v>https://example.websquare.kr/websquare/websquare.html?w2xPath=/guide/GridView/Excel/advancedExcelDownload_GridView/advancedExcelDownload_GridView.xml</v>
      </c>
      <c r="W276" s="39" t="s">
        <v>4512</v>
      </c>
      <c r="X276" s="39" t="str">
        <f>CONCATENATE(W276, D276)</f>
        <v>https://docs.inswave.com/websquare/websquare.html?w2xPath=/support/api/guide/GridView/Excel/advancedExcelDownload_GridView/advancedExcelDownload_GridView.xml</v>
      </c>
      <c r="Y276" s="48" t="str">
        <f>HYPERLINK(X276, H276)</f>
        <v>GridView를 Excel 파일로 다운로드</v>
      </c>
      <c r="Z276" s="4" t="str">
        <f>HYPERLINK(V276,H276)</f>
        <v>GridView를 Excel 파일로 다운로드</v>
      </c>
      <c r="AA276" s="4" t="str">
        <f>HYPERLINK(J276,H276)</f>
        <v>GridView를 Excel 파일로 다운로드</v>
      </c>
      <c r="AB276" s="39" t="str">
        <f t="shared" si="8"/>
        <v>https://docs.inswave.com/websquare/websquare.html?w2xPath=/support/api/guide/GridView/Excel/advancedExcelDownload_GridView/advancedExcelDownload_GridView.xml</v>
      </c>
    </row>
    <row r="277" spans="1:28" s="39" customFormat="1" ht="119" x14ac:dyDescent="0.45">
      <c r="A277" s="37">
        <f>SUBTOTAL(3, $T$2:T277)</f>
        <v>213</v>
      </c>
      <c r="B277" s="38" t="s">
        <v>0</v>
      </c>
      <c r="C277" s="39" t="s">
        <v>1100</v>
      </c>
      <c r="D277" s="39" t="s">
        <v>3725</v>
      </c>
      <c r="E277" s="57" t="s">
        <v>4075</v>
      </c>
      <c r="F277" s="41" t="s">
        <v>196</v>
      </c>
      <c r="G277" s="39" t="s">
        <v>118</v>
      </c>
      <c r="H277" s="53" t="s">
        <v>4526</v>
      </c>
      <c r="I277" s="44" t="s">
        <v>455</v>
      </c>
      <c r="J277" s="14" t="s">
        <v>119</v>
      </c>
      <c r="K277" s="22" t="s">
        <v>3149</v>
      </c>
      <c r="L277" s="46">
        <v>44440</v>
      </c>
      <c r="M277" s="14"/>
      <c r="N277" s="45" t="s">
        <v>199</v>
      </c>
      <c r="O277" s="45" t="s">
        <v>199</v>
      </c>
      <c r="P277" s="45" t="s">
        <v>199</v>
      </c>
      <c r="Q277" s="45" t="s">
        <v>199</v>
      </c>
      <c r="R277" s="45" t="s">
        <v>199</v>
      </c>
      <c r="S277" s="45" t="s">
        <v>199</v>
      </c>
      <c r="T277" s="47" t="s">
        <v>4247</v>
      </c>
      <c r="U277" s="39" t="s">
        <v>3764</v>
      </c>
      <c r="V277" s="39" t="str">
        <f>CONCATENATE(U277, D277)</f>
        <v>https://example.websquare.kr/websquare/websquare.html?w2xPath=/guide/GridView/Excel/advancedExcelDownload_customToDataType_GridView/advancedExcelDownload_customToDataType_GridView.xml</v>
      </c>
      <c r="W277" s="39" t="s">
        <v>4512</v>
      </c>
      <c r="X277" s="39" t="str">
        <f>CONCATENATE(W277, D277)</f>
        <v>https://docs.inswave.com/websquare/websquare.html?w2xPath=/support/api/guide/GridView/Excel/advancedExcelDownload_customToDataType_GridView/advancedExcelDownload_customToDataType_GridView.xml</v>
      </c>
      <c r="Y277" s="48" t="str">
        <f>HYPERLINK(X277, H277)</f>
        <v>inputType='custom' 셀의 Excel 연산 지원</v>
      </c>
      <c r="Z277" s="4" t="str">
        <f>HYPERLINK(V277,H277)</f>
        <v>inputType='custom' 셀의 Excel 연산 지원</v>
      </c>
      <c r="AA277" s="4" t="str">
        <f>HYPERLINK(J277,H277)</f>
        <v>inputType='custom' 셀의 Excel 연산 지원</v>
      </c>
      <c r="AB277" s="39" t="str">
        <f t="shared" si="8"/>
        <v>https://docs.inswave.com/websquare/websquare.html?w2xPath=/support/api/guide/GridView/Excel/advancedExcelDownload_customToDataType_GridView/advancedExcelDownload_customToDataType_GridView.xml</v>
      </c>
    </row>
    <row r="278" spans="1:28" s="39" customFormat="1" ht="102" x14ac:dyDescent="0.45">
      <c r="A278" s="37">
        <f>SUBTOTAL(3, $T$2:T278)</f>
        <v>214</v>
      </c>
      <c r="B278" s="38" t="s">
        <v>0</v>
      </c>
      <c r="C278" s="39" t="s">
        <v>1100</v>
      </c>
      <c r="D278" s="39" t="s">
        <v>490</v>
      </c>
      <c r="E278" s="40" t="s">
        <v>466</v>
      </c>
      <c r="F278" s="41" t="s">
        <v>205</v>
      </c>
      <c r="G278" s="39" t="s">
        <v>503</v>
      </c>
      <c r="H278" s="53" t="s">
        <v>4068</v>
      </c>
      <c r="I278" s="44" t="s">
        <v>462</v>
      </c>
      <c r="J278" s="14" t="s">
        <v>491</v>
      </c>
      <c r="K278" s="22" t="s">
        <v>3160</v>
      </c>
      <c r="L278" s="46">
        <v>44256</v>
      </c>
      <c r="M278" s="45"/>
      <c r="N278" s="45" t="s">
        <v>199</v>
      </c>
      <c r="O278" s="45" t="s">
        <v>199</v>
      </c>
      <c r="P278" s="45" t="s">
        <v>199</v>
      </c>
      <c r="Q278" s="45" t="s">
        <v>199</v>
      </c>
      <c r="R278" s="45" t="s">
        <v>199</v>
      </c>
      <c r="S278" s="45" t="s">
        <v>199</v>
      </c>
      <c r="T278" s="47" t="s">
        <v>4247</v>
      </c>
      <c r="U278" s="39" t="s">
        <v>3764</v>
      </c>
      <c r="V278" s="39" t="str">
        <f>CONCATENATE(U278, D278)</f>
        <v>https://example.websquare.kr/websquare/websquare.html?w2xPath=/guide/GridView/Excel/advancedExcelDownload_type_GridView.xml</v>
      </c>
      <c r="W278" s="39" t="s">
        <v>4512</v>
      </c>
      <c r="X278" s="39" t="str">
        <f>CONCATENATE(W278, D278)</f>
        <v>https://docs.inswave.com/websquare/websquare.html?w2xPath=/support/api/guide/GridView/Excel/advancedExcelDownload_type_GridView.xml</v>
      </c>
      <c r="Y278" s="48" t="str">
        <f>HYPERLINK(X278, H278)</f>
        <v>다운로드할 데이터 설정 (GridView 전체)</v>
      </c>
      <c r="Z278" s="4" t="str">
        <f>HYPERLINK(V278,H278)</f>
        <v>다운로드할 데이터 설정 (GridView 전체)</v>
      </c>
      <c r="AA278" s="4" t="str">
        <f>HYPERLINK(J278,H278)</f>
        <v>다운로드할 데이터 설정 (GridView 전체)</v>
      </c>
      <c r="AB278" s="39" t="str">
        <f t="shared" si="8"/>
        <v>https://docs.inswave.com/websquare/websquare.html?w2xPath=/support/api/guide/GridView/Excel/advancedExcelDownload_type_GridView.xml</v>
      </c>
    </row>
    <row r="279" spans="1:28" s="39" customFormat="1" ht="102" x14ac:dyDescent="0.45">
      <c r="A279" s="37">
        <f>SUBTOTAL(3, $T$2:T279)</f>
        <v>215</v>
      </c>
      <c r="B279" s="38" t="s">
        <v>0</v>
      </c>
      <c r="C279" s="39" t="s">
        <v>1100</v>
      </c>
      <c r="D279" s="39" t="s">
        <v>489</v>
      </c>
      <c r="E279" s="40" t="s">
        <v>467</v>
      </c>
      <c r="F279" s="41" t="s">
        <v>203</v>
      </c>
      <c r="G279" s="39" t="s">
        <v>459</v>
      </c>
      <c r="H279" s="53" t="s">
        <v>4069</v>
      </c>
      <c r="I279" s="44" t="s">
        <v>463</v>
      </c>
      <c r="J279" s="14" t="s">
        <v>492</v>
      </c>
      <c r="K279" s="22" t="s">
        <v>3159</v>
      </c>
      <c r="L279" s="46">
        <v>44256</v>
      </c>
      <c r="M279" s="14"/>
      <c r="N279" s="45" t="s">
        <v>199</v>
      </c>
      <c r="O279" s="45" t="s">
        <v>199</v>
      </c>
      <c r="P279" s="45" t="s">
        <v>199</v>
      </c>
      <c r="Q279" s="45" t="s">
        <v>199</v>
      </c>
      <c r="R279" s="45" t="s">
        <v>199</v>
      </c>
      <c r="S279" s="45" t="s">
        <v>199</v>
      </c>
      <c r="T279" s="47" t="s">
        <v>4247</v>
      </c>
      <c r="U279" s="39" t="s">
        <v>3764</v>
      </c>
      <c r="V279" s="39" t="str">
        <f>CONCATENATE(U279, D279)</f>
        <v>https://example.websquare.kr/websquare/websquare.html?w2xPath=/guide/GridView/Excel/advancedExcelDownload_type_convertIndex_GridView.xml</v>
      </c>
      <c r="W279" s="39" t="s">
        <v>4512</v>
      </c>
      <c r="X279" s="39" t="str">
        <f>CONCATENATE(W279, D279)</f>
        <v>https://docs.inswave.com/websquare/websquare.html?w2xPath=/support/api/guide/GridView/Excel/advancedExcelDownload_type_convertIndex_GridView.xml</v>
      </c>
      <c r="Y279" s="48" t="str">
        <f>HYPERLINK(X279, H279)</f>
        <v>다운로드할 데이터 설정 (GridView 컬럼 별)</v>
      </c>
      <c r="Z279" s="4" t="str">
        <f>HYPERLINK(V279,H279)</f>
        <v>다운로드할 데이터 설정 (GridView 컬럼 별)</v>
      </c>
      <c r="AA279" s="4" t="str">
        <f>HYPERLINK(J279,H279)</f>
        <v>다운로드할 데이터 설정 (GridView 컬럼 별)</v>
      </c>
      <c r="AB279" s="39" t="str">
        <f t="shared" si="8"/>
        <v>https://docs.inswave.com/websquare/websquare.html?w2xPath=/support/api/guide/GridView/Excel/advancedExcelDownload_type_convertIndex_GridView.xml</v>
      </c>
    </row>
    <row r="280" spans="1:28" s="39" customFormat="1" ht="102" x14ac:dyDescent="0.45">
      <c r="A280" s="37">
        <f>SUBTOTAL(3, $T$2:T280)</f>
        <v>216</v>
      </c>
      <c r="B280" s="38" t="s">
        <v>0</v>
      </c>
      <c r="C280" s="39" t="s">
        <v>1100</v>
      </c>
      <c r="D280" s="39" t="s">
        <v>1489</v>
      </c>
      <c r="E280" s="40" t="s">
        <v>1490</v>
      </c>
      <c r="F280" s="41" t="s">
        <v>1488</v>
      </c>
      <c r="G280" s="39" t="s">
        <v>1469</v>
      </c>
      <c r="H280" s="53" t="s">
        <v>4081</v>
      </c>
      <c r="I280" s="44" t="s">
        <v>1952</v>
      </c>
      <c r="J280" s="14" t="s">
        <v>1883</v>
      </c>
      <c r="K280" s="22" t="s">
        <v>3156</v>
      </c>
      <c r="L280" s="46">
        <v>43983</v>
      </c>
      <c r="M280" s="14"/>
      <c r="N280" s="45" t="s">
        <v>199</v>
      </c>
      <c r="O280" s="45" t="s">
        <v>199</v>
      </c>
      <c r="P280" s="45" t="s">
        <v>199</v>
      </c>
      <c r="Q280" s="45" t="s">
        <v>199</v>
      </c>
      <c r="R280" s="45" t="s">
        <v>199</v>
      </c>
      <c r="S280" s="45" t="s">
        <v>199</v>
      </c>
      <c r="T280" s="47" t="s">
        <v>4247</v>
      </c>
      <c r="U280" s="39" t="s">
        <v>3764</v>
      </c>
      <c r="V280" s="39" t="str">
        <f>CONCATENATE(U280, D280)</f>
        <v>https://example.websquare.kr/websquare/websquare.html?w2xPath=/guide/GridView/Excel/advancedExcelDownload_colMerge_colMergeValue_GridView.xml</v>
      </c>
      <c r="W280" s="39" t="s">
        <v>4512</v>
      </c>
      <c r="X280" s="39" t="str">
        <f>CONCATENATE(W280, D280)</f>
        <v>https://docs.inswave.com/websquare/websquare.html?w2xPath=/support/api/guide/GridView/Excel/advancedExcelDownload_colMerge_colMergeValue_GridView.xml</v>
      </c>
      <c r="Y280" s="48" t="str">
        <f>HYPERLINK(X280, H280)</f>
        <v>병합 상태를 유지하여 Excel로 다운로드</v>
      </c>
      <c r="Z280" s="4" t="str">
        <f>HYPERLINK(V280,H280)</f>
        <v>병합 상태를 유지하여 Excel로 다운로드</v>
      </c>
      <c r="AA280" s="4" t="str">
        <f>HYPERLINK(J280,H280)</f>
        <v>병합 상태를 유지하여 Excel로 다운로드</v>
      </c>
      <c r="AB280" s="39" t="str">
        <f t="shared" si="8"/>
        <v>https://docs.inswave.com/websquare/websquare.html?w2xPath=/support/api/guide/GridView/Excel/advancedExcelDownload_colMerge_colMergeValue_GridView.xml</v>
      </c>
    </row>
    <row r="281" spans="1:28" s="39" customFormat="1" ht="119" x14ac:dyDescent="0.45">
      <c r="A281" s="37">
        <f>SUBTOTAL(3, $T$2:T281)</f>
        <v>217</v>
      </c>
      <c r="B281" s="38" t="s">
        <v>0</v>
      </c>
      <c r="C281" s="39" t="s">
        <v>1100</v>
      </c>
      <c r="D281" s="39" t="s">
        <v>3727</v>
      </c>
      <c r="E281" s="40" t="s">
        <v>1427</v>
      </c>
      <c r="F281" s="41" t="s">
        <v>1426</v>
      </c>
      <c r="G281" s="39" t="s">
        <v>1428</v>
      </c>
      <c r="H281" s="53" t="s">
        <v>4077</v>
      </c>
      <c r="I281" s="44" t="s">
        <v>1429</v>
      </c>
      <c r="J281" s="14" t="s">
        <v>3441</v>
      </c>
      <c r="K281" s="22" t="s">
        <v>3151</v>
      </c>
      <c r="L281" s="46">
        <v>44713</v>
      </c>
      <c r="M281" s="14"/>
      <c r="N281" s="45" t="s">
        <v>199</v>
      </c>
      <c r="O281" s="45" t="s">
        <v>199</v>
      </c>
      <c r="P281" s="45" t="s">
        <v>199</v>
      </c>
      <c r="Q281" s="45" t="s">
        <v>199</v>
      </c>
      <c r="R281" s="45" t="s">
        <v>199</v>
      </c>
      <c r="S281" s="45" t="s">
        <v>199</v>
      </c>
      <c r="T281" s="47" t="s">
        <v>4247</v>
      </c>
      <c r="U281" s="39" t="s">
        <v>3764</v>
      </c>
      <c r="V281" s="39" t="str">
        <f>CONCATENATE(U281, D281)</f>
        <v>https://example.websquare.kr/websquare/websquare.html?w2xPath=/guide/GridView/Excel/advancedExcelUpload_decimal_applyDecimal_GridView/advancedExcelUpload_decimal_applyDecimal_GridView.xml</v>
      </c>
      <c r="W281" s="39" t="s">
        <v>4512</v>
      </c>
      <c r="X281" s="39" t="str">
        <f>CONCATENATE(W281, D281)</f>
        <v>https://docs.inswave.com/websquare/websquare.html?w2xPath=/support/api/guide/GridView/Excel/advancedExcelUpload_decimal_applyDecimal_GridView/advancedExcelUpload_decimal_applyDecimal_GridView.xml</v>
      </c>
      <c r="Y281" s="48" t="str">
        <f>HYPERLINK(X281, H281)</f>
        <v>소수점 반올림 후 GridView로 업로드</v>
      </c>
      <c r="Z281" s="4" t="str">
        <f>HYPERLINK(V281,H281)</f>
        <v>소수점 반올림 후 GridView로 업로드</v>
      </c>
      <c r="AA281" s="4" t="str">
        <f>HYPERLINK(J281,H281)</f>
        <v>소수점 반올림 후 GridView로 업로드</v>
      </c>
      <c r="AB281" s="39" t="str">
        <f t="shared" si="8"/>
        <v>https://docs.inswave.com/websquare/websquare.html?w2xPath=/support/api/guide/GridView/Excel/advancedExcelUpload_decimal_applyDecimal_GridView/advancedExcelUpload_decimal_applyDecimal_GridView.xml</v>
      </c>
    </row>
    <row r="282" spans="1:28" s="39" customFormat="1" ht="102" x14ac:dyDescent="0.45">
      <c r="A282" s="37">
        <f>SUBTOTAL(3, $T$2:T282)</f>
        <v>218</v>
      </c>
      <c r="B282" s="38" t="s">
        <v>0</v>
      </c>
      <c r="C282" s="39" t="s">
        <v>1100</v>
      </c>
      <c r="D282" s="39" t="s">
        <v>3730</v>
      </c>
      <c r="E282" s="40" t="s">
        <v>2374</v>
      </c>
      <c r="F282" s="41" t="s">
        <v>460</v>
      </c>
      <c r="G282" s="39" t="s">
        <v>504</v>
      </c>
      <c r="H282" s="53" t="s">
        <v>4079</v>
      </c>
      <c r="I282" s="44" t="s">
        <v>461</v>
      </c>
      <c r="J282" s="14" t="s">
        <v>487</v>
      </c>
      <c r="K282" s="22" t="s">
        <v>3155</v>
      </c>
      <c r="L282" s="46">
        <v>44256</v>
      </c>
      <c r="M282" s="45"/>
      <c r="N282" s="45" t="s">
        <v>199</v>
      </c>
      <c r="O282" s="45" t="s">
        <v>199</v>
      </c>
      <c r="P282" s="45" t="s">
        <v>199</v>
      </c>
      <c r="Q282" s="45" t="s">
        <v>199</v>
      </c>
      <c r="R282" s="45" t="s">
        <v>199</v>
      </c>
      <c r="S282" s="45" t="s">
        <v>199</v>
      </c>
      <c r="T282" s="47" t="s">
        <v>4247</v>
      </c>
      <c r="U282" s="39" t="s">
        <v>3764</v>
      </c>
      <c r="V282" s="39" t="str">
        <f>CONCATENATE(U282, D282)</f>
        <v>https://example.websquare.kr/websquare/websquare.html?w2xPath=/guide/GridView/Excel/advancedExcelUpload_type_GridView/advancedExcelUpload_type_GridView.xml</v>
      </c>
      <c r="W282" s="39" t="s">
        <v>4512</v>
      </c>
      <c r="X282" s="39" t="str">
        <f>CONCATENATE(W282, D282)</f>
        <v>https://docs.inswave.com/websquare/websquare.html?w2xPath=/support/api/guide/GridView/Excel/advancedExcelUpload_type_GridView/advancedExcelUpload_type_GridView.xml</v>
      </c>
      <c r="Y282" s="48" t="str">
        <f>HYPERLINK(X282, H282)</f>
        <v>업로드할 데이터 설정 (GridView 전체)</v>
      </c>
      <c r="Z282" s="4" t="str">
        <f>HYPERLINK(V282,H282)</f>
        <v>업로드할 데이터 설정 (GridView 전체)</v>
      </c>
      <c r="AA282" s="4" t="str">
        <f>HYPERLINK(J282,H282)</f>
        <v>업로드할 데이터 설정 (GridView 전체)</v>
      </c>
      <c r="AB282" s="39" t="str">
        <f t="shared" si="8"/>
        <v>https://docs.inswave.com/websquare/websquare.html?w2xPath=/support/api/guide/GridView/Excel/advancedExcelUpload_type_GridView/advancedExcelUpload_type_GridView.xml</v>
      </c>
    </row>
    <row r="283" spans="1:28" s="39" customFormat="1" ht="119" x14ac:dyDescent="0.45">
      <c r="A283" s="37">
        <f>SUBTOTAL(3, $T$2:T283)</f>
        <v>219</v>
      </c>
      <c r="B283" s="38" t="s">
        <v>0</v>
      </c>
      <c r="C283" s="39" t="s">
        <v>1100</v>
      </c>
      <c r="D283" s="39" t="s">
        <v>3731</v>
      </c>
      <c r="E283" s="40" t="s">
        <v>465</v>
      </c>
      <c r="F283" s="41" t="s">
        <v>204</v>
      </c>
      <c r="G283" s="39" t="s">
        <v>458</v>
      </c>
      <c r="H283" s="53" t="s">
        <v>4080</v>
      </c>
      <c r="I283" s="44" t="s">
        <v>464</v>
      </c>
      <c r="J283" s="14" t="s">
        <v>488</v>
      </c>
      <c r="K283" s="22" t="s">
        <v>3154</v>
      </c>
      <c r="L283" s="46">
        <v>44256</v>
      </c>
      <c r="M283" s="45"/>
      <c r="N283" s="45" t="s">
        <v>199</v>
      </c>
      <c r="O283" s="45" t="s">
        <v>199</v>
      </c>
      <c r="P283" s="45" t="s">
        <v>199</v>
      </c>
      <c r="Q283" s="45" t="s">
        <v>199</v>
      </c>
      <c r="R283" s="45" t="s">
        <v>199</v>
      </c>
      <c r="S283" s="45" t="s">
        <v>199</v>
      </c>
      <c r="T283" s="47" t="s">
        <v>4247</v>
      </c>
      <c r="U283" s="39" t="s">
        <v>3764</v>
      </c>
      <c r="V283" s="39" t="str">
        <f>CONCATENATE(U283, D283)</f>
        <v>https://example.websquare.kr/websquare/websquare.html?w2xPath=/guide/GridView/Excel/advancedExcelUpload_type_convertIndex_GridView/advancedExcelUpload_type_convertIndex_GridView.xml</v>
      </c>
      <c r="W283" s="39" t="s">
        <v>4512</v>
      </c>
      <c r="X283" s="39" t="str">
        <f>CONCATENATE(W283, D283)</f>
        <v>https://docs.inswave.com/websquare/websquare.html?w2xPath=/support/api/guide/GridView/Excel/advancedExcelUpload_type_convertIndex_GridView/advancedExcelUpload_type_convertIndex_GridView.xml</v>
      </c>
      <c r="Y283" s="48" t="str">
        <f>HYPERLINK(X283, H283)</f>
        <v>업로드할 데이터 설정 (GridView 컬럼 별)</v>
      </c>
      <c r="Z283" s="4" t="str">
        <f>HYPERLINK(V283,H283)</f>
        <v>업로드할 데이터 설정 (GridView 컬럼 별)</v>
      </c>
      <c r="AA283" s="4" t="str">
        <f>HYPERLINK(J283,H283)</f>
        <v>업로드할 데이터 설정 (GridView 컬럼 별)</v>
      </c>
      <c r="AB283" s="39" t="str">
        <f t="shared" si="8"/>
        <v>https://docs.inswave.com/websquare/websquare.html?w2xPath=/support/api/guide/GridView/Excel/advancedExcelUpload_type_convertIndex_GridView/advancedExcelUpload_type_convertIndex_GridView.xml</v>
      </c>
    </row>
    <row r="284" spans="1:28" s="39" customFormat="1" ht="102" hidden="1" x14ac:dyDescent="0.45">
      <c r="A284" s="37">
        <f>SUBTOTAL(3, $T$2:T284)</f>
        <v>219</v>
      </c>
      <c r="B284" s="38" t="s">
        <v>3048</v>
      </c>
      <c r="C284" s="39" t="s">
        <v>68</v>
      </c>
      <c r="D284" s="39" t="s">
        <v>1759</v>
      </c>
      <c r="E284" s="40" t="s">
        <v>1757</v>
      </c>
      <c r="F284" s="41" t="s">
        <v>1764</v>
      </c>
      <c r="G284" s="39" t="s">
        <v>1760</v>
      </c>
      <c r="H284" s="52" t="s">
        <v>3611</v>
      </c>
      <c r="I284" s="44"/>
      <c r="J284" s="14" t="s">
        <v>1758</v>
      </c>
      <c r="K284" s="22" t="s">
        <v>3050</v>
      </c>
      <c r="L284" s="46">
        <v>44805</v>
      </c>
      <c r="M284" s="14"/>
      <c r="N284" s="45" t="s">
        <v>199</v>
      </c>
      <c r="O284" s="45" t="s">
        <v>199</v>
      </c>
      <c r="P284" s="45" t="s">
        <v>199</v>
      </c>
      <c r="Q284" s="45" t="s">
        <v>199</v>
      </c>
      <c r="R284" s="45" t="s">
        <v>199</v>
      </c>
      <c r="S284" s="45" t="s">
        <v>199</v>
      </c>
      <c r="T284" s="47" t="s">
        <v>4515</v>
      </c>
      <c r="U284" s="39" t="s">
        <v>3764</v>
      </c>
      <c r="V284" s="39" t="str">
        <f>CONCATENATE(U284, D284)</f>
        <v>https://example.websquare.kr/websquare/websquare.html?w2xPath=/guide/_UDC/create_UDC_SP5/</v>
      </c>
      <c r="W284" s="39" t="s">
        <v>4220</v>
      </c>
      <c r="X284" s="39" t="str">
        <f>CONCATENATE(W284, D284)</f>
        <v>https://docs.inswave.com/websquare/websquare.html?w2xPath=/support/api/samples/_UDC/create_UDC_SP5/</v>
      </c>
      <c r="Y284" s="48"/>
      <c r="Z284" s="4"/>
      <c r="AA284" s="4" t="str">
        <f>HYPERLINK(J284,H284)</f>
        <v>UDC 생성</v>
      </c>
      <c r="AB284" s="39" t="str">
        <f t="shared" si="8"/>
        <v>https://docs.inswave.com/websquare/websquare.html?w2xPath=/support/api/samples/_UDC/create_UDC_SP5/</v>
      </c>
    </row>
    <row r="285" spans="1:28" s="39" customFormat="1" ht="102" hidden="1" x14ac:dyDescent="0.45">
      <c r="A285" s="37">
        <f>SUBTOTAL(3, $T$2:T285)</f>
        <v>219</v>
      </c>
      <c r="B285" s="38" t="s">
        <v>1</v>
      </c>
      <c r="C285" s="39" t="s">
        <v>1096</v>
      </c>
      <c r="D285" s="39" t="s">
        <v>4252</v>
      </c>
      <c r="E285" s="40" t="s">
        <v>4278</v>
      </c>
      <c r="F285" s="41" t="s">
        <v>4279</v>
      </c>
      <c r="G285" s="39" t="s">
        <v>1763</v>
      </c>
      <c r="H285" s="52" t="s">
        <v>4516</v>
      </c>
      <c r="I285" s="44" t="s">
        <v>1766</v>
      </c>
      <c r="J285" s="14" t="s">
        <v>1762</v>
      </c>
      <c r="K285" s="22" t="s">
        <v>2762</v>
      </c>
      <c r="L285" s="46">
        <v>44805</v>
      </c>
      <c r="M285" s="14"/>
      <c r="N285" s="45" t="s">
        <v>199</v>
      </c>
      <c r="O285" s="45" t="s">
        <v>199</v>
      </c>
      <c r="P285" s="45" t="s">
        <v>199</v>
      </c>
      <c r="Q285" s="45" t="s">
        <v>199</v>
      </c>
      <c r="R285" s="45" t="s">
        <v>199</v>
      </c>
      <c r="S285" s="45" t="s">
        <v>199</v>
      </c>
      <c r="T285" s="47" t="s">
        <v>4515</v>
      </c>
      <c r="U285" s="39" t="s">
        <v>3764</v>
      </c>
      <c r="V285" s="39" t="str">
        <f>CONCATENATE(U285, D285)</f>
        <v>https://example.websquare.kr/websquare/websquare.html?w2xPath=/guide/p/_General/dynamicCreate_p_UDC/</v>
      </c>
      <c r="W285" s="39" t="s">
        <v>4220</v>
      </c>
      <c r="X285" s="39" t="str">
        <f>CONCATENATE(W285, D285)</f>
        <v>https://docs.inswave.com/websquare/websquare.html?w2xPath=/support/api/samples/p/_General/dynamicCreate_p_UDC/</v>
      </c>
      <c r="Y285" s="48"/>
      <c r="Z285" s="4"/>
      <c r="AA285" s="4" t="str">
        <f>HYPERLINK(J285,H285)</f>
        <v>UDC 동적 생성</v>
      </c>
      <c r="AB285" s="39" t="str">
        <f t="shared" si="8"/>
        <v>https://docs.inswave.com/websquare/websquare.html?w2xPath=/support/api/samples/p/_General/dynamicCreate_p_UDC/</v>
      </c>
    </row>
    <row r="286" spans="1:28" s="39" customFormat="1" ht="102" hidden="1" x14ac:dyDescent="0.45">
      <c r="A286" s="37">
        <f>SUBTOTAL(3, $T$2:T286)</f>
        <v>219</v>
      </c>
      <c r="B286" s="38" t="s">
        <v>1752</v>
      </c>
      <c r="C286" s="39" t="s">
        <v>1752</v>
      </c>
      <c r="D286" s="39" t="s">
        <v>3733</v>
      </c>
      <c r="E286" s="40" t="s">
        <v>3224</v>
      </c>
      <c r="F286" s="41" t="s">
        <v>1844</v>
      </c>
      <c r="G286" s="39" t="s">
        <v>1756</v>
      </c>
      <c r="H286" s="52" t="s">
        <v>3612</v>
      </c>
      <c r="I286" s="44" t="s">
        <v>1755</v>
      </c>
      <c r="J286" s="14" t="s">
        <v>1765</v>
      </c>
      <c r="K286" s="22" t="s">
        <v>2843</v>
      </c>
      <c r="L286" s="46">
        <v>44805</v>
      </c>
      <c r="M286" s="14"/>
      <c r="N286" s="45" t="s">
        <v>199</v>
      </c>
      <c r="O286" s="45" t="s">
        <v>199</v>
      </c>
      <c r="P286" s="45" t="s">
        <v>199</v>
      </c>
      <c r="Q286" s="45" t="s">
        <v>199</v>
      </c>
      <c r="R286" s="45" t="s">
        <v>199</v>
      </c>
      <c r="S286" s="45" t="s">
        <v>199</v>
      </c>
      <c r="T286" s="47" t="s">
        <v>4515</v>
      </c>
      <c r="U286" s="39" t="s">
        <v>3764</v>
      </c>
      <c r="V286" s="39" t="str">
        <f>CONCATENATE(U286, D286)</f>
        <v>https://example.websquare.kr/websquare/websquare.html?w2xPath=/guide/Generator/insertChild_Generator_UDC/insertChild()_Generator_UDC.xml</v>
      </c>
      <c r="W286" s="39" t="s">
        <v>4220</v>
      </c>
      <c r="X286" s="39" t="str">
        <f>CONCATENATE(W286, D286)</f>
        <v>https://docs.inswave.com/websquare/websquare.html?w2xPath=/support/api/samples/Generator/insertChild_Generator_UDC/insertChild()_Generator_UDC.xml</v>
      </c>
      <c r="Y286" s="48"/>
      <c r="Z286" s="4"/>
      <c r="AA286" s="4" t="str">
        <f>HYPERLINK(J286,H286)</f>
        <v>UDC Generator</v>
      </c>
      <c r="AB286" s="39" t="str">
        <f t="shared" si="8"/>
        <v>https://docs.inswave.com/websquare/websquare.html?w2xPath=/support/api/samples/Generator/insertChild_Generator_UDC/insertChild()_Generator_UDC.xml</v>
      </c>
    </row>
    <row r="287" spans="1:28" s="39" customFormat="1" ht="102" hidden="1" x14ac:dyDescent="0.45">
      <c r="A287" s="37">
        <f>SUBTOTAL(3, $T$2:T287)</f>
        <v>219</v>
      </c>
      <c r="B287" s="38" t="s">
        <v>1782</v>
      </c>
      <c r="C287" s="39" t="s">
        <v>68</v>
      </c>
      <c r="D287" s="39" t="s">
        <v>1770</v>
      </c>
      <c r="E287" s="40" t="s">
        <v>1767</v>
      </c>
      <c r="F287" s="41" t="s">
        <v>1768</v>
      </c>
      <c r="G287" s="39" t="s">
        <v>1772</v>
      </c>
      <c r="H287" s="52" t="s">
        <v>3613</v>
      </c>
      <c r="I287" s="44"/>
      <c r="J287" s="14" t="s">
        <v>1769</v>
      </c>
      <c r="K287" s="22" t="s">
        <v>3052</v>
      </c>
      <c r="L287" s="46">
        <v>44805</v>
      </c>
      <c r="M287" s="14"/>
      <c r="N287" s="45" t="s">
        <v>199</v>
      </c>
      <c r="O287" s="45" t="s">
        <v>199</v>
      </c>
      <c r="P287" s="45" t="s">
        <v>199</v>
      </c>
      <c r="Q287" s="45" t="s">
        <v>199</v>
      </c>
      <c r="R287" s="45" t="s">
        <v>199</v>
      </c>
      <c r="S287" s="45" t="s">
        <v>199</v>
      </c>
      <c r="T287" s="47" t="s">
        <v>4515</v>
      </c>
      <c r="U287" s="39" t="s">
        <v>3764</v>
      </c>
      <c r="V287" s="39" t="str">
        <f>CONCATENATE(U287, D287)</f>
        <v>https://example.websquare.kr/websquare/websquare.html?w2xPath=/guide/_UDC/property_UDC_SP5/</v>
      </c>
      <c r="W287" s="39" t="s">
        <v>4220</v>
      </c>
      <c r="X287" s="39" t="str">
        <f>CONCATENATE(W287, D287)</f>
        <v>https://docs.inswave.com/websquare/websquare.html?w2xPath=/support/api/samples/_UDC/property_UDC_SP5/</v>
      </c>
      <c r="Y287" s="48"/>
      <c r="Z287" s="4"/>
      <c r="AA287" s="4" t="str">
        <f>HYPERLINK(J287,H287)</f>
        <v>UDC 속성 구현</v>
      </c>
      <c r="AB287" s="39" t="str">
        <f t="shared" si="8"/>
        <v>https://docs.inswave.com/websquare/websquare.html?w2xPath=/support/api/samples/_UDC/property_UDC_SP5/</v>
      </c>
    </row>
    <row r="288" spans="1:28" s="39" customFormat="1" ht="102" hidden="1" x14ac:dyDescent="0.45">
      <c r="A288" s="37">
        <f>SUBTOTAL(3, $T$2:T288)</f>
        <v>219</v>
      </c>
      <c r="B288" s="38" t="s">
        <v>1782</v>
      </c>
      <c r="C288" s="39" t="s">
        <v>68</v>
      </c>
      <c r="D288" s="39" t="s">
        <v>1777</v>
      </c>
      <c r="E288" s="40" t="s">
        <v>1775</v>
      </c>
      <c r="F288" s="41" t="s">
        <v>1776</v>
      </c>
      <c r="G288" s="39" t="s">
        <v>1773</v>
      </c>
      <c r="H288" s="52" t="s">
        <v>3614</v>
      </c>
      <c r="I288" s="44"/>
      <c r="J288" s="14" t="s">
        <v>1774</v>
      </c>
      <c r="K288" s="22" t="s">
        <v>3053</v>
      </c>
      <c r="L288" s="46">
        <v>44805</v>
      </c>
      <c r="M288" s="14"/>
      <c r="N288" s="45" t="s">
        <v>199</v>
      </c>
      <c r="O288" s="45" t="s">
        <v>199</v>
      </c>
      <c r="P288" s="45" t="s">
        <v>199</v>
      </c>
      <c r="Q288" s="45" t="s">
        <v>199</v>
      </c>
      <c r="R288" s="45" t="s">
        <v>199</v>
      </c>
      <c r="S288" s="45" t="s">
        <v>199</v>
      </c>
      <c r="T288" s="47" t="s">
        <v>4515</v>
      </c>
      <c r="U288" s="39" t="s">
        <v>3764</v>
      </c>
      <c r="V288" s="39" t="str">
        <f>CONCATENATE(U288, D288)</f>
        <v>https://example.websquare.kr/websquare/websquare.html?w2xPath=/guide/_UDC/method_UDC_SP5/</v>
      </c>
      <c r="W288" s="39" t="s">
        <v>4220</v>
      </c>
      <c r="X288" s="39" t="str">
        <f>CONCATENATE(W288, D288)</f>
        <v>https://docs.inswave.com/websquare/websquare.html?w2xPath=/support/api/samples/_UDC/method_UDC_SP5/</v>
      </c>
      <c r="Y288" s="48"/>
      <c r="Z288" s="4"/>
      <c r="AA288" s="4" t="str">
        <f>HYPERLINK(J288,H288)</f>
        <v>UDC 함수 구현</v>
      </c>
      <c r="AB288" s="39" t="str">
        <f t="shared" si="8"/>
        <v>https://docs.inswave.com/websquare/websquare.html?w2xPath=/support/api/samples/_UDC/method_UDC_SP5/</v>
      </c>
    </row>
    <row r="289" spans="1:30" s="39" customFormat="1" ht="102" hidden="1" x14ac:dyDescent="0.45">
      <c r="A289" s="37">
        <f>SUBTOTAL(3, $T$2:T289)</f>
        <v>219</v>
      </c>
      <c r="B289" s="38" t="s">
        <v>1782</v>
      </c>
      <c r="C289" s="39" t="s">
        <v>68</v>
      </c>
      <c r="D289" s="39" t="s">
        <v>1780</v>
      </c>
      <c r="E289" s="40" t="s">
        <v>1781</v>
      </c>
      <c r="F289" s="41" t="s">
        <v>1779</v>
      </c>
      <c r="G289" s="39" t="s">
        <v>1771</v>
      </c>
      <c r="H289" s="52" t="s">
        <v>3615</v>
      </c>
      <c r="I289" s="44"/>
      <c r="J289" s="14" t="s">
        <v>1778</v>
      </c>
      <c r="K289" s="22" t="s">
        <v>3051</v>
      </c>
      <c r="L289" s="46">
        <v>44805</v>
      </c>
      <c r="M289" s="14"/>
      <c r="N289" s="45" t="s">
        <v>199</v>
      </c>
      <c r="O289" s="45" t="s">
        <v>199</v>
      </c>
      <c r="P289" s="45" t="s">
        <v>199</v>
      </c>
      <c r="Q289" s="45" t="s">
        <v>199</v>
      </c>
      <c r="R289" s="45" t="s">
        <v>199</v>
      </c>
      <c r="S289" s="45" t="s">
        <v>199</v>
      </c>
      <c r="T289" s="47" t="s">
        <v>4515</v>
      </c>
      <c r="U289" s="39" t="s">
        <v>3764</v>
      </c>
      <c r="V289" s="39" t="str">
        <f>CONCATENATE(U289, D289)</f>
        <v>https://example.websquare.kr/websquare/websquare.html?w2xPath=/guide/_UDC/event_UDC_SP5/</v>
      </c>
      <c r="W289" s="39" t="s">
        <v>4220</v>
      </c>
      <c r="X289" s="39" t="str">
        <f>CONCATENATE(W289, D289)</f>
        <v>https://docs.inswave.com/websquare/websquare.html?w2xPath=/support/api/samples/_UDC/event_UDC_SP5/</v>
      </c>
      <c r="Y289" s="48"/>
      <c r="Z289" s="4"/>
      <c r="AA289" s="4" t="str">
        <f>HYPERLINK(J289,H289)</f>
        <v>UDC 이벤트 구현</v>
      </c>
      <c r="AB289" s="39" t="str">
        <f t="shared" si="8"/>
        <v>https://docs.inswave.com/websquare/websquare.html?w2xPath=/support/api/samples/_UDC/event_UDC_SP5/</v>
      </c>
    </row>
    <row r="290" spans="1:30" s="39" customFormat="1" ht="102" x14ac:dyDescent="0.45">
      <c r="A290" s="37">
        <f>SUBTOTAL(3, $T$2:T290)</f>
        <v>220</v>
      </c>
      <c r="B290" s="38" t="s">
        <v>0</v>
      </c>
      <c r="C290" s="39" t="s">
        <v>1100</v>
      </c>
      <c r="D290" s="39" t="s">
        <v>1087</v>
      </c>
      <c r="E290" s="40" t="s">
        <v>3227</v>
      </c>
      <c r="F290" s="41" t="s">
        <v>1086</v>
      </c>
      <c r="G290" s="39" t="s">
        <v>1084</v>
      </c>
      <c r="H290" s="53" t="s">
        <v>4070</v>
      </c>
      <c r="I290" s="44" t="s">
        <v>1094</v>
      </c>
      <c r="J290" s="14" t="s">
        <v>1085</v>
      </c>
      <c r="K290" s="22" t="s">
        <v>3158</v>
      </c>
      <c r="L290" s="46">
        <v>44652</v>
      </c>
      <c r="M290" s="14"/>
      <c r="N290" s="45" t="s">
        <v>199</v>
      </c>
      <c r="O290" s="45" t="s">
        <v>199</v>
      </c>
      <c r="P290" s="47" t="s">
        <v>199</v>
      </c>
      <c r="Q290" s="45" t="s">
        <v>199</v>
      </c>
      <c r="R290" s="45" t="s">
        <v>199</v>
      </c>
      <c r="S290" s="45" t="s">
        <v>199</v>
      </c>
      <c r="T290" s="47" t="s">
        <v>4247</v>
      </c>
      <c r="U290" s="39" t="s">
        <v>3764</v>
      </c>
      <c r="V290" s="39" t="str">
        <f>CONCATENATE(U290, D290)</f>
        <v>https://example.websquare.kr/websquare/websquare.html?w2xPath=/guide/GridView/Excel/advancedExcelDownload_trim_GridView.xml</v>
      </c>
      <c r="W290" s="39" t="s">
        <v>4512</v>
      </c>
      <c r="X290" s="39" t="str">
        <f>CONCATENATE(W290, D290)</f>
        <v>https://docs.inswave.com/websquare/websquare.html?w2xPath=/support/api/guide/GridView/Excel/advancedExcelDownload_trim_GridView.xml</v>
      </c>
      <c r="Y290" s="48" t="str">
        <f>HYPERLINK(X290, H290)</f>
        <v>좌우 공백 제거 후 Excel 파일로 다운로드</v>
      </c>
      <c r="Z290" s="4" t="str">
        <f>HYPERLINK(V290,H290)</f>
        <v>좌우 공백 제거 후 Excel 파일로 다운로드</v>
      </c>
      <c r="AA290" s="4" t="str">
        <f>HYPERLINK(J290,H290)</f>
        <v>좌우 공백 제거 후 Excel 파일로 다운로드</v>
      </c>
      <c r="AB290" s="39" t="str">
        <f t="shared" si="8"/>
        <v>https://docs.inswave.com/websquare/websquare.html?w2xPath=/support/api/guide/GridView/Excel/advancedExcelDownload_trim_GridView.xml</v>
      </c>
    </row>
    <row r="291" spans="1:30" s="39" customFormat="1" ht="102" x14ac:dyDescent="0.45">
      <c r="A291" s="37">
        <f>SUBTOTAL(3, $T$2:T291)</f>
        <v>221</v>
      </c>
      <c r="B291" s="38" t="s">
        <v>0</v>
      </c>
      <c r="C291" s="39" t="s">
        <v>1100</v>
      </c>
      <c r="D291" s="39" t="s">
        <v>3729</v>
      </c>
      <c r="E291" s="40" t="s">
        <v>477</v>
      </c>
      <c r="F291" s="41" t="s">
        <v>474</v>
      </c>
      <c r="G291" s="40" t="s">
        <v>478</v>
      </c>
      <c r="H291" s="53" t="s">
        <v>4071</v>
      </c>
      <c r="I291" s="44" t="s">
        <v>484</v>
      </c>
      <c r="J291" s="14" t="s">
        <v>483</v>
      </c>
      <c r="K291" s="22" t="s">
        <v>3153</v>
      </c>
      <c r="L291" s="46">
        <v>44531</v>
      </c>
      <c r="M291" s="14"/>
      <c r="N291" s="45" t="s">
        <v>199</v>
      </c>
      <c r="O291" s="45" t="s">
        <v>199</v>
      </c>
      <c r="P291" s="45" t="s">
        <v>199</v>
      </c>
      <c r="Q291" s="45" t="s">
        <v>199</v>
      </c>
      <c r="R291" s="45" t="s">
        <v>199</v>
      </c>
      <c r="S291" s="45" t="s">
        <v>199</v>
      </c>
      <c r="T291" s="47" t="s">
        <v>4247</v>
      </c>
      <c r="U291" s="39" t="s">
        <v>3764</v>
      </c>
      <c r="V291" s="39" t="str">
        <f>CONCATENATE(U291, D291)</f>
        <v>https://example.websquare.kr/websquare/websquare.html?w2xPath=/guide/GridView/Excel/advancedExcelUpload_trim_GridView/advancedExcelUpload_trim_GridView.xml</v>
      </c>
      <c r="W291" s="39" t="s">
        <v>4512</v>
      </c>
      <c r="X291" s="39" t="str">
        <f>CONCATENATE(W291, D291)</f>
        <v>https://docs.inswave.com/websquare/websquare.html?w2xPath=/support/api/guide/GridView/Excel/advancedExcelUpload_trim_GridView/advancedExcelUpload_trim_GridView.xml</v>
      </c>
      <c r="Y291" s="48" t="str">
        <f>HYPERLINK(X291, H291)</f>
        <v>좌우 공백 제거 후 GridView로 업로드</v>
      </c>
      <c r="Z291" s="4" t="str">
        <f>HYPERLINK(V291,H291)</f>
        <v>좌우 공백 제거 후 GridView로 업로드</v>
      </c>
      <c r="AA291" s="4" t="str">
        <f>HYPERLINK(J291,H291)</f>
        <v>좌우 공백 제거 후 GridView로 업로드</v>
      </c>
      <c r="AB291" s="39" t="str">
        <f t="shared" si="8"/>
        <v>https://docs.inswave.com/websquare/websquare.html?w2xPath=/support/api/guide/GridView/Excel/advancedExcelUpload_trim_GridView/advancedExcelUpload_trim_GridView.xml</v>
      </c>
    </row>
    <row r="292" spans="1:30" s="39" customFormat="1" ht="102" x14ac:dyDescent="0.45">
      <c r="A292" s="25">
        <f>SUBTOTAL(3, $T$2:T292)</f>
        <v>222</v>
      </c>
      <c r="B292" s="26" t="s">
        <v>0</v>
      </c>
      <c r="C292" s="27" t="s">
        <v>1100</v>
      </c>
      <c r="D292" s="27" t="s">
        <v>4564</v>
      </c>
      <c r="E292" s="28" t="s">
        <v>4558</v>
      </c>
      <c r="F292" s="27" t="s">
        <v>4641</v>
      </c>
      <c r="G292" s="27"/>
      <c r="H292" s="27" t="s">
        <v>4561</v>
      </c>
      <c r="I292" s="77" t="s">
        <v>4624</v>
      </c>
      <c r="J292" s="30" t="s">
        <v>2304</v>
      </c>
      <c r="K292" s="30" t="s">
        <v>2304</v>
      </c>
      <c r="L292" s="31" t="s">
        <v>4540</v>
      </c>
      <c r="M292" s="32"/>
      <c r="N292" s="79"/>
      <c r="O292" s="79"/>
      <c r="P292" s="79"/>
      <c r="Q292" s="79"/>
      <c r="R292" s="79"/>
      <c r="S292" s="79"/>
      <c r="T292" s="33" t="s">
        <v>4249</v>
      </c>
      <c r="U292" s="27" t="s">
        <v>3764</v>
      </c>
      <c r="V292" s="27" t="str">
        <f>CONCATENATE(U292, D292)</f>
        <v>https://example.websquare.kr/websquare/websquare.html?w2xPath=/guide/GridView/Excel/advancedExcelDownload_useValueAttribute_GridView.xml</v>
      </c>
      <c r="W292" s="27" t="s">
        <v>4512</v>
      </c>
      <c r="X292" s="27" t="str">
        <f>CONCATENATE(W292, D292)</f>
        <v>https://docs.inswave.com/websquare/websquare.html?w2xPath=/support/api/guide/GridView/Excel/advancedExcelDownload_useValueAttribute_GridView.xml</v>
      </c>
      <c r="Y292" s="34" t="str">
        <f>HYPERLINK(X292, H292)</f>
        <v>컬럼의 value 속성 값도 다운로드</v>
      </c>
      <c r="Z292" s="35" t="str">
        <f>HYPERLINK(V292,H292)</f>
        <v>컬럼의 value 속성 값도 다운로드</v>
      </c>
      <c r="AA292" s="27"/>
      <c r="AB292" s="39" t="str">
        <f t="shared" si="8"/>
        <v>https://docs.inswave.com/websquare/websquare.html?w2xPath=/support/api/guide/GridView/Excel/advancedExcelDownload_useValueAttribute_GridView.xml</v>
      </c>
    </row>
    <row r="293" spans="1:30" s="39" customFormat="1" ht="102" x14ac:dyDescent="0.45">
      <c r="A293" s="37">
        <f>SUBTOTAL(3, $T$2:T293)</f>
        <v>223</v>
      </c>
      <c r="B293" s="38" t="s">
        <v>0</v>
      </c>
      <c r="C293" s="39" t="s">
        <v>1100</v>
      </c>
      <c r="D293" s="39" t="s">
        <v>3728</v>
      </c>
      <c r="E293" s="40" t="s">
        <v>3223</v>
      </c>
      <c r="F293" s="41" t="s">
        <v>1600</v>
      </c>
      <c r="G293" s="44" t="s">
        <v>1807</v>
      </c>
      <c r="H293" s="53" t="s">
        <v>4078</v>
      </c>
      <c r="I293" s="44" t="s">
        <v>1540</v>
      </c>
      <c r="J293" s="14" t="s">
        <v>1806</v>
      </c>
      <c r="K293" s="22" t="s">
        <v>3152</v>
      </c>
      <c r="L293" s="46">
        <v>44075</v>
      </c>
      <c r="M293" s="14"/>
      <c r="N293" s="45" t="s">
        <v>199</v>
      </c>
      <c r="O293" s="45" t="s">
        <v>199</v>
      </c>
      <c r="P293" s="45" t="s">
        <v>199</v>
      </c>
      <c r="Q293" s="45" t="s">
        <v>199</v>
      </c>
      <c r="R293" s="45" t="s">
        <v>199</v>
      </c>
      <c r="S293" s="45" t="s">
        <v>199</v>
      </c>
      <c r="T293" s="47" t="s">
        <v>4247</v>
      </c>
      <c r="U293" s="39" t="s">
        <v>3764</v>
      </c>
      <c r="V293" s="39" t="str">
        <f>CONCATENATE(U293, D293)</f>
        <v>https://example.websquare.kr/websquare/websquare.html?w2xPath=/guide/GridView/Excel/advancedExcelUpload_sheetName_GridView/advancedExcelUpload_sheetName_GridView.xml</v>
      </c>
      <c r="W293" s="39" t="s">
        <v>4512</v>
      </c>
      <c r="X293" s="39" t="str">
        <f>CONCATENATE(W293, D293)</f>
        <v>https://docs.inswave.com/websquare/websquare.html?w2xPath=/support/api/guide/GridView/Excel/advancedExcelUpload_sheetName_GridView/advancedExcelUpload_sheetName_GridView.xml</v>
      </c>
      <c r="Y293" s="48" t="str">
        <f>HYPERLINK(X293, H293)</f>
        <v>특정 Excel 시트만 업로드</v>
      </c>
      <c r="Z293" s="4" t="str">
        <f>HYPERLINK(V293,H293)</f>
        <v>특정 Excel 시트만 업로드</v>
      </c>
      <c r="AA293" s="4" t="str">
        <f>HYPERLINK(J293,H293)</f>
        <v>특정 Excel 시트만 업로드</v>
      </c>
      <c r="AB293" s="39" t="str">
        <f t="shared" si="8"/>
        <v>https://docs.inswave.com/websquare/websquare.html?w2xPath=/support/api/guide/GridView/Excel/advancedExcelUpload_sheetName_GridView/advancedExcelUpload_sheetName_GridView.xml</v>
      </c>
    </row>
    <row r="294" spans="1:30" s="39" customFormat="1" ht="102" x14ac:dyDescent="0.45">
      <c r="A294" s="37">
        <f>SUBTOTAL(3, $T$2:T294)</f>
        <v>224</v>
      </c>
      <c r="B294" s="38" t="s">
        <v>0</v>
      </c>
      <c r="C294" s="39" t="s">
        <v>1120</v>
      </c>
      <c r="D294" s="39" t="s">
        <v>1749</v>
      </c>
      <c r="E294" s="40" t="s">
        <v>1732</v>
      </c>
      <c r="F294" s="41" t="s">
        <v>2268</v>
      </c>
      <c r="G294" s="39" t="s">
        <v>1733</v>
      </c>
      <c r="H294" s="53" t="s">
        <v>4089</v>
      </c>
      <c r="I294" s="44" t="s">
        <v>1740</v>
      </c>
      <c r="J294" s="14" t="s">
        <v>1738</v>
      </c>
      <c r="K294" s="22" t="s">
        <v>3170</v>
      </c>
      <c r="L294" s="46">
        <v>44805</v>
      </c>
      <c r="M294" s="45" t="s">
        <v>200</v>
      </c>
      <c r="N294" s="45" t="s">
        <v>199</v>
      </c>
      <c r="O294" s="45" t="s">
        <v>199</v>
      </c>
      <c r="P294" s="45" t="s">
        <v>199</v>
      </c>
      <c r="Q294" s="45" t="s">
        <v>199</v>
      </c>
      <c r="R294" s="45" t="s">
        <v>199</v>
      </c>
      <c r="S294" s="45" t="s">
        <v>199</v>
      </c>
      <c r="T294" s="47" t="s">
        <v>4247</v>
      </c>
      <c r="U294" s="39" t="s">
        <v>3764</v>
      </c>
      <c r="V294" s="39" t="str">
        <f>CONCATENATE(U294, D294)</f>
        <v>https://example.websquare.kr/websquare/websquare.html?w2xPath=/guide/GridView/Filtering/hideFilterIconOnNoData_GridView.xml</v>
      </c>
      <c r="W294" s="39" t="s">
        <v>4512</v>
      </c>
      <c r="X294" s="39" t="str">
        <f>CONCATENATE(W294, D294)</f>
        <v>https://docs.inswave.com/websquare/websquare.html?w2xPath=/support/api/guide/GridView/Filtering/hideFilterIconOnNoData_GridView.xml</v>
      </c>
      <c r="Y294" s="48" t="str">
        <f>HYPERLINK(X294, H294)</f>
        <v>데이터가 없을 경우 필터 아이콘 숨기기</v>
      </c>
      <c r="Z294" s="4" t="str">
        <f>HYPERLINK(V294,H294)</f>
        <v>데이터가 없을 경우 필터 아이콘 숨기기</v>
      </c>
      <c r="AA294" s="4" t="str">
        <f>HYPERLINK(J294,H294)</f>
        <v>데이터가 없을 경우 필터 아이콘 숨기기</v>
      </c>
      <c r="AB294" s="39" t="str">
        <f t="shared" si="8"/>
        <v>https://docs.inswave.com/websquare/websquare.html?w2xPath=/support/api/guide/GridView/Filtering/hideFilterIconOnNoData_GridView.xml</v>
      </c>
    </row>
    <row r="295" spans="1:30" s="39" customFormat="1" ht="102" hidden="1" x14ac:dyDescent="0.45">
      <c r="A295" s="37">
        <f>SUBTOTAL(3, $T$2:T295)</f>
        <v>224</v>
      </c>
      <c r="B295" s="38" t="s">
        <v>1948</v>
      </c>
      <c r="C295" s="39" t="s">
        <v>1948</v>
      </c>
      <c r="E295" s="40" t="s">
        <v>1537</v>
      </c>
      <c r="F295" s="41" t="s">
        <v>1599</v>
      </c>
      <c r="G295" s="39" t="s">
        <v>1538</v>
      </c>
      <c r="H295" s="43" t="s">
        <v>3616</v>
      </c>
      <c r="I295" s="44" t="s">
        <v>1539</v>
      </c>
      <c r="J295" s="14" t="s">
        <v>1809</v>
      </c>
      <c r="K295" s="45" t="s">
        <v>2304</v>
      </c>
      <c r="L295" s="46">
        <v>44075</v>
      </c>
      <c r="M295" s="14"/>
      <c r="N295" s="45" t="s">
        <v>199</v>
      </c>
      <c r="O295" s="45" t="s">
        <v>199</v>
      </c>
      <c r="P295" s="45" t="s">
        <v>199</v>
      </c>
      <c r="Q295" s="45" t="s">
        <v>199</v>
      </c>
      <c r="R295" s="45" t="s">
        <v>199</v>
      </c>
      <c r="S295" s="45" t="s">
        <v>199</v>
      </c>
      <c r="T295" s="47" t="s">
        <v>4248</v>
      </c>
      <c r="U295" s="39" t="s">
        <v>3764</v>
      </c>
      <c r="V295" s="39" t="str">
        <f>CONCATENATE(U295, D295)</f>
        <v>https://example.websquare.kr/websquare/websquare.html?w2xPath=/guide</v>
      </c>
      <c r="W295" s="39" t="s">
        <v>4220</v>
      </c>
      <c r="X295" s="39" t="str">
        <f>CONCATENATE(W295, D295)</f>
        <v>https://docs.inswave.com/websquare/websquare.html?w2xPath=/support/api/samples</v>
      </c>
      <c r="Y295" s="48"/>
      <c r="Z295" s="4"/>
      <c r="AA295" s="4" t="str">
        <f>HYPERLINK(J295,H295)</f>
        <v>로그 출력 설정</v>
      </c>
      <c r="AB295" s="39" t="str">
        <f t="shared" si="8"/>
        <v>https://docs.inswave.com/websquare/websquare.html?w2xPath=/support/api/samples</v>
      </c>
    </row>
    <row r="296" spans="1:30" s="39" customFormat="1" ht="221" hidden="1" x14ac:dyDescent="0.45">
      <c r="A296" s="37">
        <f>SUBTOTAL(3, $T$2:T296)</f>
        <v>224</v>
      </c>
      <c r="B296" s="38" t="s">
        <v>1948</v>
      </c>
      <c r="C296" s="39" t="s">
        <v>1948</v>
      </c>
      <c r="E296" s="40" t="s">
        <v>1531</v>
      </c>
      <c r="F296" s="41" t="s">
        <v>1595</v>
      </c>
      <c r="G296" s="39" t="s">
        <v>1532</v>
      </c>
      <c r="H296" s="43" t="s">
        <v>3617</v>
      </c>
      <c r="I296" s="44" t="s">
        <v>1534</v>
      </c>
      <c r="J296" s="14" t="s">
        <v>1812</v>
      </c>
      <c r="K296" s="45" t="s">
        <v>2304</v>
      </c>
      <c r="L296" s="46">
        <v>44075</v>
      </c>
      <c r="M296" s="45" t="s">
        <v>200</v>
      </c>
      <c r="N296" s="45" t="s">
        <v>199</v>
      </c>
      <c r="O296" s="45" t="s">
        <v>199</v>
      </c>
      <c r="P296" s="45" t="s">
        <v>199</v>
      </c>
      <c r="Q296" s="45" t="s">
        <v>199</v>
      </c>
      <c r="R296" s="45" t="s">
        <v>199</v>
      </c>
      <c r="S296" s="45" t="s">
        <v>199</v>
      </c>
      <c r="T296" s="47" t="s">
        <v>4248</v>
      </c>
      <c r="U296" s="39" t="s">
        <v>3764</v>
      </c>
      <c r="V296" s="39" t="str">
        <f>CONCATENATE(U296, D296)</f>
        <v>https://example.websquare.kr/websquare/websquare.html?w2xPath=/guide</v>
      </c>
      <c r="W296" s="39" t="s">
        <v>4220</v>
      </c>
      <c r="X296" s="39" t="str">
        <f>CONCATENATE(W296, D296)</f>
        <v>https://docs.inswave.com/websquare/websquare.html?w2xPath=/support/api/samples</v>
      </c>
      <c r="Y296" s="48"/>
      <c r="Z296" s="4"/>
      <c r="AA296" s="4" t="str">
        <f>HYPERLINK(J296,H296)</f>
        <v>HTML escape 옵션</v>
      </c>
      <c r="AB296" s="39" t="str">
        <f t="shared" si="8"/>
        <v>https://docs.inswave.com/websquare/websquare.html?w2xPath=/support/api/samples</v>
      </c>
    </row>
    <row r="297" spans="1:30" s="39" customFormat="1" ht="102" x14ac:dyDescent="0.45">
      <c r="A297" s="37">
        <f>SUBTOTAL(3, $T$2:T297)</f>
        <v>225</v>
      </c>
      <c r="B297" s="38" t="s">
        <v>0</v>
      </c>
      <c r="C297" s="39" t="s">
        <v>1120</v>
      </c>
      <c r="D297" s="39" t="s">
        <v>672</v>
      </c>
      <c r="E297" s="40" t="s">
        <v>4093</v>
      </c>
      <c r="F297" s="41" t="s">
        <v>2532</v>
      </c>
      <c r="G297" s="42" t="s">
        <v>671</v>
      </c>
      <c r="H297" s="53" t="s">
        <v>4092</v>
      </c>
      <c r="I297" s="49" t="s">
        <v>2303</v>
      </c>
      <c r="J297" s="14" t="s">
        <v>2518</v>
      </c>
      <c r="K297" s="22" t="s">
        <v>3171</v>
      </c>
      <c r="L297" s="46">
        <v>43556</v>
      </c>
      <c r="M297" s="60"/>
      <c r="N297" s="45" t="s">
        <v>199</v>
      </c>
      <c r="O297" s="45" t="s">
        <v>199</v>
      </c>
      <c r="P297" s="45" t="s">
        <v>199</v>
      </c>
      <c r="Q297" s="45" t="s">
        <v>199</v>
      </c>
      <c r="R297" s="45" t="s">
        <v>199</v>
      </c>
      <c r="S297" s="45" t="s">
        <v>199</v>
      </c>
      <c r="T297" s="47" t="s">
        <v>4247</v>
      </c>
      <c r="U297" s="39" t="s">
        <v>3764</v>
      </c>
      <c r="V297" s="39" t="str">
        <f>CONCATENATE(U297, D297)</f>
        <v>https://example.websquare.kr/websquare/websquare.html?w2xPath=/guide/GridView/Filtering/showSortableUseFilter_GridView.xml</v>
      </c>
      <c r="W297" s="39" t="s">
        <v>4512</v>
      </c>
      <c r="X297" s="39" t="str">
        <f>CONCATENATE(W297, D297)</f>
        <v>https://docs.inswave.com/websquare/websquare.html?w2xPath=/support/api/guide/GridView/Filtering/showSortableUseFilter_GridView.xml</v>
      </c>
      <c r="Y297" s="48" t="str">
        <f>HYPERLINK(X297, H297)</f>
        <v>정렬 아이콘과 필터링 아이콘 모두 표시</v>
      </c>
      <c r="Z297" s="4" t="str">
        <f>HYPERLINK(V297,H297)</f>
        <v>정렬 아이콘과 필터링 아이콘 모두 표시</v>
      </c>
      <c r="AA297" s="4" t="str">
        <f>HYPERLINK(J297,H297)</f>
        <v>정렬 아이콘과 필터링 아이콘 모두 표시</v>
      </c>
      <c r="AB297" s="39" t="str">
        <f t="shared" si="8"/>
        <v>https://docs.inswave.com/websquare/websquare.html?w2xPath=/support/api/guide/GridView/Filtering/showSortableUseFilter_GridView.xml</v>
      </c>
    </row>
    <row r="298" spans="1:30" s="39" customFormat="1" ht="102" x14ac:dyDescent="0.45">
      <c r="A298" s="37">
        <f>SUBTOTAL(3, $T$2:T298)</f>
        <v>226</v>
      </c>
      <c r="B298" s="38" t="s">
        <v>0</v>
      </c>
      <c r="C298" s="39" t="s">
        <v>1120</v>
      </c>
      <c r="D298" s="39" t="s">
        <v>1627</v>
      </c>
      <c r="E298" s="40" t="s">
        <v>669</v>
      </c>
      <c r="F298" s="41" t="s">
        <v>680</v>
      </c>
      <c r="G298" s="44" t="s">
        <v>682</v>
      </c>
      <c r="H298" s="53" t="s">
        <v>4097</v>
      </c>
      <c r="I298" s="44" t="s">
        <v>681</v>
      </c>
      <c r="J298" s="14" t="s">
        <v>1626</v>
      </c>
      <c r="K298" s="22" t="s">
        <v>3172</v>
      </c>
      <c r="L298" s="46">
        <v>44228</v>
      </c>
      <c r="M298" s="14"/>
      <c r="N298" s="45" t="s">
        <v>199</v>
      </c>
      <c r="O298" s="45" t="s">
        <v>199</v>
      </c>
      <c r="P298" s="47" t="s">
        <v>199</v>
      </c>
      <c r="Q298" s="45" t="s">
        <v>199</v>
      </c>
      <c r="R298" s="45" t="s">
        <v>199</v>
      </c>
      <c r="S298" s="45" t="s">
        <v>199</v>
      </c>
      <c r="T298" s="47" t="s">
        <v>4247</v>
      </c>
      <c r="U298" s="39" t="s">
        <v>3764</v>
      </c>
      <c r="V298" s="39" t="str">
        <f>CONCATENATE(U298, D298)</f>
        <v>https://example.websquare.kr/websquare/websquare.html?w2xPath=/guide/GridView/Filtering/useFilter_gridView_column.xml</v>
      </c>
      <c r="W298" s="39" t="s">
        <v>4512</v>
      </c>
      <c r="X298" s="39" t="str">
        <f>CONCATENATE(W298, D298)</f>
        <v>https://docs.inswave.com/websquare/websquare.html?w2xPath=/support/api/guide/GridView/Filtering/useFilter_gridView_column.xml</v>
      </c>
      <c r="Y298" s="48" t="str">
        <f>HYPERLINK(X298, H298)</f>
        <v>필터 목록 표시</v>
      </c>
      <c r="Z298" s="4" t="str">
        <f>HYPERLINK(V298,H298)</f>
        <v>필터 목록 표시</v>
      </c>
      <c r="AA298" s="4" t="str">
        <f>HYPERLINK(J298,H298)</f>
        <v>필터 목록 표시</v>
      </c>
      <c r="AB298" s="39" t="str">
        <f t="shared" si="8"/>
        <v>https://docs.inswave.com/websquare/websquare.html?w2xPath=/support/api/guide/GridView/Filtering/useFilter_gridView_column.xml</v>
      </c>
      <c r="AC298" s="45"/>
      <c r="AD298" s="45"/>
    </row>
    <row r="299" spans="1:30" s="39" customFormat="1" ht="102" x14ac:dyDescent="0.45">
      <c r="A299" s="37">
        <f>SUBTOTAL(3, $T$2:T299)</f>
        <v>227</v>
      </c>
      <c r="B299" s="38" t="s">
        <v>0</v>
      </c>
      <c r="C299" s="39" t="s">
        <v>2267</v>
      </c>
      <c r="D299" s="39" t="s">
        <v>4096</v>
      </c>
      <c r="E299" s="57" t="s">
        <v>4095</v>
      </c>
      <c r="F299" s="41" t="s">
        <v>194</v>
      </c>
      <c r="G299" s="39" t="s">
        <v>115</v>
      </c>
      <c r="H299" s="53" t="s">
        <v>4094</v>
      </c>
      <c r="I299" s="44" t="s">
        <v>288</v>
      </c>
      <c r="J299" s="14" t="s">
        <v>356</v>
      </c>
      <c r="K299" s="22" t="s">
        <v>3169</v>
      </c>
      <c r="L299" s="46">
        <v>44440</v>
      </c>
      <c r="M299" s="45" t="s">
        <v>200</v>
      </c>
      <c r="N299" s="45" t="s">
        <v>199</v>
      </c>
      <c r="O299" s="45" t="s">
        <v>199</v>
      </c>
      <c r="P299" s="45" t="s">
        <v>199</v>
      </c>
      <c r="Q299" s="45" t="s">
        <v>199</v>
      </c>
      <c r="R299" s="45" t="s">
        <v>199</v>
      </c>
      <c r="S299" s="45" t="s">
        <v>199</v>
      </c>
      <c r="T299" s="47" t="s">
        <v>4247</v>
      </c>
      <c r="U299" s="39" t="s">
        <v>3764</v>
      </c>
      <c r="V299" s="39" t="str">
        <f>CONCATENATE(U299, D299)</f>
        <v>https://example.websquare.kr/websquare/websquare.html?w2xPath=/guide/GridView/Filtering/useFilterSearch_GridView.xml</v>
      </c>
      <c r="W299" s="39" t="s">
        <v>4512</v>
      </c>
      <c r="X299" s="39" t="str">
        <f>CONCATENATE(W299, D299)</f>
        <v>https://docs.inswave.com/websquare/websquare.html?w2xPath=/support/api/guide/GridView/Filtering/useFilterSearch_GridView.xml</v>
      </c>
      <c r="Y299" s="48" t="str">
        <f>HYPERLINK(X299, H299)</f>
        <v>필터 상자에 검색 기능 제공</v>
      </c>
      <c r="Z299" s="4" t="str">
        <f>HYPERLINK(V299,H299)</f>
        <v>필터 상자에 검색 기능 제공</v>
      </c>
      <c r="AA299" s="4" t="str">
        <f>HYPERLINK(J299,H299)</f>
        <v>필터 상자에 검색 기능 제공</v>
      </c>
      <c r="AB299" s="39" t="str">
        <f t="shared" si="8"/>
        <v>https://docs.inswave.com/websquare/websquare.html?w2xPath=/support/api/guide/GridView/Filtering/useFilterSearch_GridView.xml</v>
      </c>
    </row>
    <row r="300" spans="1:30" s="39" customFormat="1" ht="119" x14ac:dyDescent="0.45">
      <c r="A300" s="25">
        <f>SUBTOTAL(3, $T$2:T300)</f>
        <v>228</v>
      </c>
      <c r="B300" s="26" t="s">
        <v>0</v>
      </c>
      <c r="C300" s="27" t="s">
        <v>1120</v>
      </c>
      <c r="D300" s="27" t="s">
        <v>4596</v>
      </c>
      <c r="E300" s="28" t="s">
        <v>4556</v>
      </c>
      <c r="F300" s="27" t="s">
        <v>4557</v>
      </c>
      <c r="G300" s="27"/>
      <c r="H300" s="27" t="s">
        <v>4562</v>
      </c>
      <c r="I300" s="77" t="s">
        <v>4623</v>
      </c>
      <c r="J300" s="30" t="s">
        <v>2304</v>
      </c>
      <c r="K300" s="30" t="s">
        <v>2304</v>
      </c>
      <c r="L300" s="31" t="s">
        <v>4540</v>
      </c>
      <c r="M300" s="32"/>
      <c r="N300" s="79"/>
      <c r="O300" s="79"/>
      <c r="P300" s="79"/>
      <c r="Q300" s="79"/>
      <c r="R300" s="79"/>
      <c r="S300" s="79"/>
      <c r="T300" s="33" t="s">
        <v>4249</v>
      </c>
      <c r="U300" s="27" t="s">
        <v>3764</v>
      </c>
      <c r="V300" s="27" t="str">
        <f>CONCATENATE(U300, D300)</f>
        <v>https://example.websquare.kr/websquare/websquare.html?w2xPath=/guide/GridView/Filtering/defaultShowHeaderFilter_headerFilter_GridView/defaultShowHeaderFilter_headerFilter_GridView.xml</v>
      </c>
      <c r="W300" s="27" t="s">
        <v>4512</v>
      </c>
      <c r="X300" s="27" t="str">
        <f>CONCATENATE(W300, D300)</f>
        <v>https://docs.inswave.com/websquare/websquare.html?w2xPath=/support/api/guide/GridView/Filtering/defaultShowHeaderFilter_headerFilter_GridView/defaultShowHeaderFilter_headerFilter_GridView.xml</v>
      </c>
      <c r="Y300" s="34" t="str">
        <f>HYPERLINK(X300, H300)</f>
        <v>헤더 필터</v>
      </c>
      <c r="Z300" s="35" t="str">
        <f>HYPERLINK(V300,H300)</f>
        <v>헤더 필터</v>
      </c>
      <c r="AA300" s="27"/>
      <c r="AB300" s="39" t="str">
        <f t="shared" si="8"/>
        <v>https://docs.inswave.com/websquare/websquare.html?w2xPath=/support/api/guide/GridView/Filtering/defaultShowHeaderFilter_headerFilter_GridView/defaultShowHeaderFilter_headerFilter_GridView.xml</v>
      </c>
    </row>
    <row r="301" spans="1:30" s="39" customFormat="1" ht="102" x14ac:dyDescent="0.45">
      <c r="A301" s="37">
        <f>SUBTOTAL(3, $T$2:T301)</f>
        <v>229</v>
      </c>
      <c r="B301" s="38" t="s">
        <v>0</v>
      </c>
      <c r="C301" s="39" t="s">
        <v>1784</v>
      </c>
      <c r="D301" s="39" t="s">
        <v>1803</v>
      </c>
      <c r="E301" s="40" t="s">
        <v>900</v>
      </c>
      <c r="F301" s="41" t="s">
        <v>845</v>
      </c>
      <c r="G301" s="39" t="s">
        <v>846</v>
      </c>
      <c r="H301" s="53" t="s">
        <v>4099</v>
      </c>
      <c r="I301" s="44" t="s">
        <v>850</v>
      </c>
      <c r="J301" s="14" t="s">
        <v>844</v>
      </c>
      <c r="K301" s="22" t="s">
        <v>3177</v>
      </c>
      <c r="L301" s="46">
        <v>44166</v>
      </c>
      <c r="M301" s="14"/>
      <c r="N301" s="45" t="s">
        <v>199</v>
      </c>
      <c r="O301" s="45" t="s">
        <v>199</v>
      </c>
      <c r="P301" s="47" t="s">
        <v>199</v>
      </c>
      <c r="Q301" s="45" t="s">
        <v>199</v>
      </c>
      <c r="R301" s="45" t="s">
        <v>199</v>
      </c>
      <c r="S301" s="45" t="s">
        <v>199</v>
      </c>
      <c r="T301" s="47" t="s">
        <v>4247</v>
      </c>
      <c r="U301" s="39" t="s">
        <v>3764</v>
      </c>
      <c r="V301" s="39" t="str">
        <f>CONCATENATE(U301, D301)</f>
        <v>https://example.websquare.kr/websquare/websquare.html?w2xPath=/guide/GridView/footer/inputType_expression_AVG_gridView_column.xml</v>
      </c>
      <c r="W301" s="39" t="s">
        <v>4512</v>
      </c>
      <c r="X301" s="39" t="str">
        <f>CONCATENATE(W301, D301)</f>
        <v>https://docs.inswave.com/websquare/websquare.html?w2xPath=/support/api/guide/GridView/footer/inputType_expression_AVG_gridView_column.xml</v>
      </c>
      <c r="Y301" s="48" t="str">
        <f>HYPERLINK(X301, H301)</f>
        <v>부동 소수점 오류 자동 보정 (AVG 연산)</v>
      </c>
      <c r="Z301" s="4" t="str">
        <f>HYPERLINK(V301,H301)</f>
        <v>부동 소수점 오류 자동 보정 (AVG 연산)</v>
      </c>
      <c r="AA301" s="4" t="str">
        <f>HYPERLINK(J301,H301)</f>
        <v>부동 소수점 오류 자동 보정 (AVG 연산)</v>
      </c>
      <c r="AB301" s="39" t="str">
        <f t="shared" si="8"/>
        <v>https://docs.inswave.com/websquare/websquare.html?w2xPath=/support/api/guide/GridView/footer/inputType_expression_AVG_gridView_column.xml</v>
      </c>
    </row>
    <row r="302" spans="1:30" s="39" customFormat="1" ht="119" x14ac:dyDescent="0.45">
      <c r="A302" s="37">
        <f>SUBTOTAL(3, $T$2:T302)</f>
        <v>230</v>
      </c>
      <c r="B302" s="38" t="s">
        <v>0</v>
      </c>
      <c r="C302" s="39" t="s">
        <v>1784</v>
      </c>
      <c r="D302" s="39" t="s">
        <v>3709</v>
      </c>
      <c r="E302" s="40" t="s">
        <v>901</v>
      </c>
      <c r="F302" s="41" t="s">
        <v>848</v>
      </c>
      <c r="G302" s="39" t="s">
        <v>849</v>
      </c>
      <c r="H302" s="53" t="s">
        <v>4098</v>
      </c>
      <c r="I302" s="44" t="s">
        <v>851</v>
      </c>
      <c r="J302" s="14" t="s">
        <v>847</v>
      </c>
      <c r="K302" s="22" t="s">
        <v>3174</v>
      </c>
      <c r="L302" s="46">
        <v>44166</v>
      </c>
      <c r="M302" s="14"/>
      <c r="N302" s="45" t="s">
        <v>199</v>
      </c>
      <c r="O302" s="45" t="s">
        <v>199</v>
      </c>
      <c r="P302" s="47" t="s">
        <v>199</v>
      </c>
      <c r="Q302" s="45" t="s">
        <v>199</v>
      </c>
      <c r="R302" s="45" t="s">
        <v>199</v>
      </c>
      <c r="S302" s="45" t="s">
        <v>199</v>
      </c>
      <c r="T302" s="47" t="s">
        <v>4247</v>
      </c>
      <c r="U302" s="39" t="s">
        <v>3764</v>
      </c>
      <c r="V302" s="39" t="str">
        <f>CONCATENATE(U302, D302)</f>
        <v>https://example.websquare.kr/websquare/websquare.html?w2xPath=/guide/GridView/footer/inputType_expression_SUM_gridView_column/inputType_expression_SUM_gridView_column.xml</v>
      </c>
      <c r="W302" s="39" t="s">
        <v>4512</v>
      </c>
      <c r="X302" s="39" t="str">
        <f>CONCATENATE(W302, D302)</f>
        <v>https://docs.inswave.com/websquare/websquare.html?w2xPath=/support/api/guide/GridView/footer/inputType_expression_SUM_gridView_column/inputType_expression_SUM_gridView_column.xml</v>
      </c>
      <c r="Y302" s="48" t="str">
        <f>HYPERLINK(X302, H302)</f>
        <v>부동 소수점 오류 자동 보정 (SUM 연산)</v>
      </c>
      <c r="Z302" s="4" t="str">
        <f>HYPERLINK(V302,H302)</f>
        <v>부동 소수점 오류 자동 보정 (SUM 연산)</v>
      </c>
      <c r="AA302" s="4" t="str">
        <f>HYPERLINK(J302,H302)</f>
        <v>부동 소수점 오류 자동 보정 (SUM 연산)</v>
      </c>
      <c r="AB302" s="39" t="str">
        <f t="shared" si="8"/>
        <v>https://docs.inswave.com/websquare/websquare.html?w2xPath=/support/api/guide/GridView/footer/inputType_expression_SUM_gridView_column/inputType_expression_SUM_gridView_column.xml</v>
      </c>
    </row>
    <row r="303" spans="1:30" s="39" customFormat="1" ht="102" x14ac:dyDescent="0.45">
      <c r="A303" s="37">
        <f>SUBTOTAL(3, $T$2:T303)</f>
        <v>231</v>
      </c>
      <c r="B303" s="38" t="s">
        <v>0</v>
      </c>
      <c r="C303" s="39" t="s">
        <v>2232</v>
      </c>
      <c r="D303" s="39" t="s">
        <v>2252</v>
      </c>
      <c r="E303" s="40" t="s">
        <v>2251</v>
      </c>
      <c r="F303" s="41" t="s">
        <v>2233</v>
      </c>
      <c r="G303" s="39" t="s">
        <v>2246</v>
      </c>
      <c r="H303" s="53" t="s">
        <v>4086</v>
      </c>
      <c r="I303" s="44" t="s">
        <v>2234</v>
      </c>
      <c r="J303" s="14" t="s">
        <v>2253</v>
      </c>
      <c r="K303" s="22" t="s">
        <v>3178</v>
      </c>
      <c r="L303" s="46">
        <v>45078</v>
      </c>
      <c r="M303" s="14"/>
      <c r="N303" s="45" t="s">
        <v>199</v>
      </c>
      <c r="O303" s="45" t="s">
        <v>199</v>
      </c>
      <c r="P303" s="45" t="s">
        <v>199</v>
      </c>
      <c r="Q303" s="45" t="s">
        <v>199</v>
      </c>
      <c r="R303" s="45" t="s">
        <v>199</v>
      </c>
      <c r="S303" s="45" t="s">
        <v>199</v>
      </c>
      <c r="T303" s="47" t="s">
        <v>4247</v>
      </c>
      <c r="U303" s="39" t="s">
        <v>3764</v>
      </c>
      <c r="V303" s="39" t="str">
        <f>CONCATENATE(U303, D303)</f>
        <v>https://example.websquare.kr/websquare/websquare.html?w2xPath=/guide/GridView/footer/inputType_expression_sumif_sumifs_gridView_column.xml</v>
      </c>
      <c r="W303" s="39" t="s">
        <v>4512</v>
      </c>
      <c r="X303" s="39" t="str">
        <f>CONCATENATE(W303, D303)</f>
        <v>https://docs.inswave.com/websquare/websquare.html?w2xPath=/support/api/guide/GridView/footer/inputType_expression_sumif_sumifs_gridView_column.xml</v>
      </c>
      <c r="Y303" s="48" t="str">
        <f>HYPERLINK(X303, H303)</f>
        <v>조건부 합계 표시</v>
      </c>
      <c r="Z303" s="4" t="str">
        <f>HYPERLINK(V303,H303)</f>
        <v>조건부 합계 표시</v>
      </c>
      <c r="AA303" s="4" t="str">
        <f>HYPERLINK(J303,H303)</f>
        <v>조건부 합계 표시</v>
      </c>
      <c r="AB303" s="39" t="str">
        <f t="shared" si="8"/>
        <v>https://docs.inswave.com/websquare/websquare.html?w2xPath=/support/api/guide/GridView/footer/inputType_expression_sumif_sumifs_gridView_column.xml</v>
      </c>
    </row>
    <row r="304" spans="1:30" s="39" customFormat="1" ht="102" x14ac:dyDescent="0.45">
      <c r="A304" s="37">
        <f>SUBTOTAL(3, $T$2:T304)</f>
        <v>232</v>
      </c>
      <c r="B304" s="38" t="s">
        <v>0</v>
      </c>
      <c r="C304" s="39" t="s">
        <v>1784</v>
      </c>
      <c r="D304" s="39" t="s">
        <v>1855</v>
      </c>
      <c r="E304" s="40" t="s">
        <v>1858</v>
      </c>
      <c r="F304" s="41" t="s">
        <v>1850</v>
      </c>
      <c r="G304" s="44" t="s">
        <v>1851</v>
      </c>
      <c r="H304" s="53" t="s">
        <v>4105</v>
      </c>
      <c r="I304" s="44" t="s">
        <v>1843</v>
      </c>
      <c r="J304" s="14" t="s">
        <v>1854</v>
      </c>
      <c r="K304" s="22" t="s">
        <v>3176</v>
      </c>
      <c r="L304" s="46">
        <v>44896</v>
      </c>
      <c r="M304" s="14"/>
      <c r="N304" s="45" t="s">
        <v>199</v>
      </c>
      <c r="O304" s="45" t="s">
        <v>199</v>
      </c>
      <c r="P304" s="45" t="s">
        <v>199</v>
      </c>
      <c r="Q304" s="45" t="s">
        <v>199</v>
      </c>
      <c r="R304" s="45" t="s">
        <v>199</v>
      </c>
      <c r="S304" s="45" t="s">
        <v>199</v>
      </c>
      <c r="T304" s="47" t="s">
        <v>4247</v>
      </c>
      <c r="U304" s="39" t="s">
        <v>3764</v>
      </c>
      <c r="V304" s="39" t="str">
        <f>CONCATENATE(U304, D304)</f>
        <v>https://example.websquare.kr/websquare/websquare.html?w2xPath=/guide/GridView/footer/getFooterData_GridView.xml</v>
      </c>
      <c r="W304" s="39" t="s">
        <v>4512</v>
      </c>
      <c r="X304" s="39" t="str">
        <f>CONCATENATE(W304, D304)</f>
        <v>https://docs.inswave.com/websquare/websquare.html?w2xPath=/support/api/guide/GridView/footer/getFooterData_GridView.xml</v>
      </c>
      <c r="Y304" s="48" t="str">
        <f>HYPERLINK(X304, H304)</f>
        <v>푸터 값 확인</v>
      </c>
      <c r="Z304" s="4" t="str">
        <f>HYPERLINK(V304,H304)</f>
        <v>푸터 값 확인</v>
      </c>
      <c r="AA304" s="4" t="str">
        <f>HYPERLINK(J304,H304)</f>
        <v>푸터 값 확인</v>
      </c>
      <c r="AB304" s="39" t="str">
        <f t="shared" si="8"/>
        <v>https://docs.inswave.com/websquare/websquare.html?w2xPath=/support/api/guide/GridView/footer/getFooterData_GridView.xml</v>
      </c>
    </row>
    <row r="305" spans="1:28" s="39" customFormat="1" ht="102" x14ac:dyDescent="0.45">
      <c r="A305" s="25">
        <f>SUBTOTAL(3, $T$2:T305)</f>
        <v>233</v>
      </c>
      <c r="B305" s="26" t="s">
        <v>0</v>
      </c>
      <c r="C305" s="27" t="s">
        <v>1784</v>
      </c>
      <c r="D305" s="27" t="s">
        <v>4609</v>
      </c>
      <c r="E305" s="28" t="s">
        <v>4628</v>
      </c>
      <c r="F305" s="27" t="s">
        <v>4644</v>
      </c>
      <c r="G305" s="27" t="s">
        <v>4587</v>
      </c>
      <c r="H305" s="27" t="s">
        <v>4586</v>
      </c>
      <c r="I305" s="75" t="s">
        <v>4626</v>
      </c>
      <c r="J305" s="31" t="s">
        <v>3550</v>
      </c>
      <c r="K305" s="30" t="s">
        <v>2304</v>
      </c>
      <c r="L305" s="31" t="s">
        <v>4540</v>
      </c>
      <c r="M305" s="32"/>
      <c r="N305" s="79"/>
      <c r="O305" s="79"/>
      <c r="P305" s="79"/>
      <c r="Q305" s="79"/>
      <c r="R305" s="79"/>
      <c r="S305" s="79"/>
      <c r="T305" s="33" t="s">
        <v>4249</v>
      </c>
      <c r="U305" s="27" t="s">
        <v>3764</v>
      </c>
      <c r="V305" s="27" t="str">
        <f>CONCATENATE(U305, D305)</f>
        <v>https://example.websquare.kr/websquare/websquare.html?w2xPath=/guide/GridView/footer/footerDragEndFunction_GridView.xml</v>
      </c>
      <c r="W305" s="27" t="s">
        <v>4512</v>
      </c>
      <c r="X305" s="27" t="str">
        <f>CONCATENATE(W305, D305)</f>
        <v>https://docs.inswave.com/websquare/websquare.html?w2xPath=/support/api/guide/GridView/footer/footerDragEndFunction_GridView.xml</v>
      </c>
      <c r="Y305" s="34" t="str">
        <f>HYPERLINK(X305, H305)</f>
        <v>푸터 드래깅이 종료될 때 실행할 함수 지정</v>
      </c>
      <c r="Z305" s="35" t="str">
        <f>HYPERLINK(V305,H305)</f>
        <v>푸터 드래깅이 종료될 때 실행할 함수 지정</v>
      </c>
      <c r="AA305" s="27"/>
      <c r="AB305" s="39" t="str">
        <f t="shared" si="8"/>
        <v>https://docs.inswave.com/websquare/websquare.html?w2xPath=/support/api/guide/GridView/footer/footerDragEndFunction_GridView.xml</v>
      </c>
    </row>
    <row r="306" spans="1:28" s="39" customFormat="1" ht="102" x14ac:dyDescent="0.45">
      <c r="A306" s="25">
        <f>SUBTOTAL(3, $T$2:T306)</f>
        <v>234</v>
      </c>
      <c r="B306" s="26" t="s">
        <v>0</v>
      </c>
      <c r="C306" s="27" t="s">
        <v>1784</v>
      </c>
      <c r="D306" s="27" t="s">
        <v>4611</v>
      </c>
      <c r="E306" s="28" t="s">
        <v>4575</v>
      </c>
      <c r="F306" s="27" t="s">
        <v>4583</v>
      </c>
      <c r="G306" s="28" t="s">
        <v>4569</v>
      </c>
      <c r="H306" s="27" t="s">
        <v>4610</v>
      </c>
      <c r="I306" s="27" t="s">
        <v>4583</v>
      </c>
      <c r="J306" s="30" t="s">
        <v>2304</v>
      </c>
      <c r="K306" s="30" t="s">
        <v>2304</v>
      </c>
      <c r="L306" s="31" t="s">
        <v>4540</v>
      </c>
      <c r="M306" s="32"/>
      <c r="N306" s="79"/>
      <c r="O306" s="79"/>
      <c r="P306" s="79"/>
      <c r="Q306" s="79"/>
      <c r="R306" s="79"/>
      <c r="S306" s="79"/>
      <c r="T306" s="33" t="s">
        <v>4249</v>
      </c>
      <c r="U306" s="27" t="s">
        <v>3764</v>
      </c>
      <c r="V306" s="27" t="str">
        <f>CONCATENATE(U306, D306)</f>
        <v>https://example.websquare.kr/websquare/websquare.html?w2xPath=/guide/GridView/footer/getFocusedFooterID_GridView.xml</v>
      </c>
      <c r="W306" s="27" t="s">
        <v>4512</v>
      </c>
      <c r="X306" s="27" t="str">
        <f>CONCATENATE(W306, D306)</f>
        <v>https://docs.inswave.com/websquare/websquare.html?w2xPath=/support/api/guide/GridView/footer/getFocusedFooterID_GridView.xml</v>
      </c>
      <c r="Y306" s="34" t="str">
        <f>HYPERLINK(X306, H306)</f>
        <v>푸터 셀(들)을 포커스하고 (푸터 기준) 컬럼 ID 확인</v>
      </c>
      <c r="Z306" s="35" t="str">
        <f>HYPERLINK(V306,H306)</f>
        <v>푸터 셀(들)을 포커스하고 (푸터 기준) 컬럼 ID 확인</v>
      </c>
      <c r="AA306" s="27"/>
      <c r="AB306" s="39" t="str">
        <f t="shared" si="8"/>
        <v>https://docs.inswave.com/websquare/websquare.html?w2xPath=/support/api/guide/GridView/footer/getFocusedFooterID_GridView.xml</v>
      </c>
    </row>
    <row r="307" spans="1:28" s="39" customFormat="1" ht="102" x14ac:dyDescent="0.45">
      <c r="A307" s="25">
        <f>SUBTOTAL(3, $T$2:T307)</f>
        <v>235</v>
      </c>
      <c r="B307" s="26" t="s">
        <v>0</v>
      </c>
      <c r="C307" s="27" t="s">
        <v>1784</v>
      </c>
      <c r="D307" s="27" t="s">
        <v>4614</v>
      </c>
      <c r="E307" s="28" t="s">
        <v>4576</v>
      </c>
      <c r="F307" s="27" t="s">
        <v>4584</v>
      </c>
      <c r="G307" s="28" t="s">
        <v>4581</v>
      </c>
      <c r="H307" s="27" t="s">
        <v>4613</v>
      </c>
      <c r="I307" s="27" t="s">
        <v>4584</v>
      </c>
      <c r="J307" s="30" t="s">
        <v>2304</v>
      </c>
      <c r="K307" s="30" t="s">
        <v>2304</v>
      </c>
      <c r="L307" s="31" t="s">
        <v>4540</v>
      </c>
      <c r="M307" s="32"/>
      <c r="N307" s="79"/>
      <c r="O307" s="79"/>
      <c r="P307" s="79"/>
      <c r="Q307" s="79"/>
      <c r="R307" s="79"/>
      <c r="S307" s="79"/>
      <c r="T307" s="33" t="s">
        <v>4249</v>
      </c>
      <c r="U307" s="27" t="s">
        <v>3764</v>
      </c>
      <c r="V307" s="27" t="str">
        <f>CONCATENATE(U307, D307)</f>
        <v>https://example.websquare.kr/websquare/websquare.html?w2xPath=/guide/GridView/footer/getFocusedFooterIndex_GridView.xml</v>
      </c>
      <c r="W307" s="27" t="s">
        <v>4512</v>
      </c>
      <c r="X307" s="27" t="str">
        <f>CONCATENATE(W307, D307)</f>
        <v>https://docs.inswave.com/websquare/websquare.html?w2xPath=/support/api/guide/GridView/footer/getFocusedFooterIndex_GridView.xml</v>
      </c>
      <c r="Y307" s="34" t="str">
        <f>HYPERLINK(X307, H307)</f>
        <v>푸터 셀(들)을 포커스하고 (푸터 기준) 컬럼 인덱스 확인</v>
      </c>
      <c r="Z307" s="35" t="str">
        <f>HYPERLINK(V307,H307)</f>
        <v>푸터 셀(들)을 포커스하고 (푸터 기준) 컬럼 인덱스 확인</v>
      </c>
      <c r="AA307" s="27"/>
      <c r="AB307" s="39" t="str">
        <f t="shared" si="8"/>
        <v>https://docs.inswave.com/websquare/websquare.html?w2xPath=/support/api/guide/GridView/footer/getFocusedFooterIndex_GridView.xml</v>
      </c>
    </row>
    <row r="308" spans="1:28" s="39" customFormat="1" ht="102" x14ac:dyDescent="0.45">
      <c r="A308" s="25">
        <f>SUBTOTAL(3, $T$2:T308)</f>
        <v>236</v>
      </c>
      <c r="B308" s="26" t="s">
        <v>0</v>
      </c>
      <c r="C308" s="27" t="s">
        <v>1784</v>
      </c>
      <c r="D308" s="27" t="s">
        <v>4612</v>
      </c>
      <c r="E308" s="28" t="s">
        <v>4574</v>
      </c>
      <c r="F308" s="27" t="s">
        <v>4585</v>
      </c>
      <c r="G308" s="28" t="s">
        <v>4580</v>
      </c>
      <c r="H308" s="27" t="s">
        <v>4579</v>
      </c>
      <c r="I308" s="27" t="s">
        <v>4585</v>
      </c>
      <c r="J308" s="30" t="s">
        <v>2304</v>
      </c>
      <c r="K308" s="30" t="s">
        <v>2304</v>
      </c>
      <c r="L308" s="31" t="s">
        <v>4540</v>
      </c>
      <c r="M308" s="32"/>
      <c r="N308" s="79"/>
      <c r="O308" s="79"/>
      <c r="P308" s="79"/>
      <c r="Q308" s="79"/>
      <c r="R308" s="79"/>
      <c r="S308" s="79"/>
      <c r="T308" s="33" t="s">
        <v>4249</v>
      </c>
      <c r="U308" s="27" t="s">
        <v>3764</v>
      </c>
      <c r="V308" s="27" t="str">
        <f>CONCATENATE(U308, D308)</f>
        <v>https://example.websquare.kr/websquare/websquare.html?w2xPath=/guide/GridView/footer/getFocusedFooterCell_GridView.xml</v>
      </c>
      <c r="W308" s="27" t="s">
        <v>4512</v>
      </c>
      <c r="X308" s="27" t="str">
        <f>CONCATENATE(W308, D308)</f>
        <v>https://docs.inswave.com/websquare/websquare.html?w2xPath=/support/api/guide/GridView/footer/getFocusedFooterCell_GridView.xml</v>
      </c>
      <c r="Y308" s="34" t="str">
        <f>HYPERLINK(X308, H308)</f>
        <v>푸터 셀(들)을 포커스하고 셀 정보 확인</v>
      </c>
      <c r="Z308" s="35" t="str">
        <f>HYPERLINK(V308,H308)</f>
        <v>푸터 셀(들)을 포커스하고 셀 정보 확인</v>
      </c>
      <c r="AA308" s="27"/>
      <c r="AB308" s="39" t="str">
        <f t="shared" si="8"/>
        <v>https://docs.inswave.com/websquare/websquare.html?w2xPath=/support/api/guide/GridView/footer/getFocusedFooterCell_GridView.xml</v>
      </c>
    </row>
    <row r="309" spans="1:28" s="39" customFormat="1" ht="102" x14ac:dyDescent="0.45">
      <c r="A309" s="25">
        <f>SUBTOTAL(3, $T$2:T309)</f>
        <v>237</v>
      </c>
      <c r="B309" s="26" t="s">
        <v>0</v>
      </c>
      <c r="C309" s="27" t="s">
        <v>1784</v>
      </c>
      <c r="D309" s="27" t="s">
        <v>4608</v>
      </c>
      <c r="E309" s="28" t="s">
        <v>4573</v>
      </c>
      <c r="F309" s="27" t="s">
        <v>4582</v>
      </c>
      <c r="G309" s="27" t="s">
        <v>4578</v>
      </c>
      <c r="H309" s="27" t="s">
        <v>4577</v>
      </c>
      <c r="I309" s="27" t="s">
        <v>4582</v>
      </c>
      <c r="J309" s="30" t="s">
        <v>2304</v>
      </c>
      <c r="K309" s="30" t="s">
        <v>2304</v>
      </c>
      <c r="L309" s="31" t="s">
        <v>4540</v>
      </c>
      <c r="M309" s="32"/>
      <c r="N309" s="79"/>
      <c r="O309" s="79"/>
      <c r="P309" s="79"/>
      <c r="Q309" s="79"/>
      <c r="R309" s="79"/>
      <c r="S309" s="79"/>
      <c r="T309" s="33" t="s">
        <v>4249</v>
      </c>
      <c r="U309" s="27" t="s">
        <v>3764</v>
      </c>
      <c r="V309" s="27" t="str">
        <f>CONCATENATE(U309, D309)</f>
        <v>https://example.websquare.kr/websquare/websquare.html?w2xPath=/guide/GridView/footer/focusFooter_GridView.xml</v>
      </c>
      <c r="W309" s="27" t="s">
        <v>4512</v>
      </c>
      <c r="X309" s="27" t="str">
        <f>CONCATENATE(W309, D309)</f>
        <v>https://docs.inswave.com/websquare/websquare.html?w2xPath=/support/api/guide/GridView/footer/focusFooter_GridView.xml</v>
      </c>
      <c r="Y309" s="34" t="str">
        <f>HYPERLINK(X309, H309)</f>
        <v>푸터 셀에 포커스 허용</v>
      </c>
      <c r="Z309" s="35" t="str">
        <f>HYPERLINK(V309,H309)</f>
        <v>푸터 셀에 포커스 허용</v>
      </c>
      <c r="AA309" s="27"/>
      <c r="AB309" s="39" t="str">
        <f t="shared" si="8"/>
        <v>https://docs.inswave.com/websquare/websquare.html?w2xPath=/support/api/guide/GridView/footer/focusFooter_GridView.xml</v>
      </c>
    </row>
    <row r="310" spans="1:28" s="39" customFormat="1" ht="102" x14ac:dyDescent="0.45">
      <c r="A310" s="37">
        <f>SUBTOTAL(3, $T$2:T310)</f>
        <v>238</v>
      </c>
      <c r="B310" s="38" t="s">
        <v>0</v>
      </c>
      <c r="C310" s="39" t="s">
        <v>1784</v>
      </c>
      <c r="D310" s="39" t="s">
        <v>1853</v>
      </c>
      <c r="E310" s="40" t="s">
        <v>1857</v>
      </c>
      <c r="F310" s="41" t="s">
        <v>1849</v>
      </c>
      <c r="G310" s="44" t="s">
        <v>1845</v>
      </c>
      <c r="H310" s="53" t="s">
        <v>4103</v>
      </c>
      <c r="I310" s="44" t="s">
        <v>1856</v>
      </c>
      <c r="J310" s="14" t="s">
        <v>1852</v>
      </c>
      <c r="K310" s="22" t="s">
        <v>3175</v>
      </c>
      <c r="L310" s="46">
        <v>44896</v>
      </c>
      <c r="M310" s="14"/>
      <c r="N310" s="45" t="s">
        <v>199</v>
      </c>
      <c r="O310" s="45" t="s">
        <v>199</v>
      </c>
      <c r="P310" s="45" t="s">
        <v>199</v>
      </c>
      <c r="Q310" s="45" t="s">
        <v>199</v>
      </c>
      <c r="R310" s="45" t="s">
        <v>199</v>
      </c>
      <c r="S310" s="45" t="s">
        <v>199</v>
      </c>
      <c r="T310" s="47" t="s">
        <v>4247</v>
      </c>
      <c r="U310" s="39" t="s">
        <v>3764</v>
      </c>
      <c r="V310" s="39" t="str">
        <f>CONCATENATE(U310, D310)</f>
        <v>https://example.websquare.kr/websquare/websquare.html?w2xPath=/guide/GridView/footer/footer_GridView.xml</v>
      </c>
      <c r="W310" s="39" t="s">
        <v>4512</v>
      </c>
      <c r="X310" s="39" t="str">
        <f>CONCATENATE(W310, D310)</f>
        <v>https://docs.inswave.com/websquare/websquare.html?w2xPath=/support/api/guide/GridView/footer/footer_GridView.xml</v>
      </c>
      <c r="Y310" s="48" t="str">
        <f>HYPERLINK(X310, H310)</f>
        <v>푸터 추가</v>
      </c>
      <c r="Z310" s="4" t="str">
        <f>HYPERLINK(V310,H310)</f>
        <v>푸터 추가</v>
      </c>
      <c r="AA310" s="4" t="str">
        <f>HYPERLINK(J310,H310)</f>
        <v>푸터 추가</v>
      </c>
      <c r="AB310" s="39" t="str">
        <f t="shared" si="8"/>
        <v>https://docs.inswave.com/websquare/websquare.html?w2xPath=/support/api/guide/GridView/footer/footer_GridView.xml</v>
      </c>
    </row>
    <row r="311" spans="1:28" s="39" customFormat="1" ht="119" x14ac:dyDescent="0.45">
      <c r="A311" s="37">
        <f>SUBTOTAL(3, $T$2:T311)</f>
        <v>239</v>
      </c>
      <c r="B311" s="38" t="s">
        <v>0</v>
      </c>
      <c r="C311" s="39" t="s">
        <v>1784</v>
      </c>
      <c r="D311" s="39" t="s">
        <v>3710</v>
      </c>
      <c r="E311" s="40" t="s">
        <v>4104</v>
      </c>
      <c r="F311" s="41" t="s">
        <v>1566</v>
      </c>
      <c r="G311" s="39" t="s">
        <v>1514</v>
      </c>
      <c r="H311" s="53" t="s">
        <v>4100</v>
      </c>
      <c r="I311" s="44" t="s">
        <v>1515</v>
      </c>
      <c r="J311" s="14" t="s">
        <v>1840</v>
      </c>
      <c r="K311" s="22" t="s">
        <v>3173</v>
      </c>
      <c r="L311" s="46">
        <v>44044</v>
      </c>
      <c r="M311" s="14"/>
      <c r="N311" s="45" t="s">
        <v>199</v>
      </c>
      <c r="O311" s="45" t="s">
        <v>199</v>
      </c>
      <c r="P311" s="45" t="s">
        <v>199</v>
      </c>
      <c r="Q311" s="45" t="s">
        <v>199</v>
      </c>
      <c r="R311" s="45" t="s">
        <v>199</v>
      </c>
      <c r="S311" s="45" t="s">
        <v>199</v>
      </c>
      <c r="T311" s="47" t="s">
        <v>4247</v>
      </c>
      <c r="U311" s="39" t="s">
        <v>3764</v>
      </c>
      <c r="V311" s="39" t="str">
        <f>CONCATENATE(U311, D311)</f>
        <v>https://example.websquare.kr/websquare/websquare.html?w2xPath=/guide/GridView/footer/inputType_expression_footer_gridView_column/inputType_expression_footer_gridView_column.xml</v>
      </c>
      <c r="W311" s="39" t="s">
        <v>4512</v>
      </c>
      <c r="X311" s="39" t="str">
        <f>CONCATENATE(W311, D311)</f>
        <v>https://docs.inswave.com/websquare/websquare.html?w2xPath=/support/api/guide/GridView/footer/inputType_expression_footer_gridView_column/inputType_expression_footer_gridView_column.xml</v>
      </c>
      <c r="Y311" s="48" t="str">
        <f>HYPERLINK(X311, H311)</f>
        <v>푸터 추가 및 연산자 사용</v>
      </c>
      <c r="Z311" s="4" t="str">
        <f>HYPERLINK(V311,H311)</f>
        <v>푸터 추가 및 연산자 사용</v>
      </c>
      <c r="AA311" s="4" t="str">
        <f>HYPERLINK(J311,H311)</f>
        <v>푸터 추가 및 연산자 사용</v>
      </c>
      <c r="AB311" s="39" t="str">
        <f t="shared" si="8"/>
        <v>https://docs.inswave.com/websquare/websquare.html?w2xPath=/support/api/guide/GridView/footer/inputType_expression_footer_gridView_column/inputType_expression_footer_gridView_column.xml</v>
      </c>
    </row>
    <row r="312" spans="1:28" s="39" customFormat="1" ht="102" x14ac:dyDescent="0.45">
      <c r="A312" s="37">
        <f>SUBTOTAL(3, $T$2:T312)</f>
        <v>240</v>
      </c>
      <c r="B312" s="38" t="s">
        <v>1814</v>
      </c>
      <c r="C312" s="39" t="s">
        <v>1470</v>
      </c>
      <c r="D312" s="39" t="s">
        <v>1523</v>
      </c>
      <c r="E312" s="40" t="s">
        <v>1528</v>
      </c>
      <c r="F312" s="41" t="s">
        <v>1526</v>
      </c>
      <c r="G312" s="44" t="s">
        <v>1471</v>
      </c>
      <c r="H312" s="53" t="s">
        <v>4106</v>
      </c>
      <c r="I312" s="39" t="s">
        <v>1472</v>
      </c>
      <c r="J312" s="14" t="s">
        <v>1881</v>
      </c>
      <c r="K312" s="22" t="s">
        <v>3180</v>
      </c>
      <c r="L312" s="46">
        <v>43983</v>
      </c>
      <c r="M312" s="14"/>
      <c r="N312" s="45" t="s">
        <v>199</v>
      </c>
      <c r="O312" s="45" t="s">
        <v>199</v>
      </c>
      <c r="P312" s="45" t="s">
        <v>199</v>
      </c>
      <c r="Q312" s="45" t="s">
        <v>199</v>
      </c>
      <c r="R312" s="45" t="s">
        <v>199</v>
      </c>
      <c r="S312" s="45" t="s">
        <v>199</v>
      </c>
      <c r="T312" s="47" t="s">
        <v>4247</v>
      </c>
      <c r="U312" s="39" t="s">
        <v>3764</v>
      </c>
      <c r="V312" s="39" t="str">
        <f>CONCATENATE(U312, D312)</f>
        <v>https://example.websquare.kr/websquare/websquare.html?w2xPath=/guide/GridView/gridView.column/displayFormat_gridView_column.xml</v>
      </c>
      <c r="W312" s="39" t="s">
        <v>4512</v>
      </c>
      <c r="X312" s="39" t="str">
        <f>CONCATENATE(W312, D312)</f>
        <v>https://docs.inswave.com/websquare/websquare.html?w2xPath=/support/api/guide/GridView/gridView.column/displayFormat_gridView_column.xml</v>
      </c>
      <c r="Y312" s="48" t="str">
        <f>HYPERLINK(X312, H312)</f>
        <v>각 컬럼의 데이터 표시 형식 설정 (속성 이용)</v>
      </c>
      <c r="Z312" s="4" t="str">
        <f>HYPERLINK(V312,H312)</f>
        <v>각 컬럼의 데이터 표시 형식 설정 (속성 이용)</v>
      </c>
      <c r="AA312" s="4" t="str">
        <f>HYPERLINK(J312,H312)</f>
        <v>각 컬럼의 데이터 표시 형식 설정 (속성 이용)</v>
      </c>
      <c r="AB312" s="39" t="str">
        <f t="shared" si="8"/>
        <v>https://docs.inswave.com/websquare/websquare.html?w2xPath=/support/api/guide/GridView/gridView.column/displayFormat_gridView_column.xml</v>
      </c>
    </row>
    <row r="313" spans="1:28" s="39" customFormat="1" ht="102" x14ac:dyDescent="0.45">
      <c r="A313" s="37">
        <f>SUBTOTAL(3, $T$2:T313)</f>
        <v>241</v>
      </c>
      <c r="B313" s="38" t="s">
        <v>1814</v>
      </c>
      <c r="C313" s="39" t="s">
        <v>1470</v>
      </c>
      <c r="D313" s="39" t="s">
        <v>1524</v>
      </c>
      <c r="E313" s="40" t="s">
        <v>4108</v>
      </c>
      <c r="F313" s="41" t="s">
        <v>1527</v>
      </c>
      <c r="G313" s="44" t="s">
        <v>1473</v>
      </c>
      <c r="H313" s="53" t="s">
        <v>4107</v>
      </c>
      <c r="I313" s="44" t="s">
        <v>1952</v>
      </c>
      <c r="J313" s="14" t="s">
        <v>1882</v>
      </c>
      <c r="K313" s="22" t="s">
        <v>3181</v>
      </c>
      <c r="L313" s="46">
        <v>43983</v>
      </c>
      <c r="M313" s="14"/>
      <c r="N313" s="45" t="s">
        <v>199</v>
      </c>
      <c r="O313" s="45" t="s">
        <v>199</v>
      </c>
      <c r="P313" s="45" t="s">
        <v>199</v>
      </c>
      <c r="Q313" s="45" t="s">
        <v>199</v>
      </c>
      <c r="R313" s="45" t="s">
        <v>199</v>
      </c>
      <c r="S313" s="45" t="s">
        <v>199</v>
      </c>
      <c r="T313" s="47" t="s">
        <v>4247</v>
      </c>
      <c r="U313" s="39" t="s">
        <v>3764</v>
      </c>
      <c r="V313" s="39" t="str">
        <f>CONCATENATE(U313, D313)</f>
        <v>https://example.websquare.kr/websquare/websquare.html?w2xPath=/guide/GridView/gridView.column/displayFormatter_gridView_column.xml</v>
      </c>
      <c r="W313" s="39" t="s">
        <v>4512</v>
      </c>
      <c r="X313" s="39" t="str">
        <f>CONCATENATE(W313, D313)</f>
        <v>https://docs.inswave.com/websquare/websquare.html?w2xPath=/support/api/guide/GridView/gridView.column/displayFormatter_gridView_column.xml</v>
      </c>
      <c r="Y313" s="48" t="str">
        <f>HYPERLINK(X313, H313)</f>
        <v>각 컬럼의 데이터 표시 형식 설정 (함수 이용)</v>
      </c>
      <c r="Z313" s="4" t="str">
        <f>HYPERLINK(V313,H313)</f>
        <v>각 컬럼의 데이터 표시 형식 설정 (함수 이용)</v>
      </c>
      <c r="AA313" s="4" t="str">
        <f>HYPERLINK(J313,H313)</f>
        <v>각 컬럼의 데이터 표시 형식 설정 (함수 이용)</v>
      </c>
      <c r="AB313" s="39" t="str">
        <f t="shared" si="8"/>
        <v>https://docs.inswave.com/websquare/websquare.html?w2xPath=/support/api/guide/GridView/gridView.column/displayFormatter_gridView_column.xml</v>
      </c>
    </row>
    <row r="314" spans="1:28" s="39" customFormat="1" ht="136" x14ac:dyDescent="0.45">
      <c r="A314" s="37">
        <f>SUBTOTAL(3, $T$2:T314)</f>
        <v>242</v>
      </c>
      <c r="B314" s="38" t="s">
        <v>1814</v>
      </c>
      <c r="C314" s="39" t="s">
        <v>1470</v>
      </c>
      <c r="D314" s="39" t="s">
        <v>1493</v>
      </c>
      <c r="E314" s="40" t="s">
        <v>4087</v>
      </c>
      <c r="F314" s="41" t="s">
        <v>1496</v>
      </c>
      <c r="G314" s="44" t="s">
        <v>1475</v>
      </c>
      <c r="H314" s="53" t="s">
        <v>4088</v>
      </c>
      <c r="I314" s="44" t="s">
        <v>1474</v>
      </c>
      <c r="J314" s="14" t="s">
        <v>1880</v>
      </c>
      <c r="K314" s="22" t="s">
        <v>3179</v>
      </c>
      <c r="L314" s="46">
        <v>44013</v>
      </c>
      <c r="M314" s="14"/>
      <c r="N314" s="45" t="s">
        <v>199</v>
      </c>
      <c r="O314" s="45" t="s">
        <v>199</v>
      </c>
      <c r="P314" s="45" t="s">
        <v>199</v>
      </c>
      <c r="Q314" s="45" t="s">
        <v>199</v>
      </c>
      <c r="R314" s="45" t="s">
        <v>199</v>
      </c>
      <c r="S314" s="45" t="s">
        <v>199</v>
      </c>
      <c r="T314" s="47" t="s">
        <v>4247</v>
      </c>
      <c r="U314" s="39" t="s">
        <v>3764</v>
      </c>
      <c r="V314" s="39" t="str">
        <f>CONCATENATE(U314, D314)</f>
        <v>https://example.websquare.kr/websquare/websquare.html?w2xPath=/guide/GridView/gridView.column/customFormatter_gridView_column.xml</v>
      </c>
      <c r="W314" s="39" t="s">
        <v>4512</v>
      </c>
      <c r="X314" s="39" t="str">
        <f>CONCATENATE(W314, D314)</f>
        <v>https://docs.inswave.com/websquare/websquare.html?w2xPath=/support/api/guide/GridView/gridView.column/customFormatter_gridView_column.xml</v>
      </c>
      <c r="Y314" s="48" t="str">
        <f>HYPERLINK(X314, H314)</f>
        <v>커스텀 함수를 이용한 GridView 포맷</v>
      </c>
      <c r="Z314" s="4" t="str">
        <f>HYPERLINK(V314,H314)</f>
        <v>커스텀 함수를 이용한 GridView 포맷</v>
      </c>
      <c r="AA314" s="4" t="str">
        <f>HYPERLINK(J314,H314)</f>
        <v>커스텀 함수를 이용한 GridView 포맷</v>
      </c>
      <c r="AB314" s="39" t="str">
        <f t="shared" si="8"/>
        <v>https://docs.inswave.com/websquare/websquare.html?w2xPath=/support/api/guide/GridView/gridView.column/customFormatter_gridView_column.xml</v>
      </c>
    </row>
    <row r="315" spans="1:28" s="39" customFormat="1" ht="102" x14ac:dyDescent="0.45">
      <c r="A315" s="37">
        <f>SUBTOTAL(3, $T$2:T315)</f>
        <v>243</v>
      </c>
      <c r="B315" s="38" t="s">
        <v>0</v>
      </c>
      <c r="C315" s="39" t="s">
        <v>3309</v>
      </c>
      <c r="D315" s="39" t="s">
        <v>3707</v>
      </c>
      <c r="E315" s="40" t="s">
        <v>4085</v>
      </c>
      <c r="F315" s="41" t="s">
        <v>3304</v>
      </c>
      <c r="G315" s="39" t="s">
        <v>3305</v>
      </c>
      <c r="H315" s="58" t="s">
        <v>4432</v>
      </c>
      <c r="I315" s="44" t="s">
        <v>3307</v>
      </c>
      <c r="J315" s="14" t="s">
        <v>3306</v>
      </c>
      <c r="K315" s="23" t="s">
        <v>3308</v>
      </c>
      <c r="L315" s="46">
        <v>45536</v>
      </c>
      <c r="M315" s="14"/>
      <c r="N315" s="45"/>
      <c r="O315" s="45"/>
      <c r="P315" s="45"/>
      <c r="Q315" s="45" t="s">
        <v>199</v>
      </c>
      <c r="R315" s="45" t="s">
        <v>199</v>
      </c>
      <c r="S315" s="45" t="s">
        <v>199</v>
      </c>
      <c r="T315" s="47" t="s">
        <v>4247</v>
      </c>
      <c r="U315" s="39" t="s">
        <v>3764</v>
      </c>
      <c r="V315" s="39" t="str">
        <f>CONCATENATE(U315, D315)</f>
        <v>https://example.websquare.kr/websquare/websquare.html?w2xPath=/guide/GridView/gridView.column/imageAlign_gridView_column/imageAlign_gridView_column.xml</v>
      </c>
      <c r="W315" s="39" t="s">
        <v>4512</v>
      </c>
      <c r="X315" s="39" t="str">
        <f>CONCATENATE(W315, D315)</f>
        <v>https://docs.inswave.com/websquare/websquare.html?w2xPath=/support/api/guide/GridView/gridView.column/imageAlign_gridView_column/imageAlign_gridView_column.xml</v>
      </c>
      <c r="Y315" s="48" t="str">
        <f>HYPERLINK(X315, H315)</f>
        <v>텍스트와 이미지 표시 순서 지정</v>
      </c>
      <c r="Z315" s="4" t="str">
        <f>HYPERLINK(V315,H315)</f>
        <v>텍스트와 이미지 표시 순서 지정</v>
      </c>
      <c r="AA315" s="4" t="str">
        <f>HYPERLINK(J315,H315)</f>
        <v>텍스트와 이미지 표시 순서 지정</v>
      </c>
      <c r="AB315" s="39" t="str">
        <f t="shared" si="8"/>
        <v>https://docs.inswave.com/websquare/websquare.html?w2xPath=/support/api/guide/GridView/gridView.column/imageAlign_gridView_column/imageAlign_gridView_column.xml</v>
      </c>
    </row>
    <row r="316" spans="1:28" s="39" customFormat="1" ht="102" x14ac:dyDescent="0.45">
      <c r="A316" s="37">
        <f>SUBTOTAL(3, $T$2:T316)</f>
        <v>244</v>
      </c>
      <c r="B316" s="38" t="s">
        <v>0</v>
      </c>
      <c r="C316" s="39" t="s">
        <v>1123</v>
      </c>
      <c r="D316" s="39" t="s">
        <v>274</v>
      </c>
      <c r="E316" s="57" t="s">
        <v>4127</v>
      </c>
      <c r="F316" s="41" t="s">
        <v>143</v>
      </c>
      <c r="G316" s="39" t="s">
        <v>315</v>
      </c>
      <c r="H316" s="53" t="s">
        <v>4129</v>
      </c>
      <c r="I316" s="44" t="s">
        <v>261</v>
      </c>
      <c r="J316" s="14" t="s">
        <v>144</v>
      </c>
      <c r="K316" s="22" t="s">
        <v>3186</v>
      </c>
      <c r="L316" s="46">
        <v>44501</v>
      </c>
      <c r="M316" s="14"/>
      <c r="N316" s="45" t="s">
        <v>199</v>
      </c>
      <c r="O316" s="45" t="s">
        <v>199</v>
      </c>
      <c r="P316" s="45" t="s">
        <v>199</v>
      </c>
      <c r="Q316" s="45" t="s">
        <v>199</v>
      </c>
      <c r="R316" s="45" t="s">
        <v>199</v>
      </c>
      <c r="S316" s="45" t="s">
        <v>199</v>
      </c>
      <c r="T316" s="47" t="s">
        <v>4247</v>
      </c>
      <c r="U316" s="39" t="s">
        <v>3764</v>
      </c>
      <c r="V316" s="39" t="str">
        <f>CONCATENATE(U316, D316)</f>
        <v>https://example.websquare.kr/websquare/websquare.html?w2xPath=/guide/GridView/Grouping/groupbyFilterBox_groupbyFilterBoxLocation_GridView.xml</v>
      </c>
      <c r="W316" s="39" t="s">
        <v>4512</v>
      </c>
      <c r="X316" s="39" t="str">
        <f>CONCATENATE(W316, D316)</f>
        <v>https://docs.inswave.com/websquare/websquare.html?w2xPath=/support/api/guide/GridView/Grouping/groupbyFilterBox_groupbyFilterBoxLocation_GridView.xml</v>
      </c>
      <c r="Y316" s="48" t="str">
        <f>HYPERLINK(X316, H316)</f>
        <v>그룹핑 및 필터링 조건 표시</v>
      </c>
      <c r="Z316" s="4" t="str">
        <f>HYPERLINK(V316,H316)</f>
        <v>그룹핑 및 필터링 조건 표시</v>
      </c>
      <c r="AA316" s="4" t="str">
        <f>HYPERLINK(J316,H316)</f>
        <v>그룹핑 및 필터링 조건 표시</v>
      </c>
      <c r="AB316" s="39" t="str">
        <f t="shared" si="8"/>
        <v>https://docs.inswave.com/websquare/websquare.html?w2xPath=/support/api/guide/GridView/Grouping/groupbyFilterBox_groupbyFilterBoxLocation_GridView.xml</v>
      </c>
    </row>
    <row r="317" spans="1:28" s="39" customFormat="1" ht="102" x14ac:dyDescent="0.45">
      <c r="A317" s="37">
        <f>SUBTOTAL(3, $T$2:T317)</f>
        <v>245</v>
      </c>
      <c r="B317" s="38" t="s">
        <v>0</v>
      </c>
      <c r="C317" s="39" t="s">
        <v>1123</v>
      </c>
      <c r="D317" s="39" t="s">
        <v>273</v>
      </c>
      <c r="E317" s="57" t="s">
        <v>225</v>
      </c>
      <c r="F317" s="41" t="s">
        <v>146</v>
      </c>
      <c r="G317" s="39" t="s">
        <v>136</v>
      </c>
      <c r="H317" s="53" t="s">
        <v>4131</v>
      </c>
      <c r="I317" s="44" t="s">
        <v>260</v>
      </c>
      <c r="J317" s="14" t="s">
        <v>145</v>
      </c>
      <c r="K317" s="22" t="s">
        <v>3189</v>
      </c>
      <c r="L317" s="46">
        <v>44501</v>
      </c>
      <c r="M317" s="14"/>
      <c r="N317" s="45" t="s">
        <v>199</v>
      </c>
      <c r="O317" s="45" t="s">
        <v>199</v>
      </c>
      <c r="P317" s="45" t="s">
        <v>199</v>
      </c>
      <c r="Q317" s="45" t="s">
        <v>199</v>
      </c>
      <c r="R317" s="45" t="s">
        <v>199</v>
      </c>
      <c r="S317" s="45" t="s">
        <v>199</v>
      </c>
      <c r="T317" s="47" t="s">
        <v>4247</v>
      </c>
      <c r="U317" s="39" t="s">
        <v>3764</v>
      </c>
      <c r="V317" s="39" t="str">
        <f>CONCATENATE(U317, D317)</f>
        <v>https://example.websquare.kr/websquare/websquare.html?w2xPath=/guide/GridView/Grouping/groupbyZoneHeight_groupbyZoneMessage_GridView.xml</v>
      </c>
      <c r="W317" s="39" t="s">
        <v>4512</v>
      </c>
      <c r="X317" s="39" t="str">
        <f>CONCATENATE(W317, D317)</f>
        <v>https://docs.inswave.com/websquare/websquare.html?w2xPath=/support/api/guide/GridView/Grouping/groupbyZoneHeight_groupbyZoneMessage_GridView.xml</v>
      </c>
      <c r="Y317" s="48" t="str">
        <f>HYPERLINK(X317, H317)</f>
        <v>그룹핑 영역 높이 및 메시지 지정</v>
      </c>
      <c r="Z317" s="4" t="str">
        <f>HYPERLINK(V317,H317)</f>
        <v>그룹핑 영역 높이 및 메시지 지정</v>
      </c>
      <c r="AA317" s="4" t="str">
        <f>HYPERLINK(J317,H317)</f>
        <v>그룹핑 영역 높이 및 메시지 지정</v>
      </c>
      <c r="AB317" s="39" t="str">
        <f t="shared" si="8"/>
        <v>https://docs.inswave.com/websquare/websquare.html?w2xPath=/support/api/guide/GridView/Grouping/groupbyZoneHeight_groupbyZoneMessage_GridView.xml</v>
      </c>
    </row>
    <row r="318" spans="1:28" s="39" customFormat="1" ht="102" x14ac:dyDescent="0.45">
      <c r="A318" s="37">
        <f>SUBTOTAL(3, $T$2:T318)</f>
        <v>246</v>
      </c>
      <c r="B318" s="38" t="s">
        <v>0</v>
      </c>
      <c r="C318" s="39" t="s">
        <v>1123</v>
      </c>
      <c r="D318" s="39" t="s">
        <v>271</v>
      </c>
      <c r="E318" s="57" t="s">
        <v>227</v>
      </c>
      <c r="F318" s="41" t="s">
        <v>151</v>
      </c>
      <c r="G318" s="39" t="s">
        <v>131</v>
      </c>
      <c r="H318" s="49" t="s">
        <v>4124</v>
      </c>
      <c r="I318" s="44" t="s">
        <v>258</v>
      </c>
      <c r="J318" s="14" t="s">
        <v>152</v>
      </c>
      <c r="K318" s="22" t="s">
        <v>3436</v>
      </c>
      <c r="L318" s="46">
        <v>44470</v>
      </c>
      <c r="M318" s="14"/>
      <c r="N318" s="45" t="s">
        <v>199</v>
      </c>
      <c r="O318" s="45" t="s">
        <v>199</v>
      </c>
      <c r="P318" s="45" t="s">
        <v>199</v>
      </c>
      <c r="Q318" s="45" t="s">
        <v>199</v>
      </c>
      <c r="R318" s="45" t="s">
        <v>199</v>
      </c>
      <c r="S318" s="45" t="s">
        <v>199</v>
      </c>
      <c r="T318" s="47" t="s">
        <v>4247</v>
      </c>
      <c r="U318" s="39" t="s">
        <v>3764</v>
      </c>
      <c r="V318" s="39" t="str">
        <f>CONCATENATE(U318, D318)</f>
        <v>https://example.websquare.kr/websquare/websquare.html?w2xPath=/guide/GridView/Grouping/getGroupbyData_GridView.xml</v>
      </c>
      <c r="W318" s="39" t="s">
        <v>4512</v>
      </c>
      <c r="X318" s="39" t="str">
        <f>CONCATENATE(W318, D318)</f>
        <v>https://docs.inswave.com/websquare/websquare.html?w2xPath=/support/api/guide/GridView/Grouping/getGroupbyData_GridView.xml</v>
      </c>
      <c r="Y318" s="48" t="str">
        <f>HYPERLINK(X318, H318)</f>
        <v>그룹핑 조건 확인</v>
      </c>
      <c r="Z318" s="4" t="str">
        <f>HYPERLINK(V318,H318)</f>
        <v>그룹핑 조건 확인</v>
      </c>
      <c r="AA318" s="4" t="str">
        <f>HYPERLINK(J318,H318)</f>
        <v>그룹핑 조건 확인</v>
      </c>
      <c r="AB318" s="39" t="str">
        <f t="shared" si="8"/>
        <v>https://docs.inswave.com/websquare/websquare.html?w2xPath=/support/api/guide/GridView/Grouping/getGroupbyData_GridView.xml</v>
      </c>
    </row>
    <row r="319" spans="1:28" s="39" customFormat="1" ht="102" x14ac:dyDescent="0.45">
      <c r="A319" s="37">
        <f>SUBTOTAL(3, $T$2:T319)</f>
        <v>247</v>
      </c>
      <c r="B319" s="38" t="s">
        <v>0</v>
      </c>
      <c r="C319" s="39" t="s">
        <v>1123</v>
      </c>
      <c r="D319" s="39" t="s">
        <v>272</v>
      </c>
      <c r="E319" s="57" t="s">
        <v>226</v>
      </c>
      <c r="F319" s="41" t="s">
        <v>153</v>
      </c>
      <c r="G319" s="39" t="s">
        <v>135</v>
      </c>
      <c r="H319" s="53" t="s">
        <v>4130</v>
      </c>
      <c r="I319" s="44" t="s">
        <v>259</v>
      </c>
      <c r="J319" s="14" t="s">
        <v>134</v>
      </c>
      <c r="K319" s="22" t="s">
        <v>3187</v>
      </c>
      <c r="L319" s="46">
        <v>44470</v>
      </c>
      <c r="M319" s="14"/>
      <c r="N319" s="45" t="s">
        <v>199</v>
      </c>
      <c r="O319" s="45" t="s">
        <v>199</v>
      </c>
      <c r="P319" s="45" t="s">
        <v>199</v>
      </c>
      <c r="Q319" s="45" t="s">
        <v>199</v>
      </c>
      <c r="R319" s="45" t="s">
        <v>199</v>
      </c>
      <c r="S319" s="45" t="s">
        <v>199</v>
      </c>
      <c r="T319" s="47" t="s">
        <v>4247</v>
      </c>
      <c r="U319" s="39" t="s">
        <v>3764</v>
      </c>
      <c r="V319" s="39" t="str">
        <f>CONCATENATE(U319, D319)</f>
        <v>https://example.websquare.kr/websquare/websquare.html?w2xPath=/guide/GridView/Grouping/groupbyMaxCount_GridView.xml</v>
      </c>
      <c r="W319" s="39" t="s">
        <v>4512</v>
      </c>
      <c r="X319" s="39" t="str">
        <f>CONCATENATE(W319, D319)</f>
        <v>https://docs.inswave.com/websquare/websquare.html?w2xPath=/support/api/guide/GridView/Grouping/groupbyMaxCount_GridView.xml</v>
      </c>
      <c r="Y319" s="48" t="str">
        <f>HYPERLINK(X319, H319)</f>
        <v>그룹핑 컬럼 수 제한</v>
      </c>
      <c r="Z319" s="4" t="str">
        <f>HYPERLINK(V319,H319)</f>
        <v>그룹핑 컬럼 수 제한</v>
      </c>
      <c r="AA319" s="4" t="str">
        <f>HYPERLINK(J319,H319)</f>
        <v>그룹핑 컬럼 수 제한</v>
      </c>
      <c r="AB319" s="39" t="str">
        <f t="shared" ref="AB319:AB382" si="9">CONCATENATE(W319, D319)</f>
        <v>https://docs.inswave.com/websquare/websquare.html?w2xPath=/support/api/guide/GridView/Grouping/groupbyMaxCount_GridView.xml</v>
      </c>
    </row>
    <row r="320" spans="1:28" s="39" customFormat="1" ht="102" x14ac:dyDescent="0.45">
      <c r="A320" s="37">
        <f>SUBTOTAL(3, $T$2:T320)</f>
        <v>248</v>
      </c>
      <c r="B320" s="38" t="s">
        <v>1814</v>
      </c>
      <c r="C320" s="39" t="s">
        <v>1930</v>
      </c>
      <c r="D320" s="39" t="s">
        <v>1940</v>
      </c>
      <c r="E320" s="40" t="s">
        <v>4125</v>
      </c>
      <c r="F320" s="41" t="s">
        <v>1929</v>
      </c>
      <c r="G320" s="39" t="s">
        <v>1935</v>
      </c>
      <c r="H320" s="53" t="s">
        <v>4126</v>
      </c>
      <c r="I320" s="44" t="s">
        <v>1941</v>
      </c>
      <c r="J320" s="14" t="s">
        <v>1947</v>
      </c>
      <c r="K320" s="22" t="s">
        <v>3185</v>
      </c>
      <c r="L320" s="46">
        <v>44927</v>
      </c>
      <c r="M320" s="50" t="s">
        <v>199</v>
      </c>
      <c r="N320" s="45" t="s">
        <v>199</v>
      </c>
      <c r="O320" s="45" t="s">
        <v>199</v>
      </c>
      <c r="P320" s="45" t="s">
        <v>199</v>
      </c>
      <c r="Q320" s="45" t="s">
        <v>199</v>
      </c>
      <c r="R320" s="45" t="s">
        <v>199</v>
      </c>
      <c r="S320" s="45" t="s">
        <v>199</v>
      </c>
      <c r="T320" s="47" t="s">
        <v>4247</v>
      </c>
      <c r="U320" s="39" t="s">
        <v>3764</v>
      </c>
      <c r="V320" s="39" t="str">
        <f>CONCATENATE(U320, D320)</f>
        <v>https://example.websquare.kr/websquare/websquare.html?w2xPath=/guide/GridView/Grouping/groupby_showOnlyLastDepth_GridView.xml</v>
      </c>
      <c r="W320" s="39" t="s">
        <v>4512</v>
      </c>
      <c r="X320" s="39" t="str">
        <f>CONCATENATE(W320, D320)</f>
        <v>https://docs.inswave.com/websquare/websquare.html?w2xPath=/support/api/guide/GridView/Grouping/groupby_showOnlyLastDepth_GridView.xml</v>
      </c>
      <c r="Y320" s="48" t="str">
        <f>HYPERLINK(X320, H320)</f>
        <v>그룹핑 후 라벨 값으로 마지막 단계의 항목만 표시</v>
      </c>
      <c r="Z320" s="4" t="str">
        <f>HYPERLINK(V320,H320)</f>
        <v>그룹핑 후 라벨 값으로 마지막 단계의 항목만 표시</v>
      </c>
      <c r="AA320" s="4" t="str">
        <f>HYPERLINK(J320,H320)</f>
        <v>그룹핑 후 라벨 값으로 마지막 단계의 항목만 표시</v>
      </c>
      <c r="AB320" s="39" t="str">
        <f t="shared" si="9"/>
        <v>https://docs.inswave.com/websquare/websquare.html?w2xPath=/support/api/guide/GridView/Grouping/groupby_showOnlyLastDepth_GridView.xml</v>
      </c>
    </row>
    <row r="321" spans="1:28" s="39" customFormat="1" ht="102" x14ac:dyDescent="0.45">
      <c r="A321" s="37">
        <f>SUBTOTAL(3, $T$2:T321)</f>
        <v>249</v>
      </c>
      <c r="B321" s="38" t="s">
        <v>0</v>
      </c>
      <c r="C321" s="39" t="s">
        <v>1123</v>
      </c>
      <c r="D321" s="44" t="s">
        <v>4113</v>
      </c>
      <c r="E321" s="57" t="s">
        <v>4111</v>
      </c>
      <c r="F321" s="41" t="s">
        <v>4115</v>
      </c>
      <c r="G321" s="39" t="s">
        <v>4117</v>
      </c>
      <c r="H321" s="49" t="s">
        <v>4110</v>
      </c>
      <c r="I321" s="44" t="s">
        <v>4121</v>
      </c>
      <c r="J321" s="14" t="s">
        <v>150</v>
      </c>
      <c r="K321" s="22" t="s">
        <v>3182</v>
      </c>
      <c r="L321" s="46">
        <v>44470</v>
      </c>
      <c r="M321" s="14"/>
      <c r="N321" s="45" t="s">
        <v>199</v>
      </c>
      <c r="O321" s="45" t="s">
        <v>199</v>
      </c>
      <c r="P321" s="45" t="s">
        <v>199</v>
      </c>
      <c r="Q321" s="45" t="s">
        <v>199</v>
      </c>
      <c r="R321" s="45" t="s">
        <v>199</v>
      </c>
      <c r="S321" s="45" t="s">
        <v>199</v>
      </c>
      <c r="T321" s="47" t="s">
        <v>4247</v>
      </c>
      <c r="U321" s="39" t="s">
        <v>3764</v>
      </c>
      <c r="V321" s="39" t="str">
        <f>CONCATENATE(U321, D321)</f>
        <v>https://example.websquare.kr/websquare/websquare.html?w2xPath=/guide/GridView/Grouping/clearGroupby_groupby_GridView.xml</v>
      </c>
      <c r="W321" s="39" t="s">
        <v>4512</v>
      </c>
      <c r="X321" s="39" t="str">
        <f>CONCATENATE(W321, D321)</f>
        <v>https://docs.inswave.com/websquare/websquare.html?w2xPath=/support/api/guide/GridView/Grouping/clearGroupby_groupby_GridView.xml</v>
      </c>
      <c r="Y321" s="48" t="str">
        <f>HYPERLINK(X321, H321)</f>
        <v>동적으로 실행된 그룹핑을 해제</v>
      </c>
      <c r="Z321" s="4" t="str">
        <f>HYPERLINK(V321,H321)</f>
        <v>동적으로 실행된 그룹핑을 해제</v>
      </c>
      <c r="AA321" s="4" t="str">
        <f>HYPERLINK(J321,H321)</f>
        <v>동적으로 실행된 그룹핑을 해제</v>
      </c>
      <c r="AB321" s="39" t="str">
        <f t="shared" si="9"/>
        <v>https://docs.inswave.com/websquare/websquare.html?w2xPath=/support/api/guide/GridView/Grouping/clearGroupby_groupby_GridView.xml</v>
      </c>
    </row>
    <row r="322" spans="1:28" s="39" customFormat="1" ht="102" x14ac:dyDescent="0.45">
      <c r="A322" s="37">
        <f>SUBTOTAL(3, $T$2:T322)</f>
        <v>250</v>
      </c>
      <c r="B322" s="38" t="s">
        <v>0</v>
      </c>
      <c r="C322" s="39" t="s">
        <v>1123</v>
      </c>
      <c r="D322" s="39" t="s">
        <v>270</v>
      </c>
      <c r="E322" s="57" t="s">
        <v>228</v>
      </c>
      <c r="F322" s="41" t="s">
        <v>141</v>
      </c>
      <c r="G322" s="39" t="s">
        <v>130</v>
      </c>
      <c r="H322" s="53" t="s">
        <v>4128</v>
      </c>
      <c r="I322" s="39" t="s">
        <v>126</v>
      </c>
      <c r="J322" s="14" t="s">
        <v>142</v>
      </c>
      <c r="K322" s="22" t="s">
        <v>3188</v>
      </c>
      <c r="L322" s="46">
        <v>44470</v>
      </c>
      <c r="M322" s="14"/>
      <c r="N322" s="45" t="s">
        <v>199</v>
      </c>
      <c r="O322" s="45" t="s">
        <v>199</v>
      </c>
      <c r="P322" s="45" t="s">
        <v>199</v>
      </c>
      <c r="Q322" s="45" t="s">
        <v>199</v>
      </c>
      <c r="R322" s="45" t="s">
        <v>199</v>
      </c>
      <c r="S322" s="45" t="s">
        <v>199</v>
      </c>
      <c r="T322" s="47" t="s">
        <v>4247</v>
      </c>
      <c r="U322" s="39" t="s">
        <v>3764</v>
      </c>
      <c r="V322" s="39" t="str">
        <f>CONCATENATE(U322, D322)</f>
        <v>https://example.websquare.kr/websquare/websquare.html?w2xPath=/guide/GridView/Grouping/groupbyZone_GridView.xml</v>
      </c>
      <c r="W322" s="39" t="s">
        <v>4512</v>
      </c>
      <c r="X322" s="39" t="str">
        <f>CONCATENATE(W322, D322)</f>
        <v>https://docs.inswave.com/websquare/websquare.html?w2xPath=/support/api/guide/GridView/Grouping/groupbyZone_GridView.xml</v>
      </c>
      <c r="Y322" s="48" t="str">
        <f>HYPERLINK(X322, H322)</f>
        <v>사용자의 헤더 드래깅을 통한 그룹핑 허용</v>
      </c>
      <c r="Z322" s="4" t="str">
        <f>HYPERLINK(V322,H322)</f>
        <v>사용자의 헤더 드래깅을 통한 그룹핑 허용</v>
      </c>
      <c r="AA322" s="4" t="str">
        <f>HYPERLINK(J322,H322)</f>
        <v>사용자의 헤더 드래깅을 통한 그룹핑 허용</v>
      </c>
      <c r="AB322" s="39" t="str">
        <f t="shared" si="9"/>
        <v>https://docs.inswave.com/websquare/websquare.html?w2xPath=/support/api/guide/GridView/Grouping/groupbyZone_GridView.xml</v>
      </c>
    </row>
    <row r="323" spans="1:28" s="39" customFormat="1" ht="102" x14ac:dyDescent="0.45">
      <c r="A323" s="37">
        <f>SUBTOTAL(3, $T$2:T323)</f>
        <v>251</v>
      </c>
      <c r="B323" s="38" t="s">
        <v>0</v>
      </c>
      <c r="C323" s="39" t="s">
        <v>1123</v>
      </c>
      <c r="D323" s="39" t="s">
        <v>275</v>
      </c>
      <c r="E323" s="57" t="s">
        <v>4122</v>
      </c>
      <c r="F323" s="41" t="s">
        <v>138</v>
      </c>
      <c r="G323" s="39" t="s">
        <v>137</v>
      </c>
      <c r="H323" s="53" t="s">
        <v>4123</v>
      </c>
      <c r="I323" s="44" t="s">
        <v>262</v>
      </c>
      <c r="J323" s="14" t="s">
        <v>140</v>
      </c>
      <c r="K323" s="22" t="s">
        <v>3183</v>
      </c>
      <c r="L323" s="46">
        <v>44501</v>
      </c>
      <c r="M323" s="14"/>
      <c r="N323" s="45" t="s">
        <v>199</v>
      </c>
      <c r="O323" s="45" t="s">
        <v>199</v>
      </c>
      <c r="P323" s="45" t="s">
        <v>199</v>
      </c>
      <c r="Q323" s="45" t="s">
        <v>199</v>
      </c>
      <c r="R323" s="45" t="s">
        <v>199</v>
      </c>
      <c r="S323" s="45" t="s">
        <v>199</v>
      </c>
      <c r="T323" s="47" t="s">
        <v>4247</v>
      </c>
      <c r="U323" s="39" t="s">
        <v>3764</v>
      </c>
      <c r="V323" s="39" t="str">
        <f>CONCATENATE(U323, D323)</f>
        <v>https://example.websquare.kr/websquare/websquare.html?w2xPath=/guide/GridView/Grouping/customFilterBox_GridView.xml</v>
      </c>
      <c r="W323" s="39" t="s">
        <v>4512</v>
      </c>
      <c r="X323" s="39" t="str">
        <f>CONCATENATE(W323, D323)</f>
        <v>https://docs.inswave.com/websquare/websquare.html?w2xPath=/support/api/guide/GridView/Grouping/customFilterBox_GridView.xml</v>
      </c>
      <c r="Y323" s="48" t="str">
        <f>HYPERLINK(X323, H323)</f>
        <v>필터링을 유지한 채로 그룹핑</v>
      </c>
      <c r="Z323" s="4" t="str">
        <f>HYPERLINK(V323,H323)</f>
        <v>필터링을 유지한 채로 그룹핑</v>
      </c>
      <c r="AA323" s="4" t="str">
        <f>HYPERLINK(J323,H323)</f>
        <v>필터링을 유지한 채로 그룹핑</v>
      </c>
      <c r="AB323" s="39" t="str">
        <f t="shared" si="9"/>
        <v>https://docs.inswave.com/websquare/websquare.html?w2xPath=/support/api/guide/GridView/Grouping/customFilterBox_GridView.xml</v>
      </c>
    </row>
    <row r="324" spans="1:28" s="39" customFormat="1" ht="102" x14ac:dyDescent="0.45">
      <c r="A324" s="37">
        <f>SUBTOTAL(3, $T$2:T324)</f>
        <v>252</v>
      </c>
      <c r="B324" s="38" t="s">
        <v>0</v>
      </c>
      <c r="C324" s="39" t="s">
        <v>1123</v>
      </c>
      <c r="D324" s="39" t="s">
        <v>269</v>
      </c>
      <c r="E324" s="57" t="s">
        <v>301</v>
      </c>
      <c r="F324" s="41" t="s">
        <v>148</v>
      </c>
      <c r="G324" s="39" t="s">
        <v>129</v>
      </c>
      <c r="H324" s="53" t="s">
        <v>4109</v>
      </c>
      <c r="I324" s="39" t="s">
        <v>125</v>
      </c>
      <c r="J324" s="14" t="s">
        <v>149</v>
      </c>
      <c r="K324" s="22" t="s">
        <v>3184</v>
      </c>
      <c r="L324" s="46">
        <v>44470</v>
      </c>
      <c r="M324" s="14"/>
      <c r="N324" s="45" t="s">
        <v>199</v>
      </c>
      <c r="O324" s="45" t="s">
        <v>199</v>
      </c>
      <c r="P324" s="45" t="s">
        <v>199</v>
      </c>
      <c r="Q324" s="45" t="s">
        <v>199</v>
      </c>
      <c r="R324" s="45" t="s">
        <v>199</v>
      </c>
      <c r="S324" s="45" t="s">
        <v>199</v>
      </c>
      <c r="T324" s="47" t="s">
        <v>4247</v>
      </c>
      <c r="U324" s="39" t="s">
        <v>3764</v>
      </c>
      <c r="V324" s="39" t="str">
        <f>CONCATENATE(U324, D324)</f>
        <v>https://example.websquare.kr/websquare/websquare.html?w2xPath=/guide/GridView/Grouping/groupby_GridView.xml</v>
      </c>
      <c r="W324" s="39" t="s">
        <v>4512</v>
      </c>
      <c r="X324" s="39" t="str">
        <f>CONCATENATE(W324, D324)</f>
        <v>https://docs.inswave.com/websquare/websquare.html?w2xPath=/support/api/guide/GridView/Grouping/groupby_GridView.xml</v>
      </c>
      <c r="Y324" s="48" t="str">
        <f>HYPERLINK(X324, H324)</f>
        <v>함수를 통한 동적 그룹핑</v>
      </c>
      <c r="Z324" s="4" t="str">
        <f>HYPERLINK(V324,H324)</f>
        <v>함수를 통한 동적 그룹핑</v>
      </c>
      <c r="AA324" s="4" t="str">
        <f>HYPERLINK(J324,H324)</f>
        <v>함수를 통한 동적 그룹핑</v>
      </c>
      <c r="AB324" s="39" t="str">
        <f t="shared" si="9"/>
        <v>https://docs.inswave.com/websquare/websquare.html?w2xPath=/support/api/guide/GridView/Grouping/groupby_GridView.xml</v>
      </c>
    </row>
    <row r="325" spans="1:28" s="39" customFormat="1" ht="102" x14ac:dyDescent="0.45">
      <c r="A325" s="37">
        <f>SUBTOTAL(3, $T$2:T325)</f>
        <v>253</v>
      </c>
      <c r="B325" s="38" t="s">
        <v>0</v>
      </c>
      <c r="C325" s="39" t="s">
        <v>1123</v>
      </c>
      <c r="D325" s="44" t="s">
        <v>4114</v>
      </c>
      <c r="E325" s="57" t="s">
        <v>4112</v>
      </c>
      <c r="F325" s="41" t="s">
        <v>4116</v>
      </c>
      <c r="G325" s="39" t="s">
        <v>4119</v>
      </c>
      <c r="H325" s="49" t="s">
        <v>4118</v>
      </c>
      <c r="I325" s="44" t="s">
        <v>4120</v>
      </c>
      <c r="J325" s="14" t="s">
        <v>150</v>
      </c>
      <c r="K325" s="22" t="s">
        <v>3182</v>
      </c>
      <c r="L325" s="46">
        <v>44470</v>
      </c>
      <c r="M325" s="14"/>
      <c r="N325" s="45"/>
      <c r="O325" s="45"/>
      <c r="P325" s="45"/>
      <c r="Q325" s="45"/>
      <c r="R325" s="45"/>
      <c r="S325" s="45"/>
      <c r="T325" s="47" t="s">
        <v>4247</v>
      </c>
      <c r="U325" s="39" t="s">
        <v>3764</v>
      </c>
      <c r="V325" s="39" t="str">
        <f>CONCATENATE(U325, D325)</f>
        <v>https://example.websquare.kr/websquare/websquare.html?w2xPath=/guide/GridView/Grouping/clearGroupby_groupbyZone_GridView.xml</v>
      </c>
      <c r="W325" s="39" t="s">
        <v>4512</v>
      </c>
      <c r="X325" s="39" t="str">
        <f>CONCATENATE(W325, D325)</f>
        <v>https://docs.inswave.com/websquare/websquare.html?w2xPath=/support/api/guide/GridView/Grouping/clearGroupby_groupbyZone_GridView.xml</v>
      </c>
      <c r="Y325" s="48" t="str">
        <f>HYPERLINK(X325, H325)</f>
        <v>헤더 드래깅을 통해 실행된 그룹핑을 해제</v>
      </c>
      <c r="Z325" s="4" t="str">
        <f>HYPERLINK(V325,H325)</f>
        <v>헤더 드래깅을 통해 실행된 그룹핑을 해제</v>
      </c>
      <c r="AA325" s="4" t="str">
        <f>HYPERLINK(J325,H325)</f>
        <v>헤더 드래깅을 통해 실행된 그룹핑을 해제</v>
      </c>
      <c r="AB325" s="39" t="str">
        <f t="shared" si="9"/>
        <v>https://docs.inswave.com/websquare/websquare.html?w2xPath=/support/api/guide/GridView/Grouping/clearGroupby_groupbyZone_GridView.xml</v>
      </c>
    </row>
    <row r="326" spans="1:28" s="39" customFormat="1" ht="102" x14ac:dyDescent="0.45">
      <c r="A326" s="37">
        <f>SUBTOTAL(3, $T$2:T326)</f>
        <v>254</v>
      </c>
      <c r="B326" s="38" t="s">
        <v>1814</v>
      </c>
      <c r="C326" s="39" t="s">
        <v>1999</v>
      </c>
      <c r="D326" s="39" t="s">
        <v>2009</v>
      </c>
      <c r="E326" s="40" t="s">
        <v>4155</v>
      </c>
      <c r="F326" s="41" t="s">
        <v>2182</v>
      </c>
      <c r="G326" s="44" t="s">
        <v>4154</v>
      </c>
      <c r="H326" s="49" t="s">
        <v>4154</v>
      </c>
      <c r="I326" s="44" t="s">
        <v>2008</v>
      </c>
      <c r="J326" s="14" t="s">
        <v>2018</v>
      </c>
      <c r="K326" s="22" t="s">
        <v>2900</v>
      </c>
      <c r="L326" s="46">
        <v>44958</v>
      </c>
      <c r="M326" s="50" t="s">
        <v>199</v>
      </c>
      <c r="N326" s="45" t="s">
        <v>199</v>
      </c>
      <c r="O326" s="45" t="s">
        <v>199</v>
      </c>
      <c r="P326" s="45" t="s">
        <v>199</v>
      </c>
      <c r="Q326" s="45" t="s">
        <v>199</v>
      </c>
      <c r="R326" s="45" t="s">
        <v>199</v>
      </c>
      <c r="S326" s="45" t="s">
        <v>199</v>
      </c>
      <c r="T326" s="47" t="s">
        <v>4247</v>
      </c>
      <c r="U326" s="39" t="s">
        <v>3764</v>
      </c>
      <c r="V326" s="39" t="str">
        <f>CONCATENATE(U326, D326)</f>
        <v>https://example.websquare.kr/websquare/websquare.html?w2xPath=/guide/GridView/inputType/drilldownToggle_GridView.xml</v>
      </c>
      <c r="W326" s="39" t="s">
        <v>4512</v>
      </c>
      <c r="X326" s="39" t="str">
        <f>CONCATENATE(W326, D326)</f>
        <v>https://docs.inswave.com/websquare/websquare.html?w2xPath=/support/api/guide/GridView/inputType/drilldownToggle_GridView.xml</v>
      </c>
      <c r="Y326" s="48" t="str">
        <f>HYPERLINK(X326, H326)</f>
        <v>Enter 키로 드릴다운 컬럼의 목록 열고 닫기</v>
      </c>
      <c r="Z326" s="4" t="str">
        <f>HYPERLINK(V326,H326)</f>
        <v>Enter 키로 드릴다운 컬럼의 목록 열고 닫기</v>
      </c>
      <c r="AA326" s="4" t="str">
        <f>HYPERLINK(J326,H326)</f>
        <v>Enter 키로 드릴다운 컬럼의 목록 열고 닫기</v>
      </c>
      <c r="AB326" s="39" t="str">
        <f t="shared" si="9"/>
        <v>https://docs.inswave.com/websquare/websquare.html?w2xPath=/support/api/guide/GridView/inputType/drilldownToggle_GridView.xml</v>
      </c>
    </row>
    <row r="327" spans="1:28" s="39" customFormat="1" ht="102" hidden="1" x14ac:dyDescent="0.45">
      <c r="A327" s="37">
        <f>SUBTOTAL(3, $T$2:T327)</f>
        <v>254</v>
      </c>
      <c r="B327" s="38" t="s">
        <v>1948</v>
      </c>
      <c r="C327" s="39" t="s">
        <v>1948</v>
      </c>
      <c r="D327" s="39" t="s">
        <v>4344</v>
      </c>
      <c r="E327" s="40" t="s">
        <v>1249</v>
      </c>
      <c r="F327" s="41" t="s">
        <v>1251</v>
      </c>
      <c r="G327" s="39" t="s">
        <v>1250</v>
      </c>
      <c r="H327" s="52" t="s">
        <v>3618</v>
      </c>
      <c r="I327" s="39" t="s">
        <v>43</v>
      </c>
      <c r="J327" s="14" t="s">
        <v>1884</v>
      </c>
      <c r="K327" s="22" t="s">
        <v>3055</v>
      </c>
      <c r="L327" s="46">
        <v>43983</v>
      </c>
      <c r="M327" s="14"/>
      <c r="N327" s="45" t="s">
        <v>199</v>
      </c>
      <c r="O327" s="45" t="s">
        <v>199</v>
      </c>
      <c r="P327" s="45" t="s">
        <v>199</v>
      </c>
      <c r="Q327" s="45" t="s">
        <v>199</v>
      </c>
      <c r="R327" s="45" t="s">
        <v>199</v>
      </c>
      <c r="S327" s="45" t="s">
        <v>199</v>
      </c>
      <c r="T327" s="47" t="s">
        <v>4515</v>
      </c>
      <c r="U327" s="39" t="s">
        <v>3764</v>
      </c>
      <c r="V327" s="39" t="str">
        <f>CONCATENATE(U327, D327)</f>
        <v>https://example.websquare.kr/websquare/websquare.html?w2xPath=/guide/_config_xml/warningSync_config_xml/warningSync_config_xml.xml</v>
      </c>
      <c r="W327" s="39" t="s">
        <v>4220</v>
      </c>
      <c r="X327" s="39" t="str">
        <f>CONCATENATE(W327, D327)</f>
        <v>https://docs.inswave.com/websquare/websquare.html?w2xPath=/support/api/samples/_config_xml/warningSync_config_xml/warningSync_config_xml.xml</v>
      </c>
      <c r="Y327" s="48"/>
      <c r="Z327" s="4"/>
      <c r="AA327" s="4" t="str">
        <f>HYPERLINK(J327,H327)</f>
        <v>동기 서브미션 경고</v>
      </c>
      <c r="AB327" s="39" t="str">
        <f t="shared" si="9"/>
        <v>https://docs.inswave.com/websquare/websquare.html?w2xPath=/support/api/samples/_config_xml/warningSync_config_xml/warningSync_config_xml.xml</v>
      </c>
    </row>
    <row r="328" spans="1:28" s="39" customFormat="1" ht="102" x14ac:dyDescent="0.45">
      <c r="A328" s="37">
        <f>SUBTOTAL(3, $T$2:T328)</f>
        <v>255</v>
      </c>
      <c r="B328" s="38" t="s">
        <v>0</v>
      </c>
      <c r="C328" s="39" t="s">
        <v>1101</v>
      </c>
      <c r="D328" s="39" t="s">
        <v>666</v>
      </c>
      <c r="E328" s="40" t="s">
        <v>658</v>
      </c>
      <c r="F328" s="41" t="s">
        <v>661</v>
      </c>
      <c r="G328" s="44" t="s">
        <v>662</v>
      </c>
      <c r="H328" s="53" t="s">
        <v>4527</v>
      </c>
      <c r="I328" s="39" t="s">
        <v>62</v>
      </c>
      <c r="J328" s="14" t="s">
        <v>660</v>
      </c>
      <c r="K328" s="22" t="s">
        <v>2902</v>
      </c>
      <c r="L328" s="46">
        <v>44256</v>
      </c>
      <c r="M328" s="14"/>
      <c r="N328" s="45" t="s">
        <v>199</v>
      </c>
      <c r="O328" s="45" t="s">
        <v>199</v>
      </c>
      <c r="P328" s="47" t="s">
        <v>199</v>
      </c>
      <c r="Q328" s="45" t="s">
        <v>199</v>
      </c>
      <c r="R328" s="45" t="s">
        <v>199</v>
      </c>
      <c r="S328" s="45" t="s">
        <v>199</v>
      </c>
      <c r="T328" s="47" t="s">
        <v>4247</v>
      </c>
      <c r="U328" s="39" t="s">
        <v>3764</v>
      </c>
      <c r="V328" s="39" t="str">
        <f>CONCATENATE(U328, D328)</f>
        <v>https://example.websquare.kr/websquare/websquare.html?w2xPath=/guide/GridView/inputType/inputType_autoComplete_gridView_column.xml</v>
      </c>
      <c r="W328" s="39" t="s">
        <v>4512</v>
      </c>
      <c r="X328" s="39" t="str">
        <f>CONCATENATE(W328, D328)</f>
        <v>https://docs.inswave.com/websquare/websquare.html?w2xPath=/support/api/guide/GridView/inputType/inputType_autoComplete_gridView_column.xml</v>
      </c>
      <c r="Y328" s="48" t="str">
        <f>HYPERLINK(X328, H328)</f>
        <v>inputType='autoComplete' 컬럼</v>
      </c>
      <c r="Z328" s="4" t="str">
        <f>HYPERLINK(V328,H328)</f>
        <v>inputType='autoComplete' 컬럼</v>
      </c>
      <c r="AA328" s="4" t="str">
        <f>HYPERLINK(J328,H328)</f>
        <v>inputType='autoComplete' 컬럼</v>
      </c>
      <c r="AB328" s="39" t="str">
        <f t="shared" si="9"/>
        <v>https://docs.inswave.com/websquare/websquare.html?w2xPath=/support/api/guide/GridView/inputType/inputType_autoComplete_gridView_column.xml</v>
      </c>
    </row>
    <row r="329" spans="1:28" s="39" customFormat="1" ht="102" x14ac:dyDescent="0.45">
      <c r="A329" s="37">
        <f>SUBTOTAL(3, $T$2:T329)</f>
        <v>256</v>
      </c>
      <c r="B329" s="38" t="s">
        <v>0</v>
      </c>
      <c r="C329" s="39" t="s">
        <v>1101</v>
      </c>
      <c r="D329" s="39" t="s">
        <v>3738</v>
      </c>
      <c r="E329" s="40" t="s">
        <v>2480</v>
      </c>
      <c r="F329" s="41" t="s">
        <v>2531</v>
      </c>
      <c r="G329" s="39" t="s">
        <v>4143</v>
      </c>
      <c r="H329" s="53" t="s">
        <v>4528</v>
      </c>
      <c r="I329" s="44" t="s">
        <v>1283</v>
      </c>
      <c r="J329" s="14" t="s">
        <v>2482</v>
      </c>
      <c r="K329" s="22" t="s">
        <v>2905</v>
      </c>
      <c r="L329" s="46">
        <v>43739</v>
      </c>
      <c r="M329" s="14"/>
      <c r="N329" s="45" t="s">
        <v>199</v>
      </c>
      <c r="O329" s="45" t="s">
        <v>199</v>
      </c>
      <c r="P329" s="45" t="s">
        <v>199</v>
      </c>
      <c r="Q329" s="45" t="s">
        <v>199</v>
      </c>
      <c r="R329" s="45" t="s">
        <v>199</v>
      </c>
      <c r="S329" s="45" t="s">
        <v>199</v>
      </c>
      <c r="T329" s="47" t="s">
        <v>4247</v>
      </c>
      <c r="U329" s="39" t="s">
        <v>3764</v>
      </c>
      <c r="V329" s="39" t="str">
        <f>CONCATENATE(U329, D329)</f>
        <v>https://example.websquare.kr/websquare/websquare.html?w2xPath=/guide/GridView/inputType/inputType_checkbox_select_gridView_column.xml</v>
      </c>
      <c r="W329" s="39" t="s">
        <v>4512</v>
      </c>
      <c r="X329" s="39" t="str">
        <f>CONCATENATE(W329, D329)</f>
        <v>https://docs.inswave.com/websquare/websquare.html?w2xPath=/support/api/guide/GridView/inputType/inputType_checkbox_select_gridView_column.xml</v>
      </c>
      <c r="Y329" s="48" t="str">
        <f>HYPERLINK(X329, H329)</f>
        <v>inputType='checkbox' 및 inputType='select' 컬럼</v>
      </c>
      <c r="Z329" s="4" t="str">
        <f>HYPERLINK(V329,H329)</f>
        <v>inputType='checkbox' 및 inputType='select' 컬럼</v>
      </c>
      <c r="AA329" s="4" t="str">
        <f>HYPERLINK(J329,H329)</f>
        <v>inputType='checkbox' 및 inputType='select' 컬럼</v>
      </c>
      <c r="AB329" s="39" t="str">
        <f t="shared" si="9"/>
        <v>https://docs.inswave.com/websquare/websquare.html?w2xPath=/support/api/guide/GridView/inputType/inputType_checkbox_select_gridView_column.xml</v>
      </c>
    </row>
    <row r="330" spans="1:28" s="39" customFormat="1" ht="102" x14ac:dyDescent="0.45">
      <c r="A330" s="37">
        <f>SUBTOTAL(3, $T$2:T330)</f>
        <v>257</v>
      </c>
      <c r="B330" s="38" t="s">
        <v>0</v>
      </c>
      <c r="C330" s="39" t="s">
        <v>1101</v>
      </c>
      <c r="D330" s="39" t="s">
        <v>667</v>
      </c>
      <c r="E330" s="40" t="s">
        <v>659</v>
      </c>
      <c r="F330" s="41" t="s">
        <v>663</v>
      </c>
      <c r="G330" s="44" t="s">
        <v>665</v>
      </c>
      <c r="H330" s="53" t="s">
        <v>4529</v>
      </c>
      <c r="I330" s="39" t="s">
        <v>63</v>
      </c>
      <c r="J330" s="14" t="s">
        <v>664</v>
      </c>
      <c r="K330" s="22" t="s">
        <v>2906</v>
      </c>
      <c r="L330" s="46">
        <v>44256</v>
      </c>
      <c r="M330" s="14"/>
      <c r="N330" s="45" t="s">
        <v>199</v>
      </c>
      <c r="O330" s="45" t="s">
        <v>199</v>
      </c>
      <c r="P330" s="47" t="s">
        <v>199</v>
      </c>
      <c r="Q330" s="45" t="s">
        <v>199</v>
      </c>
      <c r="R330" s="45" t="s">
        <v>199</v>
      </c>
      <c r="S330" s="45" t="s">
        <v>199</v>
      </c>
      <c r="T330" s="47" t="s">
        <v>4247</v>
      </c>
      <c r="U330" s="39" t="s">
        <v>3764</v>
      </c>
      <c r="V330" s="39" t="str">
        <f>CONCATENATE(U330, D330)</f>
        <v>https://example.websquare.kr/websquare/websquare.html?w2xPath=/guide/GridView/inputType/inputType_checkcombobox_gridView_column.xml</v>
      </c>
      <c r="W330" s="39" t="s">
        <v>4512</v>
      </c>
      <c r="X330" s="39" t="str">
        <f>CONCATENATE(W330, D330)</f>
        <v>https://docs.inswave.com/websquare/websquare.html?w2xPath=/support/api/guide/GridView/inputType/inputType_checkcombobox_gridView_column.xml</v>
      </c>
      <c r="Y330" s="48" t="str">
        <f>HYPERLINK(X330, H330)</f>
        <v>inputType='checkcombobox' 컬럼</v>
      </c>
      <c r="Z330" s="4" t="str">
        <f>HYPERLINK(V330,H330)</f>
        <v>inputType='checkcombobox' 컬럼</v>
      </c>
      <c r="AA330" s="4" t="str">
        <f>HYPERLINK(J330,H330)</f>
        <v>inputType='checkcombobox' 컬럼</v>
      </c>
      <c r="AB330" s="39" t="str">
        <f t="shared" si="9"/>
        <v>https://docs.inswave.com/websquare/websquare.html?w2xPath=/support/api/guide/GridView/inputType/inputType_checkcombobox_gridView_column.xml</v>
      </c>
    </row>
    <row r="331" spans="1:28" s="39" customFormat="1" ht="102" x14ac:dyDescent="0.45">
      <c r="A331" s="37">
        <f>SUBTOTAL(3, $T$2:T331)</f>
        <v>258</v>
      </c>
      <c r="B331" s="38" t="s">
        <v>1814</v>
      </c>
      <c r="C331" s="39" t="s">
        <v>1101</v>
      </c>
      <c r="D331" s="39" t="s">
        <v>3714</v>
      </c>
      <c r="E331" s="40" t="s">
        <v>1517</v>
      </c>
      <c r="F331" s="41" t="s">
        <v>1438</v>
      </c>
      <c r="G331" s="44" t="s">
        <v>1439</v>
      </c>
      <c r="H331" s="53" t="s">
        <v>4523</v>
      </c>
      <c r="I331" s="44" t="s">
        <v>1587</v>
      </c>
      <c r="J331" s="14" t="s">
        <v>1437</v>
      </c>
      <c r="K331" s="22" t="s">
        <v>2897</v>
      </c>
      <c r="L331" s="46">
        <v>44136</v>
      </c>
      <c r="M331" s="14"/>
      <c r="N331" s="45" t="s">
        <v>199</v>
      </c>
      <c r="O331" s="45" t="s">
        <v>199</v>
      </c>
      <c r="P331" s="45" t="s">
        <v>199</v>
      </c>
      <c r="Q331" s="45" t="s">
        <v>199</v>
      </c>
      <c r="R331" s="45" t="s">
        <v>199</v>
      </c>
      <c r="S331" s="45" t="s">
        <v>199</v>
      </c>
      <c r="T331" s="47" t="s">
        <v>4247</v>
      </c>
      <c r="U331" s="39" t="s">
        <v>3764</v>
      </c>
      <c r="V331" s="39" t="str">
        <f>CONCATENATE(U331, D331)</f>
        <v>https://example.websquare.kr/websquare/websquare.html?w2xPath=/guide/GridView/inputType/inputType_drilldown_gridView_column/inputType_drilldown_gridView_column.xml</v>
      </c>
      <c r="W331" s="39" t="s">
        <v>4512</v>
      </c>
      <c r="X331" s="39" t="str">
        <f>CONCATENATE(W331, D331)</f>
        <v>https://docs.inswave.com/websquare/websquare.html?w2xPath=/support/api/guide/GridView/inputType/inputType_drilldown_gridView_column/inputType_drilldown_gridView_column.xml</v>
      </c>
      <c r="Y331" s="48" t="str">
        <f>HYPERLINK(X331, H331)</f>
        <v>inputType='drilldown' 컬럼</v>
      </c>
      <c r="Z331" s="4" t="str">
        <f>HYPERLINK(V331,H331)</f>
        <v>inputType='drilldown' 컬럼</v>
      </c>
      <c r="AA331" s="4" t="str">
        <f>HYPERLINK(J331,H331)</f>
        <v>inputType='drilldown' 컬럼</v>
      </c>
      <c r="AB331" s="39" t="str">
        <f t="shared" si="9"/>
        <v>https://docs.inswave.com/websquare/websquare.html?w2xPath=/support/api/guide/GridView/inputType/inputType_drilldown_gridView_column/inputType_drilldown_gridView_column.xml</v>
      </c>
    </row>
    <row r="332" spans="1:28" s="39" customFormat="1" ht="102" x14ac:dyDescent="0.45">
      <c r="A332" s="37">
        <f>SUBTOTAL(3, $T$2:T332)</f>
        <v>259</v>
      </c>
      <c r="B332" s="38" t="s">
        <v>0</v>
      </c>
      <c r="C332" s="39" t="s">
        <v>1101</v>
      </c>
      <c r="D332" s="39" t="s">
        <v>412</v>
      </c>
      <c r="E332" s="40" t="s">
        <v>2373</v>
      </c>
      <c r="F332" s="41" t="s">
        <v>2372</v>
      </c>
      <c r="G332" s="44" t="s">
        <v>436</v>
      </c>
      <c r="H332" s="53" t="s">
        <v>4524</v>
      </c>
      <c r="I332" s="39" t="s">
        <v>61</v>
      </c>
      <c r="J332" s="14" t="s">
        <v>449</v>
      </c>
      <c r="K332" s="22" t="s">
        <v>2908</v>
      </c>
      <c r="L332" s="46">
        <v>44228</v>
      </c>
      <c r="M332" s="45"/>
      <c r="N332" s="45" t="s">
        <v>199</v>
      </c>
      <c r="O332" s="45" t="s">
        <v>199</v>
      </c>
      <c r="P332" s="45" t="s">
        <v>199</v>
      </c>
      <c r="Q332" s="45" t="s">
        <v>199</v>
      </c>
      <c r="R332" s="45" t="s">
        <v>199</v>
      </c>
      <c r="S332" s="45" t="s">
        <v>199</v>
      </c>
      <c r="T332" s="47" t="s">
        <v>4247</v>
      </c>
      <c r="U332" s="39" t="s">
        <v>3764</v>
      </c>
      <c r="V332" s="39" t="str">
        <f>CONCATENATE(U332, D332)</f>
        <v>https://example.websquare.kr/websquare/websquare.html?w2xPath=/guide/GridView/inputType/inputType_select_gridView_column.xml</v>
      </c>
      <c r="W332" s="39" t="s">
        <v>4512</v>
      </c>
      <c r="X332" s="39" t="str">
        <f>CONCATENATE(W332, D332)</f>
        <v>https://docs.inswave.com/websquare/websquare.html?w2xPath=/support/api/guide/GridView/inputType/inputType_select_gridView_column.xml</v>
      </c>
      <c r="Y332" s="48" t="str">
        <f>HYPERLINK(X332, H332)</f>
        <v>inputType='select' 컬럼</v>
      </c>
      <c r="Z332" s="4" t="str">
        <f>HYPERLINK(V332,H332)</f>
        <v>inputType='select' 컬럼</v>
      </c>
      <c r="AA332" s="4" t="str">
        <f>HYPERLINK(J332,H332)</f>
        <v>inputType='select' 컬럼</v>
      </c>
      <c r="AB332" s="39" t="str">
        <f t="shared" si="9"/>
        <v>https://docs.inswave.com/websquare/websquare.html?w2xPath=/support/api/guide/GridView/inputType/inputType_select_gridView_column.xml</v>
      </c>
    </row>
    <row r="333" spans="1:28" s="39" customFormat="1" ht="102" x14ac:dyDescent="0.45">
      <c r="A333" s="25">
        <f>SUBTOTAL(3, $T$2:T333)</f>
        <v>260</v>
      </c>
      <c r="B333" s="26" t="s">
        <v>0</v>
      </c>
      <c r="C333" s="27" t="s">
        <v>1101</v>
      </c>
      <c r="D333" s="27" t="s">
        <v>4601</v>
      </c>
      <c r="E333" s="28" t="s">
        <v>4607</v>
      </c>
      <c r="F333" s="27" t="s">
        <v>4646</v>
      </c>
      <c r="G333" s="27" t="s">
        <v>4636</v>
      </c>
      <c r="H333" s="27" t="s">
        <v>4602</v>
      </c>
      <c r="I333" s="29" t="s">
        <v>4630</v>
      </c>
      <c r="J333" s="31"/>
      <c r="K333" s="30" t="s">
        <v>2304</v>
      </c>
      <c r="L333" s="31" t="s">
        <v>4540</v>
      </c>
      <c r="M333" s="32"/>
      <c r="N333" s="79"/>
      <c r="O333" s="79"/>
      <c r="P333" s="79"/>
      <c r="Q333" s="79"/>
      <c r="R333" s="79"/>
      <c r="S333" s="79"/>
      <c r="T333" s="33" t="s">
        <v>4249</v>
      </c>
      <c r="U333" s="27" t="s">
        <v>3764</v>
      </c>
      <c r="V333" s="27" t="str">
        <f>CONCATENATE(U333, D333)</f>
        <v>https://example.websquare.kr/websquare/websquare.html?w2xPath=/guide/GridView/inputType/inputType_spinner_increment_gridView_column.xml</v>
      </c>
      <c r="W333" s="27" t="s">
        <v>4512</v>
      </c>
      <c r="X333" s="27" t="str">
        <f>CONCATENATE(W333, D333)</f>
        <v>https://docs.inswave.com/websquare/websquare.html?w2xPath=/support/api/guide/GridView/inputType/inputType_spinner_increment_gridView_column.xml</v>
      </c>
      <c r="Y333" s="34" t="str">
        <f>HYPERLINK(X333, H333)</f>
        <v>inputType='spinner' 컬럼의 증감 단위 설정 및 확인</v>
      </c>
      <c r="Z333" s="35" t="str">
        <f>HYPERLINK(V333,H333)</f>
        <v>inputType='spinner' 컬럼의 증감 단위 설정 및 확인</v>
      </c>
      <c r="AA333" s="27"/>
      <c r="AB333" s="39" t="str">
        <f t="shared" si="9"/>
        <v>https://docs.inswave.com/websquare/websquare.html?w2xPath=/support/api/guide/GridView/inputType/inputType_spinner_increment_gridView_column.xml</v>
      </c>
    </row>
    <row r="334" spans="1:28" s="39" customFormat="1" ht="102" x14ac:dyDescent="0.45">
      <c r="A334" s="25">
        <f>SUBTOTAL(3, $T$2:T334)</f>
        <v>261</v>
      </c>
      <c r="B334" s="26" t="s">
        <v>0</v>
      </c>
      <c r="C334" s="27" t="s">
        <v>1101</v>
      </c>
      <c r="D334" s="27" t="s">
        <v>4599</v>
      </c>
      <c r="E334" s="28" t="s">
        <v>4560</v>
      </c>
      <c r="F334" s="27" t="s">
        <v>4643</v>
      </c>
      <c r="G334" s="27" t="s">
        <v>4567</v>
      </c>
      <c r="H334" s="27" t="s">
        <v>4598</v>
      </c>
      <c r="I334" s="75" t="s">
        <v>4627</v>
      </c>
      <c r="J334" s="30" t="s">
        <v>2304</v>
      </c>
      <c r="K334" s="30" t="s">
        <v>2304</v>
      </c>
      <c r="L334" s="31" t="s">
        <v>4540</v>
      </c>
      <c r="M334" s="32"/>
      <c r="N334" s="79"/>
      <c r="O334" s="79"/>
      <c r="P334" s="79"/>
      <c r="Q334" s="79"/>
      <c r="R334" s="79"/>
      <c r="S334" s="79"/>
      <c r="T334" s="33" t="s">
        <v>4249</v>
      </c>
      <c r="U334" s="27" t="s">
        <v>3764</v>
      </c>
      <c r="V334" s="27" t="str">
        <f>CONCATENATE(U334, D334)</f>
        <v>https://example.websquare.kr/websquare/websquare.html?w2xPath=/guide/GridView/inputType/skipOption_setFocusedCell_GridView.xml</v>
      </c>
      <c r="W334" s="27" t="s">
        <v>4512</v>
      </c>
      <c r="X334" s="27" t="str">
        <f>CONCATENATE(W334, D334)</f>
        <v>https://docs.inswave.com/websquare/websquare.html?w2xPath=/support/api/guide/GridView/inputType/skipOption_setFocusedCell_GridView.xml</v>
      </c>
      <c r="Y334" s="34" t="str">
        <f>HYPERLINK(X334, H334)</f>
        <v>SelectBox 목록을 펼치지 않고 inputType='select' 셀에 포커스 주기</v>
      </c>
      <c r="Z334" s="35" t="str">
        <f>HYPERLINK(V334,H334)</f>
        <v>SelectBox 목록을 펼치지 않고 inputType='select' 셀에 포커스 주기</v>
      </c>
      <c r="AA334" s="27"/>
      <c r="AB334" s="39" t="str">
        <f t="shared" si="9"/>
        <v>https://docs.inswave.com/websquare/websquare.html?w2xPath=/support/api/guide/GridView/inputType/skipOption_setFocusedCell_GridView.xml</v>
      </c>
    </row>
    <row r="335" spans="1:28" s="39" customFormat="1" ht="102" x14ac:dyDescent="0.45">
      <c r="A335" s="37">
        <f>SUBTOTAL(3, $T$2:T335)</f>
        <v>262</v>
      </c>
      <c r="B335" s="38" t="s">
        <v>1814</v>
      </c>
      <c r="C335" s="39" t="s">
        <v>1999</v>
      </c>
      <c r="D335" s="39" t="s">
        <v>3739</v>
      </c>
      <c r="E335" s="40" t="s">
        <v>4147</v>
      </c>
      <c r="F335" s="41" t="s">
        <v>2595</v>
      </c>
      <c r="G335" s="39" t="s">
        <v>2594</v>
      </c>
      <c r="H335" s="53" t="s">
        <v>4142</v>
      </c>
      <c r="I335" s="44" t="s">
        <v>2593</v>
      </c>
      <c r="J335" s="14" t="s">
        <v>2597</v>
      </c>
      <c r="K335" s="22" t="s">
        <v>2912</v>
      </c>
      <c r="L335" s="46">
        <v>45292</v>
      </c>
      <c r="M335" s="60"/>
      <c r="N335" s="45" t="s">
        <v>199</v>
      </c>
      <c r="O335" s="45" t="s">
        <v>199</v>
      </c>
      <c r="P335" s="45" t="s">
        <v>199</v>
      </c>
      <c r="Q335" s="45" t="s">
        <v>199</v>
      </c>
      <c r="R335" s="45" t="s">
        <v>199</v>
      </c>
      <c r="S335" s="45" t="s">
        <v>199</v>
      </c>
      <c r="T335" s="47" t="s">
        <v>4247</v>
      </c>
      <c r="U335" s="39" t="s">
        <v>3764</v>
      </c>
      <c r="V335" s="39" t="str">
        <f>CONCATENATE(U335, D335)</f>
        <v>https://example.websquare.kr/websquare/websquare.html?w2xPath=/guide/GridView/inputType/inputType_checkbox_useShiftKey_useShiftKeyCheck_GridView.xml</v>
      </c>
      <c r="W335" s="39" t="s">
        <v>4512</v>
      </c>
      <c r="X335" s="39" t="str">
        <f>CONCATENATE(W335, D335)</f>
        <v>https://docs.inswave.com/websquare/websquare.html?w2xPath=/support/api/guide/GridView/inputType/inputType_checkbox_useShiftKey_useShiftKeyCheck_GridView.xml</v>
      </c>
      <c r="Y335" s="48" t="str">
        <f>HYPERLINK(X335, H335)</f>
        <v>Shift 키로 여러 체크 박스 선택</v>
      </c>
      <c r="Z335" s="4" t="str">
        <f>HYPERLINK(V335,H335)</f>
        <v>Shift 키로 여러 체크 박스 선택</v>
      </c>
      <c r="AA335" s="4" t="str">
        <f>HYPERLINK(J335,H335)</f>
        <v>Shift 키로 여러 체크 박스 선택</v>
      </c>
      <c r="AB335" s="39" t="str">
        <f t="shared" si="9"/>
        <v>https://docs.inswave.com/websquare/websquare.html?w2xPath=/support/api/guide/GridView/inputType/inputType_checkbox_useShiftKey_useShiftKeyCheck_GridView.xml</v>
      </c>
    </row>
    <row r="336" spans="1:28" s="39" customFormat="1" ht="136" x14ac:dyDescent="0.45">
      <c r="A336" s="37">
        <f>SUBTOTAL(3, $T$2:T336)</f>
        <v>263</v>
      </c>
      <c r="B336" s="38" t="s">
        <v>1814</v>
      </c>
      <c r="C336" s="39" t="s">
        <v>2155</v>
      </c>
      <c r="D336" s="39" t="s">
        <v>2055</v>
      </c>
      <c r="E336" s="40" t="s">
        <v>1988</v>
      </c>
      <c r="F336" s="41" t="s">
        <v>1971</v>
      </c>
      <c r="G336" s="39" t="s">
        <v>1997</v>
      </c>
      <c r="H336" s="53" t="s">
        <v>4140</v>
      </c>
      <c r="I336" s="44" t="s">
        <v>2053</v>
      </c>
      <c r="J336" s="14" t="s">
        <v>2057</v>
      </c>
      <c r="K336" s="24" t="s">
        <v>2911</v>
      </c>
      <c r="L336" s="46">
        <v>44986</v>
      </c>
      <c r="M336" s="14"/>
      <c r="N336" s="45" t="s">
        <v>199</v>
      </c>
      <c r="O336" s="45" t="s">
        <v>199</v>
      </c>
      <c r="P336" s="45" t="s">
        <v>199</v>
      </c>
      <c r="Q336" s="45" t="s">
        <v>199</v>
      </c>
      <c r="R336" s="45" t="s">
        <v>199</v>
      </c>
      <c r="S336" s="45" t="s">
        <v>199</v>
      </c>
      <c r="T336" s="47" t="s">
        <v>4247</v>
      </c>
      <c r="U336" s="39" t="s">
        <v>3764</v>
      </c>
      <c r="V336" s="39" t="str">
        <f>CONCATENATE(U336, D336)</f>
        <v>https://example.websquare.kr/websquare/websquare.html?w2xPath=/guide/GridView/inputType/setDelimiter_GridView.xml</v>
      </c>
      <c r="W336" s="39" t="s">
        <v>4512</v>
      </c>
      <c r="X336" s="39" t="str">
        <f>CONCATENATE(W336, D336)</f>
        <v>https://docs.inswave.com/websquare/websquare.html?w2xPath=/support/api/guide/GridView/inputType/setDelimiter_GridView.xml</v>
      </c>
      <c r="Y336" s="48" t="str">
        <f>HYPERLINK(X336, H336)</f>
        <v>구분자 동적 설정</v>
      </c>
      <c r="Z336" s="4" t="str">
        <f>HYPERLINK(V336,H336)</f>
        <v>구분자 동적 설정</v>
      </c>
      <c r="AA336" s="4" t="str">
        <f>HYPERLINK(J336,H336)</f>
        <v>구분자 동적 설정</v>
      </c>
      <c r="AB336" s="39" t="str">
        <f t="shared" si="9"/>
        <v>https://docs.inswave.com/websquare/websquare.html?w2xPath=/support/api/guide/GridView/inputType/setDelimiter_GridView.xml</v>
      </c>
    </row>
    <row r="337" spans="1:30" s="39" customFormat="1" ht="136" x14ac:dyDescent="0.45">
      <c r="A337" s="37">
        <f>SUBTOTAL(3, $T$2:T337)</f>
        <v>264</v>
      </c>
      <c r="B337" s="38" t="s">
        <v>1814</v>
      </c>
      <c r="C337" s="39" t="s">
        <v>1101</v>
      </c>
      <c r="D337" s="39" t="s">
        <v>3712</v>
      </c>
      <c r="E337" s="40" t="s">
        <v>1960</v>
      </c>
      <c r="F337" s="41" t="s">
        <v>1956</v>
      </c>
      <c r="G337" s="39" t="s">
        <v>1467</v>
      </c>
      <c r="H337" s="53" t="s">
        <v>4151</v>
      </c>
      <c r="I337" s="44" t="s">
        <v>1963</v>
      </c>
      <c r="J337" s="14" t="s">
        <v>1962</v>
      </c>
      <c r="K337" s="22" t="s">
        <v>2895</v>
      </c>
      <c r="L337" s="46">
        <v>43983</v>
      </c>
      <c r="M337" s="14"/>
      <c r="N337" s="45" t="s">
        <v>199</v>
      </c>
      <c r="O337" s="45" t="s">
        <v>199</v>
      </c>
      <c r="P337" s="45" t="s">
        <v>199</v>
      </c>
      <c r="Q337" s="45" t="s">
        <v>199</v>
      </c>
      <c r="R337" s="45" t="s">
        <v>199</v>
      </c>
      <c r="S337" s="45" t="s">
        <v>199</v>
      </c>
      <c r="T337" s="47" t="s">
        <v>4247</v>
      </c>
      <c r="U337" s="39" t="s">
        <v>3764</v>
      </c>
      <c r="V337" s="39" t="str">
        <f>CONCATENATE(U337, D337)</f>
        <v>https://example.websquare.kr/websquare/websquare.html?w2xPath=/guide/GridView/inputType/inputType_calendar_setColumnIoFormat_gridView_column/inputType_calendar_setColumnIoFormat_gridView_column.xml</v>
      </c>
      <c r="W337" s="39" t="s">
        <v>4512</v>
      </c>
      <c r="X337" s="39" t="str">
        <f>CONCATENATE(W337, D337)</f>
        <v>https://docs.inswave.com/websquare/websquare.html?w2xPath=/support/api/guide/GridView/inputType/inputType_calendar_setColumnIoFormat_gridView_column/inputType_calendar_setColumnIoFormat_gridView_column.xml</v>
      </c>
      <c r="Y337" s="48" t="str">
        <f>HYPERLINK(X337, H337)</f>
        <v>날짜 입력 순서 및 표시 형식 지정</v>
      </c>
      <c r="Z337" s="4" t="str">
        <f>HYPERLINK(V337,H337)</f>
        <v>날짜 입력 순서 및 표시 형식 지정</v>
      </c>
      <c r="AA337" s="4" t="str">
        <f>HYPERLINK(J337,H337)</f>
        <v>날짜 입력 순서 및 표시 형식 지정</v>
      </c>
      <c r="AB337" s="39" t="str">
        <f t="shared" si="9"/>
        <v>https://docs.inswave.com/websquare/websquare.html?w2xPath=/support/api/guide/GridView/inputType/inputType_calendar_setColumnIoFormat_gridView_column/inputType_calendar_setColumnIoFormat_gridView_column.xml</v>
      </c>
    </row>
    <row r="338" spans="1:30" s="39" customFormat="1" ht="102" x14ac:dyDescent="0.45">
      <c r="A338" s="37">
        <f>SUBTOTAL(3, $T$2:T338)</f>
        <v>265</v>
      </c>
      <c r="B338" s="38" t="s">
        <v>1814</v>
      </c>
      <c r="C338" s="39" t="s">
        <v>2155</v>
      </c>
      <c r="D338" s="39" t="s">
        <v>2441</v>
      </c>
      <c r="E338" s="40" t="s">
        <v>4145</v>
      </c>
      <c r="F338" s="41" t="s">
        <v>2420</v>
      </c>
      <c r="G338" s="44" t="s">
        <v>2423</v>
      </c>
      <c r="H338" s="53" t="s">
        <v>4146</v>
      </c>
      <c r="I338" s="44" t="s">
        <v>2422</v>
      </c>
      <c r="J338" s="14" t="s">
        <v>2440</v>
      </c>
      <c r="K338" s="22" t="s">
        <v>2915</v>
      </c>
      <c r="L338" s="46">
        <v>45200</v>
      </c>
      <c r="M338" s="14"/>
      <c r="N338" s="45" t="s">
        <v>199</v>
      </c>
      <c r="O338" s="45" t="s">
        <v>199</v>
      </c>
      <c r="P338" s="45"/>
      <c r="Q338" s="45" t="s">
        <v>199</v>
      </c>
      <c r="R338" s="45" t="s">
        <v>199</v>
      </c>
      <c r="S338" s="45" t="s">
        <v>199</v>
      </c>
      <c r="T338" s="47" t="s">
        <v>4247</v>
      </c>
      <c r="U338" s="39" t="s">
        <v>3764</v>
      </c>
      <c r="V338" s="39" t="str">
        <f>CONCATENATE(U338, D338)</f>
        <v>https://example.websquare.kr/websquare/websquare.html?w2xPath=/guide/GridView/inputType/inputType_calendar_pickerType_fixPickerStatus_gridView_column.xml</v>
      </c>
      <c r="W338" s="39" t="s">
        <v>4512</v>
      </c>
      <c r="X338" s="39" t="str">
        <f>CONCATENATE(W338, D338)</f>
        <v>https://docs.inswave.com/websquare/websquare.html?w2xPath=/support/api/guide/GridView/inputType/inputType_calendar_pickerType_fixPickerStatus_gridView_column.xml</v>
      </c>
      <c r="Y338" s="48" t="str">
        <f>HYPERLINK(X338, H338)</f>
        <v>달력에서의 연도 및 월 선택 방법 설정</v>
      </c>
      <c r="Z338" s="4" t="str">
        <f>HYPERLINK(V338,H338)</f>
        <v>달력에서의 연도 및 월 선택 방법 설정</v>
      </c>
      <c r="AA338" s="4" t="str">
        <f>HYPERLINK(J338,H338)</f>
        <v>달력에서의 연도 및 월 선택 방법 설정</v>
      </c>
      <c r="AB338" s="39" t="str">
        <f t="shared" si="9"/>
        <v>https://docs.inswave.com/websquare/websquare.html?w2xPath=/support/api/guide/GridView/inputType/inputType_calendar_pickerType_fixPickerStatus_gridView_column.xml</v>
      </c>
    </row>
    <row r="339" spans="1:30" s="39" customFormat="1" ht="102" hidden="1" x14ac:dyDescent="0.45">
      <c r="A339" s="37">
        <f>SUBTOTAL(3, $T$2:T339)</f>
        <v>265</v>
      </c>
      <c r="B339" s="38" t="s">
        <v>14</v>
      </c>
      <c r="C339" s="39" t="s">
        <v>14</v>
      </c>
      <c r="D339" s="39" t="s">
        <v>1487</v>
      </c>
      <c r="E339" s="40" t="s">
        <v>1957</v>
      </c>
      <c r="F339" s="41" t="s">
        <v>1954</v>
      </c>
      <c r="G339" s="39" t="s">
        <v>1464</v>
      </c>
      <c r="H339" s="52" t="s">
        <v>4510</v>
      </c>
      <c r="I339" s="44" t="s">
        <v>1465</v>
      </c>
      <c r="J339" s="14" t="s">
        <v>1958</v>
      </c>
      <c r="K339" s="22" t="s">
        <v>2997</v>
      </c>
      <c r="L339" s="46">
        <v>43983</v>
      </c>
      <c r="M339" s="14"/>
      <c r="N339" s="45" t="s">
        <v>199</v>
      </c>
      <c r="O339" s="45" t="s">
        <v>199</v>
      </c>
      <c r="P339" s="45" t="s">
        <v>199</v>
      </c>
      <c r="Q339" s="45" t="s">
        <v>199</v>
      </c>
      <c r="R339" s="45" t="s">
        <v>199</v>
      </c>
      <c r="S339" s="45" t="s">
        <v>199</v>
      </c>
      <c r="T339" s="47" t="s">
        <v>4515</v>
      </c>
      <c r="U339" s="39" t="s">
        <v>3764</v>
      </c>
      <c r="V339" s="39" t="str">
        <f>CONCATENATE(U339, D339)</f>
        <v>https://example.websquare.kr/websquare/websquare.html?w2xPath=/guide/ScheduleCalendar/timeFormat_ScheduleCalendar.xml</v>
      </c>
      <c r="W339" s="39" t="s">
        <v>4220</v>
      </c>
      <c r="X339" s="39" t="str">
        <f>CONCATENATE(W339, D339)</f>
        <v>https://docs.inswave.com/websquare/websquare.html?w2xPath=/support/api/samples/ScheduleCalendar/timeFormat_ScheduleCalendar.xml</v>
      </c>
      <c r="Y339" s="48"/>
      <c r="Z339" s="4"/>
      <c r="AA339" s="4" t="str">
        <f>HYPERLINK(J339,H339)</f>
        <v>스케줄의 시간 표시 형식 지정</v>
      </c>
      <c r="AB339" s="39" t="str">
        <f t="shared" si="9"/>
        <v>https://docs.inswave.com/websquare/websquare.html?w2xPath=/support/api/samples/ScheduleCalendar/timeFormat_ScheduleCalendar.xml</v>
      </c>
    </row>
    <row r="340" spans="1:30" s="39" customFormat="1" ht="136" x14ac:dyDescent="0.45">
      <c r="A340" s="37">
        <f>SUBTOTAL(3, $T$2:T340)</f>
        <v>266</v>
      </c>
      <c r="B340" s="38" t="s">
        <v>1814</v>
      </c>
      <c r="C340" s="39" t="s">
        <v>2155</v>
      </c>
      <c r="D340" s="39" t="s">
        <v>2054</v>
      </c>
      <c r="E340" s="40" t="s">
        <v>1987</v>
      </c>
      <c r="F340" s="41" t="s">
        <v>1972</v>
      </c>
      <c r="G340" s="39" t="s">
        <v>1996</v>
      </c>
      <c r="H340" s="53" t="s">
        <v>4149</v>
      </c>
      <c r="I340" s="44" t="s">
        <v>2052</v>
      </c>
      <c r="J340" s="14" t="s">
        <v>2056</v>
      </c>
      <c r="K340" s="22" t="s">
        <v>2894</v>
      </c>
      <c r="L340" s="46">
        <v>44986</v>
      </c>
      <c r="M340" s="14"/>
      <c r="N340" s="45" t="s">
        <v>199</v>
      </c>
      <c r="O340" s="45" t="s">
        <v>199</v>
      </c>
      <c r="P340" s="45" t="s">
        <v>199</v>
      </c>
      <c r="Q340" s="45" t="s">
        <v>199</v>
      </c>
      <c r="R340" s="45" t="s">
        <v>199</v>
      </c>
      <c r="S340" s="45" t="s">
        <v>199</v>
      </c>
      <c r="T340" s="47" t="s">
        <v>4247</v>
      </c>
      <c r="U340" s="39" t="s">
        <v>3764</v>
      </c>
      <c r="V340" s="39" t="str">
        <f>CONCATENATE(U340, D340)</f>
        <v>https://example.websquare.kr/websquare/websquare.html?w2xPath=/guide/GridView/inputType/setDisplayMode_GridView.xml</v>
      </c>
      <c r="W340" s="39" t="s">
        <v>4512</v>
      </c>
      <c r="X340" s="39" t="str">
        <f>CONCATENATE(W340, D340)</f>
        <v>https://docs.inswave.com/websquare/websquare.html?w2xPath=/support/api/guide/GridView/inputType/setDisplayMode_GridView.xml</v>
      </c>
      <c r="Y340" s="48" t="str">
        <f>HYPERLINK(X340, H340)</f>
        <v>데이터 표시 형식 동적 설정</v>
      </c>
      <c r="Z340" s="4" t="str">
        <f>HYPERLINK(V340,H340)</f>
        <v>데이터 표시 형식 동적 설정</v>
      </c>
      <c r="AA340" s="4" t="str">
        <f>HYPERLINK(J340,H340)</f>
        <v>데이터 표시 형식 동적 설정</v>
      </c>
      <c r="AB340" s="39" t="str">
        <f t="shared" si="9"/>
        <v>https://docs.inswave.com/websquare/websquare.html?w2xPath=/support/api/guide/GridView/inputType/setDisplayMode_GridView.xml</v>
      </c>
    </row>
    <row r="341" spans="1:30" s="39" customFormat="1" ht="102" x14ac:dyDescent="0.45">
      <c r="A341" s="37">
        <f>SUBTOTAL(3, $T$2:T341)</f>
        <v>267</v>
      </c>
      <c r="B341" s="38" t="s">
        <v>0</v>
      </c>
      <c r="C341" s="39" t="s">
        <v>1101</v>
      </c>
      <c r="D341" s="39" t="s">
        <v>507</v>
      </c>
      <c r="E341" s="40" t="s">
        <v>510</v>
      </c>
      <c r="F341" s="41" t="s">
        <v>509</v>
      </c>
      <c r="G341" s="39" t="s">
        <v>505</v>
      </c>
      <c r="H341" s="53" t="s">
        <v>4156</v>
      </c>
      <c r="I341" s="44" t="s">
        <v>506</v>
      </c>
      <c r="J341" s="14" t="s">
        <v>508</v>
      </c>
      <c r="K341" s="22" t="s">
        <v>2901</v>
      </c>
      <c r="L341" s="46">
        <v>44531</v>
      </c>
      <c r="M341" s="14"/>
      <c r="N341" s="45" t="s">
        <v>199</v>
      </c>
      <c r="O341" s="45" t="s">
        <v>199</v>
      </c>
      <c r="P341" s="45" t="s">
        <v>199</v>
      </c>
      <c r="Q341" s="45" t="s">
        <v>199</v>
      </c>
      <c r="R341" s="45" t="s">
        <v>199</v>
      </c>
      <c r="S341" s="45" t="s">
        <v>199</v>
      </c>
      <c r="T341" s="47" t="s">
        <v>4247</v>
      </c>
      <c r="U341" s="39" t="s">
        <v>3764</v>
      </c>
      <c r="V341" s="39" t="str">
        <f>CONCATENATE(U341, D341)</f>
        <v>https://example.websquare.kr/websquare/websquare.html?w2xPath=/guide/GridView/inputType/inputType_autoComplete_directOpen_gridView_column.xml</v>
      </c>
      <c r="W341" s="39" t="s">
        <v>4512</v>
      </c>
      <c r="X341" s="39" t="str">
        <f>CONCATENATE(W341, D341)</f>
        <v>https://docs.inswave.com/websquare/websquare.html?w2xPath=/support/api/guide/GridView/inputType/inputType_autoComplete_directOpen_gridView_column.xml</v>
      </c>
      <c r="Y341" s="48" t="str">
        <f>HYPERLINK(X341, H341)</f>
        <v>선택 항목 목록 즉시 펼치기</v>
      </c>
      <c r="Z341" s="4" t="str">
        <f>HYPERLINK(V341,H341)</f>
        <v>선택 항목 목록 즉시 펼치기</v>
      </c>
      <c r="AA341" s="4" t="str">
        <f>HYPERLINK(J341,H341)</f>
        <v>선택 항목 목록 즉시 펼치기</v>
      </c>
      <c r="AB341" s="39" t="str">
        <f t="shared" si="9"/>
        <v>https://docs.inswave.com/websquare/websquare.html?w2xPath=/support/api/guide/GridView/inputType/inputType_autoComplete_directOpen_gridView_column.xml</v>
      </c>
    </row>
    <row r="342" spans="1:30" s="39" customFormat="1" ht="102" hidden="1" x14ac:dyDescent="0.45">
      <c r="A342" s="37">
        <f>SUBTOTAL(3, $T$2:T342)</f>
        <v>267</v>
      </c>
      <c r="B342" s="38" t="s">
        <v>1974</v>
      </c>
      <c r="C342" s="39" t="s">
        <v>1974</v>
      </c>
      <c r="D342" s="39" t="s">
        <v>1994</v>
      </c>
      <c r="E342" s="40" t="s">
        <v>1993</v>
      </c>
      <c r="F342" s="41" t="s">
        <v>1975</v>
      </c>
      <c r="G342" s="39" t="s">
        <v>1976</v>
      </c>
      <c r="H342" s="52" t="s">
        <v>3619</v>
      </c>
      <c r="I342" s="44"/>
      <c r="J342" s="14" t="s">
        <v>1995</v>
      </c>
      <c r="K342" s="22" t="s">
        <v>3111</v>
      </c>
      <c r="L342" s="46">
        <v>44958</v>
      </c>
      <c r="M342" s="14"/>
      <c r="N342" s="45" t="s">
        <v>199</v>
      </c>
      <c r="O342" s="45" t="s">
        <v>199</v>
      </c>
      <c r="P342" s="45" t="s">
        <v>199</v>
      </c>
      <c r="Q342" s="45" t="s">
        <v>199</v>
      </c>
      <c r="R342" s="45" t="s">
        <v>199</v>
      </c>
      <c r="S342" s="45" t="s">
        <v>199</v>
      </c>
      <c r="T342" s="47" t="s">
        <v>4515</v>
      </c>
      <c r="U342" s="39" t="s">
        <v>3764</v>
      </c>
      <c r="V342" s="39" t="str">
        <f>CONCATENATE(U342, D342)</f>
        <v>https://example.websquare.kr/websquare/websquare.html?w2xPath=/guide/_Debugging/Event_Debugging.xml</v>
      </c>
      <c r="W342" s="39" t="s">
        <v>4220</v>
      </c>
      <c r="X342" s="39" t="str">
        <f>CONCATENATE(W342, D342)</f>
        <v>https://docs.inswave.com/websquare/websquare.html?w2xPath=/support/api/samples/_Debugging/Event_Debugging.xml</v>
      </c>
      <c r="Y342" s="48"/>
      <c r="Z342" s="4"/>
      <c r="AA342" s="4" t="str">
        <f>HYPERLINK(J342,H342)</f>
        <v>이벤트 로그 확인</v>
      </c>
      <c r="AB342" s="39" t="str">
        <f t="shared" si="9"/>
        <v>https://docs.inswave.com/websquare/websquare.html?w2xPath=/support/api/samples/_Debugging/Event_Debugging.xml</v>
      </c>
    </row>
    <row r="343" spans="1:30" s="39" customFormat="1" ht="102" x14ac:dyDescent="0.45">
      <c r="A343" s="37">
        <f>SUBTOTAL(3, $T$2:T343)</f>
        <v>268</v>
      </c>
      <c r="B343" s="38" t="s">
        <v>0</v>
      </c>
      <c r="C343" s="38" t="s">
        <v>1999</v>
      </c>
      <c r="D343" s="41" t="s">
        <v>3529</v>
      </c>
      <c r="E343" s="40" t="s">
        <v>3515</v>
      </c>
      <c r="F343" s="41" t="s">
        <v>3505</v>
      </c>
      <c r="G343" s="39" t="s">
        <v>3519</v>
      </c>
      <c r="H343" s="53" t="s">
        <v>4531</v>
      </c>
      <c r="I343" s="44" t="s">
        <v>3521</v>
      </c>
      <c r="J343" s="45" t="s">
        <v>2304</v>
      </c>
      <c r="K343" s="45" t="s">
        <v>2304</v>
      </c>
      <c r="L343" s="46">
        <v>45748</v>
      </c>
      <c r="M343" s="14"/>
      <c r="N343" s="45"/>
      <c r="O343" s="45"/>
      <c r="P343" s="45"/>
      <c r="Q343" s="45"/>
      <c r="R343" s="45"/>
      <c r="S343" s="45"/>
      <c r="T343" s="47" t="s">
        <v>4249</v>
      </c>
      <c r="U343" s="39" t="s">
        <v>3764</v>
      </c>
      <c r="V343" s="39" t="str">
        <f>CONCATENATE(U343, D343)</f>
        <v>https://example.websquare.kr/websquare/websquare.html?w2xPath=/guide/GridView/inputType/inputType_autoComplete_emptyItem_emptyValue_gridView_column.xml</v>
      </c>
      <c r="W343" s="39" t="s">
        <v>4512</v>
      </c>
      <c r="X343" s="39" t="str">
        <f>CONCATENATE(W343, D343)</f>
        <v>https://docs.inswave.com/websquare/websquare.html?w2xPath=/support/api/guide/GridView/inputType/inputType_autoComplete_emptyItem_emptyValue_gridView_column.xml</v>
      </c>
      <c r="Y343" s="48" t="str">
        <f>HYPERLINK(X343, H343)</f>
        <v>선택 항목에 없는 값 동적 설정 (inputType='autoComplete')</v>
      </c>
      <c r="Z343" s="4" t="str">
        <f>HYPERLINK(V343,H343)</f>
        <v>선택 항목에 없는 값 동적 설정 (inputType='autoComplete')</v>
      </c>
      <c r="AA343" s="45" t="s">
        <v>2304</v>
      </c>
      <c r="AB343" s="39" t="str">
        <f t="shared" si="9"/>
        <v>https://docs.inswave.com/websquare/websquare.html?w2xPath=/support/api/guide/GridView/inputType/inputType_autoComplete_emptyItem_emptyValue_gridView_column.xml</v>
      </c>
    </row>
    <row r="344" spans="1:30" s="39" customFormat="1" ht="102" x14ac:dyDescent="0.45">
      <c r="A344" s="37">
        <f>SUBTOTAL(3, $T$2:T344)</f>
        <v>269</v>
      </c>
      <c r="B344" s="38" t="s">
        <v>0</v>
      </c>
      <c r="C344" s="38" t="s">
        <v>1999</v>
      </c>
      <c r="D344" s="41" t="s">
        <v>3523</v>
      </c>
      <c r="E344" s="40" t="s">
        <v>3516</v>
      </c>
      <c r="F344" s="41" t="s">
        <v>3506</v>
      </c>
      <c r="G344" s="39" t="s">
        <v>3520</v>
      </c>
      <c r="H344" s="53" t="s">
        <v>4525</v>
      </c>
      <c r="I344" s="44" t="s">
        <v>3522</v>
      </c>
      <c r="J344" s="45" t="s">
        <v>2304</v>
      </c>
      <c r="K344" s="45" t="s">
        <v>2304</v>
      </c>
      <c r="L344" s="46">
        <v>45748</v>
      </c>
      <c r="M344" s="14"/>
      <c r="N344" s="45"/>
      <c r="O344" s="45"/>
      <c r="P344" s="45"/>
      <c r="Q344" s="45"/>
      <c r="R344" s="45"/>
      <c r="S344" s="45"/>
      <c r="T344" s="47" t="s">
        <v>4249</v>
      </c>
      <c r="U344" s="39" t="s">
        <v>3764</v>
      </c>
      <c r="V344" s="39" t="str">
        <f>CONCATENATE(U344, D344)</f>
        <v>https://example.websquare.kr/websquare/websquare.html?w2xPath=/guide/GridView/inputType/inputType_select_emptyItem_emptyValue_gridView_column.xml</v>
      </c>
      <c r="W344" s="39" t="s">
        <v>4512</v>
      </c>
      <c r="X344" s="39" t="str">
        <f>CONCATENATE(W344, D344)</f>
        <v>https://docs.inswave.com/websquare/websquare.html?w2xPath=/support/api/guide/GridView/inputType/inputType_select_emptyItem_emptyValue_gridView_column.xml</v>
      </c>
      <c r="Y344" s="48" t="str">
        <f>HYPERLINK(X344, H344)</f>
        <v>선택 항목에 없는 값 동적 설정 (inputType='select')</v>
      </c>
      <c r="Z344" s="4" t="str">
        <f>HYPERLINK(V344,H344)</f>
        <v>선택 항목에 없는 값 동적 설정 (inputType='select')</v>
      </c>
      <c r="AA344" s="45" t="s">
        <v>2304</v>
      </c>
      <c r="AB344" s="39" t="str">
        <f t="shared" si="9"/>
        <v>https://docs.inswave.com/websquare/websquare.html?w2xPath=/support/api/guide/GridView/inputType/inputType_select_emptyItem_emptyValue_gridView_column.xml</v>
      </c>
    </row>
    <row r="345" spans="1:30" s="39" customFormat="1" ht="119" x14ac:dyDescent="0.45">
      <c r="A345" s="37">
        <f>SUBTOTAL(3, $T$2:T345)</f>
        <v>270</v>
      </c>
      <c r="B345" s="38" t="s">
        <v>0</v>
      </c>
      <c r="C345" s="39" t="s">
        <v>1101</v>
      </c>
      <c r="D345" s="60" t="s">
        <v>3713</v>
      </c>
      <c r="E345" s="57" t="s">
        <v>312</v>
      </c>
      <c r="F345" s="65" t="s">
        <v>167</v>
      </c>
      <c r="G345" s="39" t="s">
        <v>286</v>
      </c>
      <c r="H345" s="53" t="s">
        <v>4153</v>
      </c>
      <c r="I345" s="44" t="s">
        <v>289</v>
      </c>
      <c r="J345" s="14" t="s">
        <v>385</v>
      </c>
      <c r="K345" s="22" t="s">
        <v>2898</v>
      </c>
      <c r="L345" s="46">
        <v>44501</v>
      </c>
      <c r="M345" s="14"/>
      <c r="N345" s="45" t="s">
        <v>199</v>
      </c>
      <c r="O345" s="45" t="s">
        <v>199</v>
      </c>
      <c r="P345" s="45" t="s">
        <v>199</v>
      </c>
      <c r="Q345" s="45" t="s">
        <v>199</v>
      </c>
      <c r="R345" s="45" t="s">
        <v>199</v>
      </c>
      <c r="S345" s="45" t="s">
        <v>199</v>
      </c>
      <c r="T345" s="47" t="s">
        <v>4247</v>
      </c>
      <c r="U345" s="39" t="s">
        <v>3764</v>
      </c>
      <c r="V345" s="39" t="str">
        <f>CONCATENATE(U345, D345)</f>
        <v>https://example.websquare.kr/websquare/websquare.html?w2xPath=/guide/GridView/inputType/setCellInputType_setCellInputTypeCustom_GridView/setCellInputType_setCellInputTypeCustom_GridView.xml</v>
      </c>
      <c r="W345" s="39" t="s">
        <v>4512</v>
      </c>
      <c r="X345" s="39" t="str">
        <f>CONCATENATE(W345, D345)</f>
        <v>https://docs.inswave.com/websquare/websquare.html?w2xPath=/support/api/guide/GridView/inputType/setCellInputType_setCellInputTypeCustom_GridView/setCellInputType_setCellInputTypeCustom_GridView.xml</v>
      </c>
      <c r="Y345" s="48" t="str">
        <f>HYPERLINK(X345, H345)</f>
        <v>셀의 inputType 동적 변경</v>
      </c>
      <c r="Z345" s="4" t="str">
        <f>HYPERLINK(V345,H345)</f>
        <v>셀의 inputType 동적 변경</v>
      </c>
      <c r="AA345" s="4" t="str">
        <f>HYPERLINK(J345,H345)</f>
        <v>셀의 inputType 동적 변경</v>
      </c>
      <c r="AB345" s="39" t="str">
        <f t="shared" si="9"/>
        <v>https://docs.inswave.com/websquare/websquare.html?w2xPath=/support/api/guide/GridView/inputType/setCellInputType_setCellInputTypeCustom_GridView/setCellInputType_setCellInputTypeCustom_GridView.xml</v>
      </c>
    </row>
    <row r="346" spans="1:30" s="39" customFormat="1" ht="102" x14ac:dyDescent="0.45">
      <c r="A346" s="37">
        <f>SUBTOTAL(3, $T$2:T346)</f>
        <v>271</v>
      </c>
      <c r="B346" s="38" t="s">
        <v>0</v>
      </c>
      <c r="C346" s="39" t="s">
        <v>1101</v>
      </c>
      <c r="D346" s="39" t="s">
        <v>1583</v>
      </c>
      <c r="E346" s="40" t="s">
        <v>4073</v>
      </c>
      <c r="F346" s="41" t="s">
        <v>1581</v>
      </c>
      <c r="G346" s="44" t="s">
        <v>1582</v>
      </c>
      <c r="H346" s="53" t="s">
        <v>4072</v>
      </c>
      <c r="I346" s="44" t="s">
        <v>1589</v>
      </c>
      <c r="J346" s="14" t="s">
        <v>1585</v>
      </c>
      <c r="K346" s="22" t="s">
        <v>2903</v>
      </c>
      <c r="L346" s="46">
        <v>44713</v>
      </c>
      <c r="M346" s="14"/>
      <c r="N346" s="45" t="s">
        <v>199</v>
      </c>
      <c r="O346" s="45" t="s">
        <v>199</v>
      </c>
      <c r="P346" s="45" t="s">
        <v>199</v>
      </c>
      <c r="Q346" s="45" t="s">
        <v>199</v>
      </c>
      <c r="R346" s="45" t="s">
        <v>199</v>
      </c>
      <c r="S346" s="45" t="s">
        <v>199</v>
      </c>
      <c r="T346" s="47" t="s">
        <v>4247</v>
      </c>
      <c r="U346" s="39" t="s">
        <v>3764</v>
      </c>
      <c r="V346" s="39" t="str">
        <f>CONCATENATE(U346, D346)</f>
        <v>https://example.websquare.kr/websquare/websquare.html?w2xPath=/guide/GridView/inputType/inputType_checkbox_checkHeaderOnviewchange_gridView_column.xml</v>
      </c>
      <c r="W346" s="39" t="s">
        <v>4512</v>
      </c>
      <c r="X346" s="39" t="str">
        <f>CONCATENATE(W346, D346)</f>
        <v>https://docs.inswave.com/websquare/websquare.html?w2xPath=/support/api/guide/GridView/inputType/inputType_checkbox_checkHeaderOnviewchange_gridView_column.xml</v>
      </c>
      <c r="Y346" s="48" t="str">
        <f>HYPERLINK(X346, H346)</f>
        <v>이벤트 - onviewchange</v>
      </c>
      <c r="Z346" s="4" t="str">
        <f>HYPERLINK(V346,H346)</f>
        <v>이벤트 - onviewchange</v>
      </c>
      <c r="AA346" s="4" t="str">
        <f>HYPERLINK(J346,H346)</f>
        <v>이벤트 - onviewchange</v>
      </c>
      <c r="AB346" s="39" t="str">
        <f t="shared" si="9"/>
        <v>https://docs.inswave.com/websquare/websquare.html?w2xPath=/support/api/guide/GridView/inputType/inputType_checkbox_checkHeaderOnviewchange_gridView_column.xml</v>
      </c>
    </row>
    <row r="347" spans="1:30" s="39" customFormat="1" ht="102" x14ac:dyDescent="0.45">
      <c r="A347" s="37">
        <f>SUBTOTAL(3, $T$2:T347)</f>
        <v>272</v>
      </c>
      <c r="B347" s="38" t="s">
        <v>1814</v>
      </c>
      <c r="C347" s="39" t="s">
        <v>2155</v>
      </c>
      <c r="D347" s="39" t="s">
        <v>2717</v>
      </c>
      <c r="E347" s="40" t="s">
        <v>2677</v>
      </c>
      <c r="F347" s="41" t="s">
        <v>2687</v>
      </c>
      <c r="G347" s="39" t="s">
        <v>2716</v>
      </c>
      <c r="H347" s="58" t="s">
        <v>4434</v>
      </c>
      <c r="I347" s="44" t="s">
        <v>2718</v>
      </c>
      <c r="J347" s="14" t="s">
        <v>2719</v>
      </c>
      <c r="K347" s="22" t="s">
        <v>2899</v>
      </c>
      <c r="L347" s="46">
        <v>45413</v>
      </c>
      <c r="M347" s="45" t="s">
        <v>200</v>
      </c>
      <c r="N347" s="45"/>
      <c r="O347" s="45"/>
      <c r="P347" s="45"/>
      <c r="Q347" s="45" t="s">
        <v>199</v>
      </c>
      <c r="R347" s="45" t="s">
        <v>199</v>
      </c>
      <c r="S347" s="45" t="s">
        <v>199</v>
      </c>
      <c r="T347" s="47" t="s">
        <v>4247</v>
      </c>
      <c r="U347" s="39" t="s">
        <v>3764</v>
      </c>
      <c r="V347" s="39" t="str">
        <f>CONCATENATE(U347, D347)</f>
        <v>https://example.websquare.kr/websquare/websquare.html?w2xPath=/guide/GridView/inputType/checkAll_GridView.xml</v>
      </c>
      <c r="W347" s="39" t="s">
        <v>4512</v>
      </c>
      <c r="X347" s="39" t="str">
        <f>CONCATENATE(W347, D347)</f>
        <v>https://docs.inswave.com/websquare/websquare.html?w2xPath=/support/api/guide/GridView/inputType/checkAll_GridView.xml</v>
      </c>
      <c r="Y347" s="48" t="str">
        <f>HYPERLINK(X347, H347)</f>
        <v>전체 체크 박스 선택 및 해제</v>
      </c>
      <c r="Z347" s="4" t="str">
        <f>HYPERLINK(V347,H347)</f>
        <v>전체 체크 박스 선택 및 해제</v>
      </c>
      <c r="AA347" s="4" t="str">
        <f>HYPERLINK(J347,H347)</f>
        <v>전체 체크 박스 선택 및 해제</v>
      </c>
      <c r="AB347" s="39" t="str">
        <f t="shared" si="9"/>
        <v>https://docs.inswave.com/websquare/websquare.html?w2xPath=/support/api/guide/GridView/inputType/checkAll_GridView.xml</v>
      </c>
      <c r="AC347" s="45"/>
      <c r="AD347" s="45"/>
    </row>
    <row r="348" spans="1:30" s="39" customFormat="1" ht="102" x14ac:dyDescent="0.45">
      <c r="A348" s="37">
        <f>SUBTOTAL(3, $T$2:T348)</f>
        <v>273</v>
      </c>
      <c r="B348" s="38" t="s">
        <v>0</v>
      </c>
      <c r="C348" s="39" t="s">
        <v>1101</v>
      </c>
      <c r="D348" s="39" t="s">
        <v>973</v>
      </c>
      <c r="E348" s="40" t="s">
        <v>1010</v>
      </c>
      <c r="F348" s="41" t="s">
        <v>972</v>
      </c>
      <c r="G348" s="39" t="s">
        <v>970</v>
      </c>
      <c r="H348" s="53" t="s">
        <v>4144</v>
      </c>
      <c r="I348" s="44" t="s">
        <v>974</v>
      </c>
      <c r="J348" s="14" t="s">
        <v>971</v>
      </c>
      <c r="K348" s="22" t="s">
        <v>2904</v>
      </c>
      <c r="L348" s="46">
        <v>44652</v>
      </c>
      <c r="M348" s="50" t="s">
        <v>199</v>
      </c>
      <c r="N348" s="45" t="s">
        <v>199</v>
      </c>
      <c r="O348" s="45" t="s">
        <v>199</v>
      </c>
      <c r="P348" s="47" t="s">
        <v>199</v>
      </c>
      <c r="Q348" s="45" t="s">
        <v>199</v>
      </c>
      <c r="R348" s="45" t="s">
        <v>199</v>
      </c>
      <c r="S348" s="45" t="s">
        <v>199</v>
      </c>
      <c r="T348" s="47" t="s">
        <v>4247</v>
      </c>
      <c r="U348" s="39" t="s">
        <v>3764</v>
      </c>
      <c r="V348" s="39" t="str">
        <f>CONCATENATE(U348, D348)</f>
        <v>https://example.websquare.kr/websquare/websquare.html?w2xPath=/guide/GridView/inputType/inputType_checkbox_partialCheckNextClick_gridView_column.xml</v>
      </c>
      <c r="W348" s="39" t="s">
        <v>4512</v>
      </c>
      <c r="X348" s="39" t="str">
        <f>CONCATENATE(W348, D348)</f>
        <v>https://docs.inswave.com/websquare/websquare.html?w2xPath=/support/api/guide/GridView/inputType/inputType_checkbox_partialCheckNextClick_gridView_column.xml</v>
      </c>
      <c r="Y348" s="48" t="str">
        <f>HYPERLINK(X348, H348)</f>
        <v>전체 체크 박스 선택 순서 결정</v>
      </c>
      <c r="Z348" s="4" t="str">
        <f>HYPERLINK(V348,H348)</f>
        <v>전체 체크 박스 선택 순서 결정</v>
      </c>
      <c r="AA348" s="4" t="str">
        <f>HYPERLINK(J348,H348)</f>
        <v>전체 체크 박스 선택 순서 결정</v>
      </c>
      <c r="AB348" s="39" t="str">
        <f t="shared" si="9"/>
        <v>https://docs.inswave.com/websquare/websquare.html?w2xPath=/support/api/guide/GridView/inputType/inputType_checkbox_partialCheckNextClick_gridView_column.xml</v>
      </c>
      <c r="AC348" s="45"/>
      <c r="AD348" s="45"/>
    </row>
    <row r="349" spans="1:30" s="39" customFormat="1" ht="119" x14ac:dyDescent="0.45">
      <c r="A349" s="37">
        <f>SUBTOTAL(3, $T$2:T349)</f>
        <v>274</v>
      </c>
      <c r="B349" s="38" t="s">
        <v>0</v>
      </c>
      <c r="C349" s="39" t="s">
        <v>1101</v>
      </c>
      <c r="D349" s="39" t="s">
        <v>3715</v>
      </c>
      <c r="E349" s="40" t="s">
        <v>2914</v>
      </c>
      <c r="F349" s="41" t="s">
        <v>2913</v>
      </c>
      <c r="G349" s="39" t="s">
        <v>1838</v>
      </c>
      <c r="H349" s="53" t="s">
        <v>4152</v>
      </c>
      <c r="I349" s="44" t="s">
        <v>1525</v>
      </c>
      <c r="J349" s="14" t="s">
        <v>1837</v>
      </c>
      <c r="K349" s="22" t="s">
        <v>2896</v>
      </c>
      <c r="L349" s="46">
        <v>44044</v>
      </c>
      <c r="M349" s="14"/>
      <c r="N349" s="45" t="s">
        <v>199</v>
      </c>
      <c r="O349" s="45" t="s">
        <v>199</v>
      </c>
      <c r="P349" s="45" t="s">
        <v>199</v>
      </c>
      <c r="Q349" s="45" t="s">
        <v>199</v>
      </c>
      <c r="R349" s="45" t="s">
        <v>199</v>
      </c>
      <c r="S349" s="45" t="s">
        <v>199</v>
      </c>
      <c r="T349" s="47" t="s">
        <v>4247</v>
      </c>
      <c r="U349" s="39" t="s">
        <v>3764</v>
      </c>
      <c r="V349" s="39" t="str">
        <f>CONCATENATE(U349, D349)</f>
        <v>https://example.websquare.kr/websquare/websquare.html?w2xPath=/guide/GridView/inputType/inputType_checkbox_gridView_column/inputType_checkbox_gridView_column.xml</v>
      </c>
      <c r="W349" s="39" t="s">
        <v>4512</v>
      </c>
      <c r="X349" s="39" t="str">
        <f>CONCATENATE(W349, D349)</f>
        <v>https://docs.inswave.com/websquare/websquare.html?w2xPath=/support/api/guide/GridView/inputType/inputType_checkbox_gridView_column/inputType_checkbox_gridView_column.xml</v>
      </c>
      <c r="Y349" s="48" t="str">
        <f>HYPERLINK(X349, H349)</f>
        <v>체크한 행 삭제 및 제거</v>
      </c>
      <c r="Z349" s="4" t="str">
        <f>HYPERLINK(V349,H349)</f>
        <v>체크한 행 삭제 및 제거</v>
      </c>
      <c r="AA349" s="4" t="str">
        <f>HYPERLINK(J349,H349)</f>
        <v>체크한 행 삭제 및 제거</v>
      </c>
      <c r="AB349" s="39" t="str">
        <f t="shared" si="9"/>
        <v>https://docs.inswave.com/websquare/websquare.html?w2xPath=/support/api/guide/GridView/inputType/inputType_checkbox_gridView_column/inputType_checkbox_gridView_column.xml</v>
      </c>
    </row>
    <row r="350" spans="1:30" s="39" customFormat="1" ht="102" x14ac:dyDescent="0.45">
      <c r="A350" s="37">
        <f>SUBTOTAL(3, $T$2:T350)</f>
        <v>275</v>
      </c>
      <c r="B350" s="38" t="s">
        <v>0</v>
      </c>
      <c r="C350" s="39" t="s">
        <v>2155</v>
      </c>
      <c r="D350" s="39" t="s">
        <v>2163</v>
      </c>
      <c r="E350" s="40" t="s">
        <v>2156</v>
      </c>
      <c r="F350" s="41" t="s">
        <v>2157</v>
      </c>
      <c r="G350" s="39" t="s">
        <v>2158</v>
      </c>
      <c r="H350" s="53" t="s">
        <v>4150</v>
      </c>
      <c r="I350" s="44" t="s">
        <v>2159</v>
      </c>
      <c r="J350" s="14" t="s">
        <v>2184</v>
      </c>
      <c r="K350" s="22" t="s">
        <v>2909</v>
      </c>
      <c r="L350" s="46">
        <v>45047</v>
      </c>
      <c r="M350" s="14"/>
      <c r="N350" s="45" t="s">
        <v>199</v>
      </c>
      <c r="O350" s="45" t="s">
        <v>199</v>
      </c>
      <c r="P350" s="45" t="s">
        <v>199</v>
      </c>
      <c r="Q350" s="45" t="s">
        <v>199</v>
      </c>
      <c r="R350" s="45" t="s">
        <v>199</v>
      </c>
      <c r="S350" s="45" t="s">
        <v>199</v>
      </c>
      <c r="T350" s="47" t="s">
        <v>4247</v>
      </c>
      <c r="U350" s="39" t="s">
        <v>3764</v>
      </c>
      <c r="V350" s="39" t="str">
        <f>CONCATENATE(U350, D350)</f>
        <v>https://example.websquare.kr/websquare/websquare.html?w2xPath=/guide/GridView/inputType/inputType_spinner_min_max_gridView_column.xml</v>
      </c>
      <c r="W350" s="39" t="s">
        <v>4512</v>
      </c>
      <c r="X350" s="39" t="str">
        <f>CONCATENATE(W350, D350)</f>
        <v>https://docs.inswave.com/websquare/websquare.html?w2xPath=/support/api/guide/GridView/inputType/inputType_spinner_min_max_gridView_column.xml</v>
      </c>
      <c r="Y350" s="48" t="str">
        <f>HYPERLINK(X350, H350)</f>
        <v>최소값 및 최대값 설정</v>
      </c>
      <c r="Z350" s="4" t="str">
        <f>HYPERLINK(V350,H350)</f>
        <v>최소값 및 최대값 설정</v>
      </c>
      <c r="AA350" s="4" t="str">
        <f>HYPERLINK(J350,H350)</f>
        <v>최소값 및 최대값 설정</v>
      </c>
      <c r="AB350" s="39" t="str">
        <f t="shared" si="9"/>
        <v>https://docs.inswave.com/websquare/websquare.html?w2xPath=/support/api/guide/GridView/inputType/inputType_spinner_min_max_gridView_column.xml</v>
      </c>
      <c r="AC350" s="45"/>
      <c r="AD350" s="45"/>
    </row>
    <row r="351" spans="1:30" s="39" customFormat="1" ht="102" x14ac:dyDescent="0.45">
      <c r="A351" s="37">
        <f>SUBTOTAL(3, $T$2:T351)</f>
        <v>276</v>
      </c>
      <c r="B351" s="38" t="s">
        <v>0</v>
      </c>
      <c r="C351" s="39" t="s">
        <v>1101</v>
      </c>
      <c r="D351" s="39" t="s">
        <v>2207</v>
      </c>
      <c r="E351" s="40" t="s">
        <v>2206</v>
      </c>
      <c r="F351" s="41" t="s">
        <v>2209</v>
      </c>
      <c r="G351" s="39" t="s">
        <v>1409</v>
      </c>
      <c r="H351" s="53" t="s">
        <v>4141</v>
      </c>
      <c r="I351" s="44" t="s">
        <v>1405</v>
      </c>
      <c r="J351" s="14" t="s">
        <v>2208</v>
      </c>
      <c r="K351" s="22" t="s">
        <v>2907</v>
      </c>
      <c r="L351" s="46">
        <v>43891</v>
      </c>
      <c r="M351" s="14"/>
      <c r="N351" s="45" t="s">
        <v>199</v>
      </c>
      <c r="O351" s="45" t="s">
        <v>199</v>
      </c>
      <c r="P351" s="45" t="s">
        <v>199</v>
      </c>
      <c r="Q351" s="45" t="s">
        <v>199</v>
      </c>
      <c r="R351" s="45" t="s">
        <v>199</v>
      </c>
      <c r="S351" s="45" t="s">
        <v>199</v>
      </c>
      <c r="T351" s="47" t="s">
        <v>4247</v>
      </c>
      <c r="U351" s="39" t="s">
        <v>3764</v>
      </c>
      <c r="V351" s="39" t="str">
        <f>CONCATENATE(U351, D351)</f>
        <v>https://example.websquare.kr/websquare/websquare.html?w2xPath=/guide/GridView/inputType/inputType_custom_typeGetter_gridView_column.xml</v>
      </c>
      <c r="W351" s="39" t="s">
        <v>4512</v>
      </c>
      <c r="X351" s="39" t="str">
        <f>CONCATENATE(W351, D351)</f>
        <v>https://docs.inswave.com/websquare/websquare.html?w2xPath=/support/api/guide/GridView/inputType/inputType_custom_typeGetter_gridView_column.xml</v>
      </c>
      <c r="Y351" s="48" t="str">
        <f>HYPERLINK(X351, H351)</f>
        <v>컬럼 inputType 동적 변경</v>
      </c>
      <c r="Z351" s="4" t="str">
        <f>HYPERLINK(V351,H351)</f>
        <v>컬럼 inputType 동적 변경</v>
      </c>
      <c r="AA351" s="4" t="str">
        <f>HYPERLINK(J351,H351)</f>
        <v>컬럼 inputType 동적 변경</v>
      </c>
      <c r="AB351" s="39" t="str">
        <f t="shared" si="9"/>
        <v>https://docs.inswave.com/websquare/websquare.html?w2xPath=/support/api/guide/GridView/inputType/inputType_custom_typeGetter_gridView_column.xml</v>
      </c>
    </row>
    <row r="352" spans="1:30" s="39" customFormat="1" ht="102" x14ac:dyDescent="0.45">
      <c r="A352" s="37">
        <f>SUBTOTAL(3, $T$2:T352)</f>
        <v>277</v>
      </c>
      <c r="B352" s="51" t="s">
        <v>1814</v>
      </c>
      <c r="C352" s="39" t="s">
        <v>1101</v>
      </c>
      <c r="D352" s="39" t="s">
        <v>1389</v>
      </c>
      <c r="E352" s="40" t="s">
        <v>2257</v>
      </c>
      <c r="F352" s="41" t="s">
        <v>2258</v>
      </c>
      <c r="G352" s="39" t="s">
        <v>1387</v>
      </c>
      <c r="H352" s="53" t="s">
        <v>4148</v>
      </c>
      <c r="I352" s="44" t="s">
        <v>1388</v>
      </c>
      <c r="J352" s="14" t="s">
        <v>2259</v>
      </c>
      <c r="K352" s="22" t="s">
        <v>2910</v>
      </c>
      <c r="L352" s="46">
        <v>43862</v>
      </c>
      <c r="M352" s="50" t="s">
        <v>199</v>
      </c>
      <c r="N352" s="45" t="s">
        <v>199</v>
      </c>
      <c r="O352" s="45" t="s">
        <v>199</v>
      </c>
      <c r="P352" s="45" t="s">
        <v>199</v>
      </c>
      <c r="Q352" s="45" t="s">
        <v>199</v>
      </c>
      <c r="R352" s="45" t="s">
        <v>199</v>
      </c>
      <c r="S352" s="45" t="s">
        <v>199</v>
      </c>
      <c r="T352" s="47" t="s">
        <v>4247</v>
      </c>
      <c r="U352" s="39" t="s">
        <v>3764</v>
      </c>
      <c r="V352" s="39" t="str">
        <f>CONCATENATE(U352, D352)</f>
        <v>https://example.websquare.kr/websquare/websquare.html?w2xPath=/guide/GridView/inputType/viewType_inputType_gridView_column.xml</v>
      </c>
      <c r="W352" s="39" t="s">
        <v>4512</v>
      </c>
      <c r="X352" s="39" t="str">
        <f>CONCATENATE(W352, D352)</f>
        <v>https://docs.inswave.com/websquare/websquare.html?w2xPath=/support/api/guide/GridView/inputType/viewType_inputType_gridView_column.xml</v>
      </c>
      <c r="Y352" s="48" t="str">
        <f>HYPERLINK(X352, H352)</f>
        <v>컬럼 아이콘 표시</v>
      </c>
      <c r="Z352" s="4" t="str">
        <f>HYPERLINK(V352,H352)</f>
        <v>컬럼 아이콘 표시</v>
      </c>
      <c r="AA352" s="4" t="str">
        <f>HYPERLINK(J352,H352)</f>
        <v>컬럼 아이콘 표시</v>
      </c>
      <c r="AB352" s="39" t="str">
        <f t="shared" si="9"/>
        <v>https://docs.inswave.com/websquare/websquare.html?w2xPath=/support/api/guide/GridView/inputType/viewType_inputType_gridView_column.xml</v>
      </c>
    </row>
    <row r="353" spans="1:28" s="39" customFormat="1" ht="102" x14ac:dyDescent="0.45">
      <c r="A353" s="37">
        <f>SUBTOTAL(3, $T$2:T353)</f>
        <v>278</v>
      </c>
      <c r="B353" s="38" t="s">
        <v>0</v>
      </c>
      <c r="C353" s="39" t="s">
        <v>1121</v>
      </c>
      <c r="D353" s="39" t="s">
        <v>3372</v>
      </c>
      <c r="E353" s="40" t="s">
        <v>3367</v>
      </c>
      <c r="F353" s="41" t="s">
        <v>3364</v>
      </c>
      <c r="G353" s="39" t="s">
        <v>3380</v>
      </c>
      <c r="H353" s="58" t="s">
        <v>4435</v>
      </c>
      <c r="I353" s="44" t="s">
        <v>758</v>
      </c>
      <c r="J353" s="14" t="s">
        <v>3381</v>
      </c>
      <c r="K353" s="23" t="s">
        <v>3378</v>
      </c>
      <c r="L353" s="46">
        <v>43556</v>
      </c>
      <c r="M353" s="50" t="s">
        <v>199</v>
      </c>
      <c r="N353" s="45"/>
      <c r="O353" s="45"/>
      <c r="P353" s="45"/>
      <c r="Q353" s="45"/>
      <c r="R353" s="45"/>
      <c r="S353" s="45"/>
      <c r="T353" s="47" t="s">
        <v>4247</v>
      </c>
      <c r="U353" s="39" t="s">
        <v>3764</v>
      </c>
      <c r="V353" s="39" t="str">
        <f>CONCATENATE(U353, D353)</f>
        <v>https://example.websquare.kr/websquare/websquare.html?w2xPath=/guide/GridView/Merge/mergeClear_GridView.xml</v>
      </c>
      <c r="W353" s="39" t="s">
        <v>4512</v>
      </c>
      <c r="X353" s="39" t="str">
        <f>CONCATENATE(W353, D353)</f>
        <v>https://docs.inswave.com/websquare/websquare.html?w2xPath=/support/api/guide/GridView/Merge/mergeClear_GridView.xml</v>
      </c>
      <c r="Y353" s="48" t="str">
        <f>HYPERLINK(X353, H353)</f>
        <v>병합 해제</v>
      </c>
      <c r="Z353" s="4" t="str">
        <f>HYPERLINK(V353,H353)</f>
        <v>병합 해제</v>
      </c>
      <c r="AA353" s="4" t="str">
        <f>HYPERLINK(J353,H353)</f>
        <v>병합 해제</v>
      </c>
      <c r="AB353" s="39" t="str">
        <f t="shared" si="9"/>
        <v>https://docs.inswave.com/websquare/websquare.html?w2xPath=/support/api/guide/GridView/Merge/mergeClear_GridView.xml</v>
      </c>
    </row>
    <row r="354" spans="1:28" s="39" customFormat="1" ht="102" x14ac:dyDescent="0.45">
      <c r="A354" s="37">
        <f>SUBTOTAL(3, $T$2:T354)</f>
        <v>279</v>
      </c>
      <c r="B354" s="51" t="s">
        <v>1814</v>
      </c>
      <c r="C354" s="39" t="s">
        <v>2244</v>
      </c>
      <c r="D354" s="39" t="s">
        <v>4397</v>
      </c>
      <c r="E354" s="40" t="s">
        <v>4162</v>
      </c>
      <c r="F354" s="41" t="s">
        <v>2245</v>
      </c>
      <c r="G354" s="39" t="s">
        <v>2260</v>
      </c>
      <c r="H354" s="53" t="s">
        <v>4161</v>
      </c>
      <c r="I354" s="39" t="s">
        <v>1978</v>
      </c>
      <c r="J354" s="14" t="s">
        <v>2262</v>
      </c>
      <c r="K354" s="22" t="s">
        <v>2916</v>
      </c>
      <c r="L354" s="46">
        <v>45108</v>
      </c>
      <c r="M354" s="14"/>
      <c r="N354" s="45" t="s">
        <v>199</v>
      </c>
      <c r="O354" s="45" t="s">
        <v>199</v>
      </c>
      <c r="P354" s="45" t="s">
        <v>199</v>
      </c>
      <c r="Q354" s="45" t="s">
        <v>199</v>
      </c>
      <c r="R354" s="45" t="s">
        <v>199</v>
      </c>
      <c r="S354" s="45" t="s">
        <v>199</v>
      </c>
      <c r="T354" s="47" t="s">
        <v>4247</v>
      </c>
      <c r="U354" s="39" t="s">
        <v>3764</v>
      </c>
      <c r="V354" s="39" t="str">
        <f>CONCATENATE(U354, D354)</f>
        <v>https://example.websquare.kr/websquare/websquare.html?w2xPath=/guide/GridView/Merge/mergeExcludeValue_GridView.xml</v>
      </c>
      <c r="W354" s="39" t="s">
        <v>4512</v>
      </c>
      <c r="X354" s="39" t="str">
        <f>CONCATENATE(W354, D354)</f>
        <v>https://docs.inswave.com/websquare/websquare.html?w2xPath=/support/api/guide/GridView/Merge/mergeExcludeValue_GridView.xml</v>
      </c>
      <c r="Y354" s="48" t="str">
        <f>HYPERLINK(X354, H354)</f>
        <v>병합에서 제외할 값 지정</v>
      </c>
      <c r="Z354" s="4" t="str">
        <f>HYPERLINK(V354,H354)</f>
        <v>병합에서 제외할 값 지정</v>
      </c>
      <c r="AA354" s="4" t="str">
        <f>HYPERLINK(J354,H354)</f>
        <v>병합에서 제외할 값 지정</v>
      </c>
      <c r="AB354" s="39" t="str">
        <f t="shared" si="9"/>
        <v>https://docs.inswave.com/websquare/websquare.html?w2xPath=/support/api/guide/GridView/Merge/mergeExcludeValue_GridView.xml</v>
      </c>
    </row>
    <row r="355" spans="1:28" s="39" customFormat="1" ht="102" x14ac:dyDescent="0.45">
      <c r="A355" s="37">
        <f>SUBTOTAL(3, $T$2:T355)</f>
        <v>280</v>
      </c>
      <c r="B355" s="38" t="s">
        <v>0</v>
      </c>
      <c r="C355" s="39" t="s">
        <v>1121</v>
      </c>
      <c r="D355" s="39" t="s">
        <v>3376</v>
      </c>
      <c r="E355" s="40" t="s">
        <v>4165</v>
      </c>
      <c r="F355" s="41" t="s">
        <v>3359</v>
      </c>
      <c r="G355" s="39" t="s">
        <v>3379</v>
      </c>
      <c r="H355" s="58" t="s">
        <v>4436</v>
      </c>
      <c r="I355" s="44" t="s">
        <v>750</v>
      </c>
      <c r="J355" s="14" t="s">
        <v>3382</v>
      </c>
      <c r="K355" s="23" t="s">
        <v>3377</v>
      </c>
      <c r="L355" s="46">
        <v>43556</v>
      </c>
      <c r="M355" s="50" t="s">
        <v>199</v>
      </c>
      <c r="N355" s="45"/>
      <c r="O355" s="45"/>
      <c r="P355" s="45"/>
      <c r="Q355" s="45"/>
      <c r="R355" s="45"/>
      <c r="S355" s="45"/>
      <c r="T355" s="47" t="s">
        <v>4247</v>
      </c>
      <c r="U355" s="39" t="s">
        <v>3764</v>
      </c>
      <c r="V355" s="39" t="str">
        <f>CONCATENATE(U355, D355)</f>
        <v>https://example.websquare.kr/websquare/websquare.html?w2xPath=/guide/GridView/Merge/mergeCells_mergeByRestricCol_GridView.xml</v>
      </c>
      <c r="W355" s="39" t="s">
        <v>4512</v>
      </c>
      <c r="X355" s="39" t="str">
        <f>CONCATENATE(W355, D355)</f>
        <v>https://docs.inswave.com/websquare/websquare.html?w2xPath=/support/api/guide/GridView/Merge/mergeCells_mergeByRestricCol_GridView.xml</v>
      </c>
      <c r="Y355" s="48" t="str">
        <f>HYPERLINK(X355, H355)</f>
        <v>왼쪽 컬럼 기준 병합</v>
      </c>
      <c r="Z355" s="4" t="str">
        <f>HYPERLINK(V355,H355)</f>
        <v>왼쪽 컬럼 기준 병합</v>
      </c>
      <c r="AA355" s="4" t="str">
        <f>HYPERLINK(J355,H355)</f>
        <v>왼쪽 컬럼 기준 병합</v>
      </c>
      <c r="AB355" s="39" t="str">
        <f t="shared" si="9"/>
        <v>https://docs.inswave.com/websquare/websquare.html?w2xPath=/support/api/guide/GridView/Merge/mergeCells_mergeByRestricCol_GridView.xml</v>
      </c>
    </row>
    <row r="356" spans="1:28" s="39" customFormat="1" ht="102" x14ac:dyDescent="0.45">
      <c r="A356" s="37">
        <f>SUBTOTAL(3, $T$2:T356)</f>
        <v>281</v>
      </c>
      <c r="B356" s="38" t="s">
        <v>0</v>
      </c>
      <c r="C356" s="39" t="s">
        <v>1121</v>
      </c>
      <c r="D356" s="39" t="s">
        <v>3371</v>
      </c>
      <c r="E356" s="40" t="s">
        <v>3366</v>
      </c>
      <c r="F356" s="41" t="s">
        <v>3363</v>
      </c>
      <c r="G356" s="39" t="s">
        <v>3374</v>
      </c>
      <c r="H356" s="58" t="s">
        <v>4437</v>
      </c>
      <c r="I356" s="44" t="s">
        <v>751</v>
      </c>
      <c r="J356" s="14" t="s">
        <v>3375</v>
      </c>
      <c r="K356" s="23" t="s">
        <v>3373</v>
      </c>
      <c r="L356" s="46">
        <v>43556</v>
      </c>
      <c r="M356" s="50" t="s">
        <v>199</v>
      </c>
      <c r="N356" s="45"/>
      <c r="O356" s="45"/>
      <c r="P356" s="45"/>
      <c r="Q356" s="45"/>
      <c r="R356" s="45"/>
      <c r="S356" s="45"/>
      <c r="T356" s="47" t="s">
        <v>4247</v>
      </c>
      <c r="U356" s="39" t="s">
        <v>3764</v>
      </c>
      <c r="V356" s="39" t="str">
        <f>CONCATENATE(U356, D356)</f>
        <v>https://example.websquare.kr/websquare/websquare.html?w2xPath=/guide/GridView/Merge/mergeCells_mergeByRestricRow_GridView.xml</v>
      </c>
      <c r="W356" s="39" t="s">
        <v>4512</v>
      </c>
      <c r="X356" s="39" t="str">
        <f>CONCATENATE(W356, D356)</f>
        <v>https://docs.inswave.com/websquare/websquare.html?w2xPath=/support/api/guide/GridView/Merge/mergeCells_mergeByRestricRow_GridView.xml</v>
      </c>
      <c r="Y356" s="48" t="str">
        <f>HYPERLINK(X356, H356)</f>
        <v>윗행 기준 병합</v>
      </c>
      <c r="Z356" s="4" t="str">
        <f>HYPERLINK(V356,H356)</f>
        <v>윗행 기준 병합</v>
      </c>
      <c r="AA356" s="4" t="str">
        <f>HYPERLINK(J356,H356)</f>
        <v>윗행 기준 병합</v>
      </c>
      <c r="AB356" s="39" t="str">
        <f t="shared" si="9"/>
        <v>https://docs.inswave.com/websquare/websquare.html?w2xPath=/support/api/guide/GridView/Merge/mergeCells_mergeByRestricRow_GridView.xml</v>
      </c>
    </row>
    <row r="357" spans="1:28" s="39" customFormat="1" ht="102" hidden="1" x14ac:dyDescent="0.45">
      <c r="A357" s="37">
        <f>SUBTOTAL(3, $T$2:T357)</f>
        <v>281</v>
      </c>
      <c r="B357" s="38" t="s">
        <v>0</v>
      </c>
      <c r="C357" s="39" t="s">
        <v>1101</v>
      </c>
      <c r="D357" s="39" t="s">
        <v>769</v>
      </c>
      <c r="E357" s="40" t="s">
        <v>2188</v>
      </c>
      <c r="F357" s="41" t="s">
        <v>765</v>
      </c>
      <c r="G357" s="39" t="s">
        <v>767</v>
      </c>
      <c r="H357" s="43" t="s">
        <v>4519</v>
      </c>
      <c r="I357" s="44" t="s">
        <v>766</v>
      </c>
      <c r="J357" s="14" t="s">
        <v>1625</v>
      </c>
      <c r="K357" s="45" t="s">
        <v>3550</v>
      </c>
      <c r="L357" s="46">
        <v>42826</v>
      </c>
      <c r="M357" s="50" t="s">
        <v>199</v>
      </c>
      <c r="N357" s="45"/>
      <c r="O357" s="45"/>
      <c r="P357" s="45"/>
      <c r="Q357" s="45"/>
      <c r="R357" s="45"/>
      <c r="S357" s="45"/>
      <c r="T357" s="47" t="s">
        <v>4248</v>
      </c>
      <c r="U357" s="39" t="s">
        <v>3766</v>
      </c>
      <c r="V357" s="39" t="str">
        <f>CONCATENATE(U357, D357)</f>
        <v>https://example.websquare.kr/websquare/websquare.html?w2xPath=/guide/GridView/InputType/inputType_spinner_viewType_gridView_column.pdf</v>
      </c>
      <c r="W357" s="39" t="s">
        <v>4220</v>
      </c>
      <c r="X357" s="39" t="str">
        <f>CONCATENATE(W357, D357)</f>
        <v>https://docs.inswave.com/websquare/websquare.html?w2xPath=/support/api/samples/GridView/InputType/inputType_spinner_viewType_gridView_column.pdf</v>
      </c>
      <c r="Y357" s="48"/>
      <c r="Z357" s="4"/>
      <c r="AA357" s="4" t="str">
        <f>HYPERLINK(J357,H357)</f>
        <v>inputType="spinner" 컬럼에 아이콘 표시</v>
      </c>
      <c r="AB357" s="39" t="str">
        <f t="shared" si="9"/>
        <v>https://docs.inswave.com/websquare/websquare.html?w2xPath=/support/api/samples/GridView/InputType/inputType_spinner_viewType_gridView_column.pdf</v>
      </c>
    </row>
    <row r="358" spans="1:28" s="39" customFormat="1" ht="102" x14ac:dyDescent="0.45">
      <c r="A358" s="25">
        <f>SUBTOTAL(3, $T$2:T358)</f>
        <v>282</v>
      </c>
      <c r="B358" s="27" t="s">
        <v>0</v>
      </c>
      <c r="C358" s="27" t="s">
        <v>1121</v>
      </c>
      <c r="D358" s="27" t="s">
        <v>4600</v>
      </c>
      <c r="E358" s="28" t="s">
        <v>4606</v>
      </c>
      <c r="F358" s="27" t="s">
        <v>4645</v>
      </c>
      <c r="G358" s="27" t="s">
        <v>4592</v>
      </c>
      <c r="H358" s="27" t="s">
        <v>4593</v>
      </c>
      <c r="I358" s="29" t="s">
        <v>4629</v>
      </c>
      <c r="J358" s="31" t="s">
        <v>3550</v>
      </c>
      <c r="K358" s="30" t="s">
        <v>2304</v>
      </c>
      <c r="L358" s="31" t="s">
        <v>4540</v>
      </c>
      <c r="M358" s="32"/>
      <c r="N358" s="79"/>
      <c r="O358" s="79"/>
      <c r="P358" s="79"/>
      <c r="Q358" s="79"/>
      <c r="R358" s="79"/>
      <c r="S358" s="79"/>
      <c r="T358" s="33" t="s">
        <v>4249</v>
      </c>
      <c r="U358" s="27" t="s">
        <v>3764</v>
      </c>
      <c r="V358" s="27" t="str">
        <f>CONCATENATE(U358, D358)</f>
        <v>https://example.websquare.kr/websquare/websquare.html?w2xPath=/guide/GridView/Merge/bycolupper_mergeCells_GridView.xml</v>
      </c>
      <c r="W358" s="27" t="s">
        <v>4512</v>
      </c>
      <c r="X358" s="27" t="str">
        <f>CONCATENATE(W358, D358)</f>
        <v>https://docs.inswave.com/websquare/websquare.html?w2xPath=/support/api/guide/GridView/Merge/bycolupper_mergeCells_GridView.xml</v>
      </c>
      <c r="Y358" s="34" t="str">
        <f>HYPERLINK(X358, H358)</f>
        <v>지정한 왼쪽 컬럼만을 기준으로 병합</v>
      </c>
      <c r="Z358" s="35" t="str">
        <f>HYPERLINK(V358,H358)</f>
        <v>지정한 왼쪽 컬럼만을 기준으로 병합</v>
      </c>
      <c r="AA358" s="27"/>
      <c r="AB358" s="39" t="str">
        <f t="shared" si="9"/>
        <v>https://docs.inswave.com/websquare/websquare.html?w2xPath=/support/api/guide/GridView/Merge/bycolupper_mergeCells_GridView.xml</v>
      </c>
    </row>
    <row r="359" spans="1:28" s="39" customFormat="1" ht="102" x14ac:dyDescent="0.45">
      <c r="A359" s="37">
        <f>SUBTOTAL(3, $T$2:T359)</f>
        <v>283</v>
      </c>
      <c r="B359" s="38" t="s">
        <v>0</v>
      </c>
      <c r="C359" s="39" t="s">
        <v>1121</v>
      </c>
      <c r="D359" s="39" t="s">
        <v>3318</v>
      </c>
      <c r="E359" s="40" t="s">
        <v>4163</v>
      </c>
      <c r="F359" s="41" t="s">
        <v>3316</v>
      </c>
      <c r="G359" s="42" t="s">
        <v>4159</v>
      </c>
      <c r="H359" s="58" t="s">
        <v>4438</v>
      </c>
      <c r="I359" s="44" t="s">
        <v>3317</v>
      </c>
      <c r="J359" s="14" t="s">
        <v>3324</v>
      </c>
      <c r="K359" s="23" t="s">
        <v>3319</v>
      </c>
      <c r="L359" s="46">
        <v>43556</v>
      </c>
      <c r="M359" s="50" t="s">
        <v>199</v>
      </c>
      <c r="N359" s="45"/>
      <c r="O359" s="45"/>
      <c r="P359" s="45"/>
      <c r="Q359" s="45"/>
      <c r="R359" s="45"/>
      <c r="S359" s="45"/>
      <c r="T359" s="47" t="s">
        <v>4247</v>
      </c>
      <c r="U359" s="39" t="s">
        <v>3764</v>
      </c>
      <c r="V359" s="39" t="str">
        <f>CONCATENATE(U359, D359)</f>
        <v>https://example.websquare.kr/websquare/websquare.html?w2xPath=/guide/GridView/Merge/mergeCells_mergeByCol_GridView.xml</v>
      </c>
      <c r="W359" s="39" t="s">
        <v>4512</v>
      </c>
      <c r="X359" s="39" t="str">
        <f>CONCATENATE(W359, D359)</f>
        <v>https://docs.inswave.com/websquare/websquare.html?w2xPath=/support/api/guide/GridView/Merge/mergeCells_mergeByCol_GridView.xml</v>
      </c>
      <c r="Y359" s="48" t="str">
        <f>HYPERLINK(X359, H359)</f>
        <v>컬럼 기준 병합</v>
      </c>
      <c r="Z359" s="4" t="str">
        <f>HYPERLINK(V359,H359)</f>
        <v>컬럼 기준 병합</v>
      </c>
      <c r="AA359" s="4" t="str">
        <f>HYPERLINK(J359,H359)</f>
        <v>컬럼 기준 병합</v>
      </c>
      <c r="AB359" s="39" t="str">
        <f t="shared" si="9"/>
        <v>https://docs.inswave.com/websquare/websquare.html?w2xPath=/support/api/guide/GridView/Merge/mergeCells_mergeByCol_GridView.xml</v>
      </c>
    </row>
    <row r="360" spans="1:28" s="39" customFormat="1" ht="102" x14ac:dyDescent="0.45">
      <c r="A360" s="37">
        <f>SUBTOTAL(3, $T$2:T360)</f>
        <v>284</v>
      </c>
      <c r="B360" s="38" t="s">
        <v>0</v>
      </c>
      <c r="C360" s="39" t="s">
        <v>1121</v>
      </c>
      <c r="D360" s="39" t="s">
        <v>3360</v>
      </c>
      <c r="E360" s="40" t="s">
        <v>2726</v>
      </c>
      <c r="F360" s="41" t="s">
        <v>3354</v>
      </c>
      <c r="G360" s="42" t="s">
        <v>3356</v>
      </c>
      <c r="H360" s="58" t="s">
        <v>4439</v>
      </c>
      <c r="I360" s="44" t="s">
        <v>748</v>
      </c>
      <c r="J360" s="14" t="s">
        <v>3362</v>
      </c>
      <c r="K360" s="23" t="s">
        <v>3361</v>
      </c>
      <c r="L360" s="46">
        <v>43556</v>
      </c>
      <c r="M360" s="50" t="s">
        <v>199</v>
      </c>
      <c r="N360" s="45"/>
      <c r="O360" s="45"/>
      <c r="P360" s="45"/>
      <c r="Q360" s="45"/>
      <c r="R360" s="45"/>
      <c r="S360" s="45"/>
      <c r="T360" s="47" t="s">
        <v>4247</v>
      </c>
      <c r="U360" s="39" t="s">
        <v>3764</v>
      </c>
      <c r="V360" s="39" t="str">
        <f>CONCATENATE(U360, D360)</f>
        <v>https://example.websquare.kr/websquare/websquare.html?w2xPath=/guide/GridView/Merge/mergeCells_mergeByColRec_GridView.xml</v>
      </c>
      <c r="W360" s="39" t="s">
        <v>4512</v>
      </c>
      <c r="X360" s="39" t="str">
        <f>CONCATENATE(W360, D360)</f>
        <v>https://docs.inswave.com/websquare/websquare.html?w2xPath=/support/api/guide/GridView/Merge/mergeCells_mergeByColRec_GridView.xml</v>
      </c>
      <c r="Y360" s="48" t="str">
        <f>HYPERLINK(X360, H360)</f>
        <v>컬럼 기준 병합 후, 행 기준 병합</v>
      </c>
      <c r="Z360" s="4" t="str">
        <f>HYPERLINK(V360,H360)</f>
        <v>컬럼 기준 병합 후, 행 기준 병합</v>
      </c>
      <c r="AA360" s="4" t="str">
        <f>HYPERLINK(J360,H360)</f>
        <v>컬럼 기준 병합 후, 행 기준 병합</v>
      </c>
      <c r="AB360" s="39" t="str">
        <f t="shared" si="9"/>
        <v>https://docs.inswave.com/websquare/websquare.html?w2xPath=/support/api/guide/GridView/Merge/mergeCells_mergeByColRec_GridView.xml</v>
      </c>
    </row>
    <row r="361" spans="1:28" s="39" customFormat="1" ht="102" x14ac:dyDescent="0.45">
      <c r="A361" s="25">
        <f>SUBTOTAL(3, $T$2:T361)</f>
        <v>285</v>
      </c>
      <c r="B361" s="26" t="s">
        <v>0</v>
      </c>
      <c r="C361" s="27" t="s">
        <v>1121</v>
      </c>
      <c r="D361" s="27" t="s">
        <v>4597</v>
      </c>
      <c r="E361" s="28" t="s">
        <v>4559</v>
      </c>
      <c r="F361" s="27" t="s">
        <v>4642</v>
      </c>
      <c r="G361" s="27" t="s">
        <v>4566</v>
      </c>
      <c r="H361" s="27" t="s">
        <v>4565</v>
      </c>
      <c r="I361" s="75" t="s">
        <v>4625</v>
      </c>
      <c r="J361" s="30" t="s">
        <v>2304</v>
      </c>
      <c r="K361" s="30" t="s">
        <v>2304</v>
      </c>
      <c r="L361" s="31" t="s">
        <v>4540</v>
      </c>
      <c r="M361" s="32"/>
      <c r="N361" s="79"/>
      <c r="O361" s="79"/>
      <c r="P361" s="79"/>
      <c r="Q361" s="79"/>
      <c r="R361" s="79"/>
      <c r="S361" s="79"/>
      <c r="T361" s="33" t="s">
        <v>4249</v>
      </c>
      <c r="U361" s="27" t="s">
        <v>3764</v>
      </c>
      <c r="V361" s="27" t="str">
        <f>CONCATENATE(U361, D361)</f>
        <v>https://example.websquare.kr/websquare/websquare.html?w2xPath=/guide/GridView/Merge/mergedCellVerticalAlign_GridView.xml</v>
      </c>
      <c r="W361" s="27" t="s">
        <v>4512</v>
      </c>
      <c r="X361" s="27" t="str">
        <f>CONCATENATE(W361, D361)</f>
        <v>https://docs.inswave.com/websquare/websquare.html?w2xPath=/support/api/guide/GridView/Merge/mergedCellVerticalAlign_GridView.xml</v>
      </c>
      <c r="Y361" s="34" t="str">
        <f>HYPERLINK(X361, H361)</f>
        <v>컬럼 기준으로 병합할 경우 텍스트 위치 설정</v>
      </c>
      <c r="Z361" s="35" t="str">
        <f>HYPERLINK(V361,H361)</f>
        <v>컬럼 기준으로 병합할 경우 텍스트 위치 설정</v>
      </c>
      <c r="AA361" s="27"/>
      <c r="AB361" s="39" t="str">
        <f t="shared" si="9"/>
        <v>https://docs.inswave.com/websquare/websquare.html?w2xPath=/support/api/guide/GridView/Merge/mergedCellVerticalAlign_GridView.xml</v>
      </c>
    </row>
    <row r="362" spans="1:28" s="39" customFormat="1" ht="102" x14ac:dyDescent="0.45">
      <c r="A362" s="37">
        <f>SUBTOTAL(3, $T$2:T362)</f>
        <v>286</v>
      </c>
      <c r="B362" s="38" t="s">
        <v>0</v>
      </c>
      <c r="C362" s="39" t="s">
        <v>1121</v>
      </c>
      <c r="D362" s="39" t="s">
        <v>3340</v>
      </c>
      <c r="E362" s="40" t="s">
        <v>4164</v>
      </c>
      <c r="F362" s="41" t="s">
        <v>3328</v>
      </c>
      <c r="G362" s="42" t="s">
        <v>3341</v>
      </c>
      <c r="H362" s="58" t="s">
        <v>4440</v>
      </c>
      <c r="I362" s="44" t="s">
        <v>747</v>
      </c>
      <c r="J362" s="14" t="s">
        <v>3342</v>
      </c>
      <c r="K362" s="23" t="s">
        <v>3319</v>
      </c>
      <c r="L362" s="46">
        <v>43556</v>
      </c>
      <c r="M362" s="50" t="s">
        <v>199</v>
      </c>
      <c r="N362" s="45"/>
      <c r="O362" s="45"/>
      <c r="P362" s="45"/>
      <c r="Q362" s="45"/>
      <c r="R362" s="45"/>
      <c r="S362" s="45"/>
      <c r="T362" s="47" t="s">
        <v>4247</v>
      </c>
      <c r="U362" s="39" t="s">
        <v>3764</v>
      </c>
      <c r="V362" s="39" t="str">
        <f>CONCATENATE(U362, D362)</f>
        <v>https://example.websquare.kr/websquare/websquare.html?w2xPath=/guide/GridView/Merge/mergeCells_mergeByRow_GridView.xml</v>
      </c>
      <c r="W362" s="39" t="s">
        <v>4512</v>
      </c>
      <c r="X362" s="39" t="str">
        <f>CONCATENATE(W362, D362)</f>
        <v>https://docs.inswave.com/websquare/websquare.html?w2xPath=/support/api/guide/GridView/Merge/mergeCells_mergeByRow_GridView.xml</v>
      </c>
      <c r="Y362" s="48" t="str">
        <f>HYPERLINK(X362, H362)</f>
        <v>행 기준 병합</v>
      </c>
      <c r="Z362" s="4" t="str">
        <f>HYPERLINK(V362,H362)</f>
        <v>행 기준 병합</v>
      </c>
      <c r="AA362" s="4" t="str">
        <f>HYPERLINK(J362,H362)</f>
        <v>행 기준 병합</v>
      </c>
      <c r="AB362" s="39" t="str">
        <f t="shared" si="9"/>
        <v>https://docs.inswave.com/websquare/websquare.html?w2xPath=/support/api/guide/GridView/Merge/mergeCells_mergeByRow_GridView.xml</v>
      </c>
    </row>
    <row r="363" spans="1:28" s="39" customFormat="1" ht="102" x14ac:dyDescent="0.45">
      <c r="A363" s="37">
        <f>SUBTOTAL(3, $T$2:T363)</f>
        <v>287</v>
      </c>
      <c r="B363" s="38" t="s">
        <v>0</v>
      </c>
      <c r="C363" s="39" t="s">
        <v>1121</v>
      </c>
      <c r="D363" s="39" t="s">
        <v>3368</v>
      </c>
      <c r="E363" s="40" t="s">
        <v>3365</v>
      </c>
      <c r="F363" s="41" t="s">
        <v>3358</v>
      </c>
      <c r="G363" s="42" t="s">
        <v>3357</v>
      </c>
      <c r="H363" s="58" t="s">
        <v>4441</v>
      </c>
      <c r="I363" s="44" t="s">
        <v>749</v>
      </c>
      <c r="J363" s="14" t="s">
        <v>3370</v>
      </c>
      <c r="K363" s="23" t="s">
        <v>3369</v>
      </c>
      <c r="L363" s="46">
        <v>43556</v>
      </c>
      <c r="M363" s="50" t="s">
        <v>199</v>
      </c>
      <c r="N363" s="45"/>
      <c r="O363" s="45"/>
      <c r="P363" s="45"/>
      <c r="Q363" s="45"/>
      <c r="R363" s="45"/>
      <c r="S363" s="45"/>
      <c r="T363" s="47" t="s">
        <v>4247</v>
      </c>
      <c r="U363" s="39" t="s">
        <v>3764</v>
      </c>
      <c r="V363" s="39" t="str">
        <f>CONCATENATE(U363, D363)</f>
        <v>https://example.websquare.kr/websquare/websquare.html?w2xPath=/guide/GridView/Merge/mergeCells_mergeByRowRec_GridView.xml</v>
      </c>
      <c r="W363" s="39" t="s">
        <v>4512</v>
      </c>
      <c r="X363" s="39" t="str">
        <f>CONCATENATE(W363, D363)</f>
        <v>https://docs.inswave.com/websquare/websquare.html?w2xPath=/support/api/guide/GridView/Merge/mergeCells_mergeByRowRec_GridView.xml</v>
      </c>
      <c r="Y363" s="48" t="str">
        <f>HYPERLINK(X363, H363)</f>
        <v>행 기준 병합 후, 컬럼 기준 병합</v>
      </c>
      <c r="Z363" s="4" t="str">
        <f>HYPERLINK(V363,H363)</f>
        <v>행 기준 병합 후, 컬럼 기준 병합</v>
      </c>
      <c r="AA363" s="4" t="str">
        <f>HYPERLINK(J363,H363)</f>
        <v>행 기준 병합 후, 컬럼 기준 병합</v>
      </c>
      <c r="AB363" s="39" t="str">
        <f t="shared" si="9"/>
        <v>https://docs.inswave.com/websquare/websquare.html?w2xPath=/support/api/guide/GridView/Merge/mergeCells_mergeByRowRec_GridView.xml</v>
      </c>
    </row>
    <row r="364" spans="1:28" s="39" customFormat="1" ht="102" x14ac:dyDescent="0.45">
      <c r="A364" s="37">
        <f>SUBTOTAL(3, $T$2:T364)</f>
        <v>288</v>
      </c>
      <c r="B364" s="38" t="s">
        <v>1814</v>
      </c>
      <c r="C364" s="39" t="s">
        <v>2000</v>
      </c>
      <c r="D364" s="39" t="s">
        <v>2004</v>
      </c>
      <c r="E364" s="40" t="s">
        <v>4158</v>
      </c>
      <c r="F364" s="41" t="s">
        <v>1998</v>
      </c>
      <c r="G364" s="44" t="s">
        <v>2002</v>
      </c>
      <c r="H364" s="53" t="s">
        <v>4157</v>
      </c>
      <c r="I364" s="44" t="s">
        <v>2003</v>
      </c>
      <c r="J364" s="14" t="s">
        <v>2005</v>
      </c>
      <c r="K364" s="22" t="s">
        <v>2918</v>
      </c>
      <c r="L364" s="46">
        <v>44958</v>
      </c>
      <c r="M364" s="50"/>
      <c r="N364" s="45" t="s">
        <v>199</v>
      </c>
      <c r="O364" s="45" t="s">
        <v>199</v>
      </c>
      <c r="P364" s="45" t="s">
        <v>199</v>
      </c>
      <c r="Q364" s="45" t="s">
        <v>199</v>
      </c>
      <c r="R364" s="45" t="s">
        <v>199</v>
      </c>
      <c r="S364" s="45" t="s">
        <v>199</v>
      </c>
      <c r="T364" s="47" t="s">
        <v>4247</v>
      </c>
      <c r="U364" s="39" t="s">
        <v>3764</v>
      </c>
      <c r="V364" s="39" t="str">
        <f>CONCATENATE(U364, D364)</f>
        <v>https://example.websquare.kr/websquare/websquare.html?w2xPath=/guide/GridView/Mobile/hammerEnabled_hammerPressTime_GridView.xml</v>
      </c>
      <c r="W364" s="39" t="s">
        <v>4512</v>
      </c>
      <c r="X364" s="39" t="str">
        <f>CONCATENATE(W364, D364)</f>
        <v>https://docs.inswave.com/websquare/websquare.html?w2xPath=/support/api/guide/GridView/Mobile/hammerEnabled_hammerPressTime_GridView.xml</v>
      </c>
      <c r="Y364" s="48" t="str">
        <f>HYPERLINK(X364, H364)</f>
        <v>모바일 Press 이벤트 지원</v>
      </c>
      <c r="Z364" s="4" t="str">
        <f>HYPERLINK(V364,H364)</f>
        <v>모바일 Press 이벤트 지원</v>
      </c>
      <c r="AA364" s="4" t="str">
        <f>HYPERLINK(J364,H364)</f>
        <v>모바일 Press 이벤트 지원</v>
      </c>
      <c r="AB364" s="39" t="str">
        <f t="shared" si="9"/>
        <v>https://docs.inswave.com/websquare/websquare.html?w2xPath=/support/api/guide/GridView/Mobile/hammerEnabled_hammerPressTime_GridView.xml</v>
      </c>
    </row>
    <row r="365" spans="1:28" s="39" customFormat="1" ht="102" x14ac:dyDescent="0.45">
      <c r="A365" s="37">
        <f>SUBTOTAL(3, $T$2:T365)</f>
        <v>289</v>
      </c>
      <c r="B365" s="38" t="s">
        <v>1814</v>
      </c>
      <c r="C365" s="39" t="s">
        <v>2000</v>
      </c>
      <c r="D365" s="39" t="s">
        <v>2010</v>
      </c>
      <c r="E365" s="40" t="s">
        <v>4160</v>
      </c>
      <c r="F365" s="41" t="s">
        <v>2001</v>
      </c>
      <c r="G365" s="39" t="s">
        <v>2007</v>
      </c>
      <c r="H365" s="53" t="s">
        <v>4520</v>
      </c>
      <c r="I365" s="44" t="s">
        <v>2011</v>
      </c>
      <c r="J365" s="14" t="s">
        <v>2019</v>
      </c>
      <c r="K365" s="22" t="s">
        <v>2917</v>
      </c>
      <c r="L365" s="46">
        <v>44958</v>
      </c>
      <c r="M365" s="14"/>
      <c r="N365" s="45" t="s">
        <v>199</v>
      </c>
      <c r="O365" s="45" t="s">
        <v>199</v>
      </c>
      <c r="P365" s="45" t="s">
        <v>199</v>
      </c>
      <c r="Q365" s="45" t="s">
        <v>199</v>
      </c>
      <c r="R365" s="45" t="s">
        <v>199</v>
      </c>
      <c r="S365" s="45" t="s">
        <v>199</v>
      </c>
      <c r="T365" s="47" t="s">
        <v>4247</v>
      </c>
      <c r="U365" s="39" t="s">
        <v>3764</v>
      </c>
      <c r="V365" s="39" t="str">
        <f>CONCATENATE(U365, D365)</f>
        <v>https://example.websquare.kr/websquare/websquare.html?w2xPath=/guide/GridView/Mobile/drilldownToggle_hammerEnabled_GridView.xml</v>
      </c>
      <c r="W365" s="39" t="s">
        <v>4512</v>
      </c>
      <c r="X365" s="39" t="str">
        <f>CONCATENATE(W365, D365)</f>
        <v>https://docs.inswave.com/websquare/websquare.html?w2xPath=/support/api/guide/GridView/Mobile/drilldownToggle_hammerEnabled_GridView.xml</v>
      </c>
      <c r="Y365" s="48" t="str">
        <f>HYPERLINK(X365, H365)</f>
        <v>모바일에서 셀 터치로 드릴다운 목록 열고 닫기</v>
      </c>
      <c r="Z365" s="4" t="str">
        <f>HYPERLINK(V365,H365)</f>
        <v>모바일에서 셀 터치로 드릴다운 목록 열고 닫기</v>
      </c>
      <c r="AA365" s="4" t="str">
        <f>HYPERLINK(J365,H365)</f>
        <v>모바일에서 셀 터치로 드릴다운 목록 열고 닫기</v>
      </c>
      <c r="AB365" s="39" t="str">
        <f t="shared" si="9"/>
        <v>https://docs.inswave.com/websquare/websquare.html?w2xPath=/support/api/guide/GridView/Mobile/drilldownToggle_hammerEnabled_GridView.xml</v>
      </c>
    </row>
    <row r="366" spans="1:28" s="39" customFormat="1" ht="102" x14ac:dyDescent="0.45">
      <c r="A366" s="37">
        <f>SUBTOTAL(3, $T$2:T366)</f>
        <v>290</v>
      </c>
      <c r="B366" s="38" t="s">
        <v>0</v>
      </c>
      <c r="C366" s="39" t="s">
        <v>1124</v>
      </c>
      <c r="D366" s="39" t="s">
        <v>3547</v>
      </c>
      <c r="E366" s="57" t="s">
        <v>4135</v>
      </c>
      <c r="F366" s="41" t="s">
        <v>168</v>
      </c>
      <c r="G366" s="39" t="s">
        <v>287</v>
      </c>
      <c r="H366" s="53" t="s">
        <v>4136</v>
      </c>
      <c r="I366" s="44" t="s">
        <v>313</v>
      </c>
      <c r="J366" s="14" t="s">
        <v>354</v>
      </c>
      <c r="K366" s="22" t="s">
        <v>2924</v>
      </c>
      <c r="L366" s="46">
        <v>44501</v>
      </c>
      <c r="M366" s="14"/>
      <c r="N366" s="45" t="s">
        <v>199</v>
      </c>
      <c r="O366" s="45" t="s">
        <v>199</v>
      </c>
      <c r="P366" s="45" t="s">
        <v>199</v>
      </c>
      <c r="Q366" s="45" t="s">
        <v>199</v>
      </c>
      <c r="R366" s="45" t="s">
        <v>199</v>
      </c>
      <c r="S366" s="45" t="s">
        <v>199</v>
      </c>
      <c r="T366" s="47" t="s">
        <v>4247</v>
      </c>
      <c r="U366" s="39" t="s">
        <v>3764</v>
      </c>
      <c r="V366" s="39" t="str">
        <f>CONCATENATE(U366, D366)</f>
        <v>https://example.websquare.kr/websquare/websquare.html?w2xPath=/guide/GridView/Sorting/sortLabel_gridView_column.xml</v>
      </c>
      <c r="W366" s="39" t="s">
        <v>4512</v>
      </c>
      <c r="X366" s="39" t="str">
        <f>CONCATENATE(W366, D366)</f>
        <v>https://docs.inswave.com/websquare/websquare.html?w2xPath=/support/api/guide/GridView/Sorting/sortLabel_gridView_column.xml</v>
      </c>
      <c r="Y366" s="48" t="str">
        <f>HYPERLINK(X366, H366)</f>
        <v>label 값을 기준으로 정렬</v>
      </c>
      <c r="Z366" s="4" t="str">
        <f>HYPERLINK(V366,H366)</f>
        <v>label 값을 기준으로 정렬</v>
      </c>
      <c r="AA366" s="4" t="str">
        <f>HYPERLINK(J366,H366)</f>
        <v>label 값을 기준으로 정렬</v>
      </c>
      <c r="AB366" s="39" t="str">
        <f t="shared" si="9"/>
        <v>https://docs.inswave.com/websquare/websquare.html?w2xPath=/support/api/guide/GridView/Sorting/sortLabel_gridView_column.xml</v>
      </c>
    </row>
    <row r="367" spans="1:28" s="39" customFormat="1" ht="119" x14ac:dyDescent="0.45">
      <c r="A367" s="37">
        <f>SUBTOTAL(3, $T$2:T367)</f>
        <v>291</v>
      </c>
      <c r="B367" s="51" t="s">
        <v>1814</v>
      </c>
      <c r="C367" s="39" t="s">
        <v>1124</v>
      </c>
      <c r="D367" s="39" t="s">
        <v>1386</v>
      </c>
      <c r="E367" s="40" t="s">
        <v>4102</v>
      </c>
      <c r="F367" s="41" t="s">
        <v>2266</v>
      </c>
      <c r="G367" s="39" t="s">
        <v>1384</v>
      </c>
      <c r="H367" s="53" t="s">
        <v>4101</v>
      </c>
      <c r="I367" s="44" t="s">
        <v>1385</v>
      </c>
      <c r="J367" s="14" t="s">
        <v>2256</v>
      </c>
      <c r="K367" s="22" t="s">
        <v>2923</v>
      </c>
      <c r="L367" s="46">
        <v>43862</v>
      </c>
      <c r="M367" s="50" t="s">
        <v>199</v>
      </c>
      <c r="N367" s="45" t="s">
        <v>199</v>
      </c>
      <c r="O367" s="45" t="s">
        <v>199</v>
      </c>
      <c r="P367" s="45" t="s">
        <v>199</v>
      </c>
      <c r="Q367" s="45" t="s">
        <v>199</v>
      </c>
      <c r="R367" s="45" t="s">
        <v>199</v>
      </c>
      <c r="S367" s="45" t="s">
        <v>199</v>
      </c>
      <c r="T367" s="47" t="s">
        <v>4247</v>
      </c>
      <c r="U367" s="39" t="s">
        <v>3764</v>
      </c>
      <c r="V367" s="39" t="str">
        <f>CONCATENATE(U367, D367)</f>
        <v>https://example.websquare.kr/websquare/websquare.html?w2xPath=/guide/GridView/Sorting/sortable_sortEvent_showSortableImage_sortedIconPosition_sortOrderReverse_GridView.xml</v>
      </c>
      <c r="W367" s="39" t="s">
        <v>4512</v>
      </c>
      <c r="X367" s="39" t="str">
        <f>CONCATENATE(W367, D367)</f>
        <v>https://docs.inswave.com/websquare/websquare.html?w2xPath=/support/api/guide/GridView/Sorting/sortable_sortEvent_showSortableImage_sortedIconPosition_sortOrderReverse_GridView.xml</v>
      </c>
      <c r="Y367" s="48" t="str">
        <f>HYPERLINK(X367, H367)</f>
        <v>각 열에 정렬 기능 추가</v>
      </c>
      <c r="Z367" s="4" t="str">
        <f>HYPERLINK(V367,H367)</f>
        <v>각 열에 정렬 기능 추가</v>
      </c>
      <c r="AA367" s="4" t="str">
        <f>HYPERLINK(J367,H367)</f>
        <v>각 열에 정렬 기능 추가</v>
      </c>
      <c r="AB367" s="39" t="str">
        <f t="shared" si="9"/>
        <v>https://docs.inswave.com/websquare/websquare.html?w2xPath=/support/api/guide/GridView/Sorting/sortable_sortEvent_showSortableImage_sortedIconPosition_sortOrderReverse_GridView.xml</v>
      </c>
    </row>
    <row r="368" spans="1:28" s="39" customFormat="1" ht="102" x14ac:dyDescent="0.45">
      <c r="A368" s="37">
        <f>SUBTOTAL(3, $T$2:T368)</f>
        <v>292</v>
      </c>
      <c r="B368" s="38" t="s">
        <v>0</v>
      </c>
      <c r="C368" s="39" t="s">
        <v>1124</v>
      </c>
      <c r="D368" s="39" t="s">
        <v>1325</v>
      </c>
      <c r="E368" s="40" t="s">
        <v>4133</v>
      </c>
      <c r="F368" s="41" t="s">
        <v>2395</v>
      </c>
      <c r="G368" s="39" t="s">
        <v>1313</v>
      </c>
      <c r="H368" s="53" t="s">
        <v>4134</v>
      </c>
      <c r="I368" s="44" t="s">
        <v>1290</v>
      </c>
      <c r="J368" s="14" t="s">
        <v>2397</v>
      </c>
      <c r="K368" s="22" t="s">
        <v>2925</v>
      </c>
      <c r="L368" s="46">
        <v>43770</v>
      </c>
      <c r="M368" s="45" t="s">
        <v>199</v>
      </c>
      <c r="N368" s="45" t="s">
        <v>199</v>
      </c>
      <c r="O368" s="45" t="s">
        <v>199</v>
      </c>
      <c r="P368" s="45"/>
      <c r="Q368" s="45" t="s">
        <v>199</v>
      </c>
      <c r="R368" s="45" t="s">
        <v>199</v>
      </c>
      <c r="S368" s="45" t="s">
        <v>199</v>
      </c>
      <c r="T368" s="47" t="s">
        <v>4247</v>
      </c>
      <c r="U368" s="39" t="s">
        <v>3764</v>
      </c>
      <c r="V368" s="39" t="str">
        <f>CONCATENATE(U368, D368)</f>
        <v>https://example.websquare.kr/websquare/websquare.html?w2xPath=/guide/GridView/Sorting/useCtrlOnMultisort_GridView.xml</v>
      </c>
      <c r="W368" s="39" t="s">
        <v>4512</v>
      </c>
      <c r="X368" s="39" t="str">
        <f>CONCATENATE(W368, D368)</f>
        <v>https://docs.inswave.com/websquare/websquare.html?w2xPath=/support/api/guide/GridView/Sorting/useCtrlOnMultisort_GridView.xml</v>
      </c>
      <c r="Y368" s="48" t="str">
        <f>HYPERLINK(X368, H368)</f>
        <v>다중 정렬</v>
      </c>
      <c r="Z368" s="4" t="str">
        <f>HYPERLINK(V368,H368)</f>
        <v>다중 정렬</v>
      </c>
      <c r="AA368" s="4" t="str">
        <f>HYPERLINK(J368,H368)</f>
        <v>다중 정렬</v>
      </c>
      <c r="AB368" s="39" t="str">
        <f t="shared" si="9"/>
        <v>https://docs.inswave.com/websquare/websquare.html?w2xPath=/support/api/guide/GridView/Sorting/useCtrlOnMultisort_GridView.xml</v>
      </c>
    </row>
    <row r="369" spans="1:30" s="39" customFormat="1" ht="102" x14ac:dyDescent="0.45">
      <c r="A369" s="37">
        <f>SUBTOTAL(3, $T$2:T369)</f>
        <v>293</v>
      </c>
      <c r="B369" s="38" t="s">
        <v>0</v>
      </c>
      <c r="C369" s="39" t="s">
        <v>1124</v>
      </c>
      <c r="D369" s="39" t="s">
        <v>1748</v>
      </c>
      <c r="E369" s="40" t="s">
        <v>4091</v>
      </c>
      <c r="F369" s="41" t="s">
        <v>1747</v>
      </c>
      <c r="G369" s="39" t="s">
        <v>1731</v>
      </c>
      <c r="H369" s="53" t="s">
        <v>4090</v>
      </c>
      <c r="I369" s="44" t="s">
        <v>1739</v>
      </c>
      <c r="J369" s="14" t="s">
        <v>1737</v>
      </c>
      <c r="K369" s="22" t="s">
        <v>2920</v>
      </c>
      <c r="L369" s="46">
        <v>44805</v>
      </c>
      <c r="M369" s="50" t="s">
        <v>199</v>
      </c>
      <c r="N369" s="45" t="s">
        <v>199</v>
      </c>
      <c r="O369" s="45" t="s">
        <v>199</v>
      </c>
      <c r="P369" s="45" t="s">
        <v>199</v>
      </c>
      <c r="Q369" s="45" t="s">
        <v>199</v>
      </c>
      <c r="R369" s="45" t="s">
        <v>199</v>
      </c>
      <c r="S369" s="45" t="s">
        <v>199</v>
      </c>
      <c r="T369" s="47" t="s">
        <v>4247</v>
      </c>
      <c r="U369" s="39" t="s">
        <v>3764</v>
      </c>
      <c r="V369" s="39" t="str">
        <f>CONCATENATE(U369, D369)</f>
        <v>https://example.websquare.kr/websquare/websquare.html?w2xPath=/guide/GridView/Sorting/hideSortIconOnNoData_GridView.xml</v>
      </c>
      <c r="W369" s="39" t="s">
        <v>4512</v>
      </c>
      <c r="X369" s="39" t="str">
        <f>CONCATENATE(W369, D369)</f>
        <v>https://docs.inswave.com/websquare/websquare.html?w2xPath=/support/api/guide/GridView/Sorting/hideSortIconOnNoData_GridView.xml</v>
      </c>
      <c r="Y369" s="48" t="str">
        <f>HYPERLINK(X369, H369)</f>
        <v>데이터가 없을 경우 정렬 아이콘 숨기기</v>
      </c>
      <c r="Z369" s="4" t="str">
        <f>HYPERLINK(V369,H369)</f>
        <v>데이터가 없을 경우 정렬 아이콘 숨기기</v>
      </c>
      <c r="AA369" s="4" t="str">
        <f>HYPERLINK(J369,H369)</f>
        <v>데이터가 없을 경우 정렬 아이콘 숨기기</v>
      </c>
      <c r="AB369" s="39" t="str">
        <f t="shared" si="9"/>
        <v>https://docs.inswave.com/websquare/websquare.html?w2xPath=/support/api/guide/GridView/Sorting/hideSortIconOnNoData_GridView.xml</v>
      </c>
      <c r="AC369" s="45"/>
      <c r="AD369" s="45"/>
    </row>
    <row r="370" spans="1:30" s="39" customFormat="1" ht="102" x14ac:dyDescent="0.45">
      <c r="A370" s="37">
        <f>SUBTOTAL(3, $T$2:T370)</f>
        <v>294</v>
      </c>
      <c r="B370" s="38" t="s">
        <v>1814</v>
      </c>
      <c r="C370" s="39" t="s">
        <v>1922</v>
      </c>
      <c r="D370" s="39" t="s">
        <v>1938</v>
      </c>
      <c r="E370" s="40" t="s">
        <v>1934</v>
      </c>
      <c r="F370" s="41" t="s">
        <v>1923</v>
      </c>
      <c r="G370" s="39" t="s">
        <v>1933</v>
      </c>
      <c r="H370" s="53" t="s">
        <v>4137</v>
      </c>
      <c r="I370" s="44" t="s">
        <v>1932</v>
      </c>
      <c r="J370" s="14" t="s">
        <v>1945</v>
      </c>
      <c r="K370" s="22" t="s">
        <v>2921</v>
      </c>
      <c r="L370" s="46">
        <v>44927</v>
      </c>
      <c r="M370" s="50" t="s">
        <v>199</v>
      </c>
      <c r="N370" s="45" t="s">
        <v>199</v>
      </c>
      <c r="O370" s="45" t="s">
        <v>199</v>
      </c>
      <c r="P370" s="45" t="s">
        <v>199</v>
      </c>
      <c r="Q370" s="45" t="s">
        <v>199</v>
      </c>
      <c r="R370" s="45" t="s">
        <v>199</v>
      </c>
      <c r="S370" s="45" t="s">
        <v>199</v>
      </c>
      <c r="T370" s="47" t="s">
        <v>4247</v>
      </c>
      <c r="U370" s="39" t="s">
        <v>3764</v>
      </c>
      <c r="V370" s="39" t="str">
        <f>CONCATENATE(U370, D370)</f>
        <v>https://example.websquare.kr/websquare/websquare.html?w2xPath=/guide/GridView/Sorting/setSortable_GridView.xml</v>
      </c>
      <c r="W370" s="39" t="s">
        <v>4512</v>
      </c>
      <c r="X370" s="39" t="str">
        <f>CONCATENATE(W370, D370)</f>
        <v>https://docs.inswave.com/websquare/websquare.html?w2xPath=/support/api/guide/GridView/Sorting/setSortable_GridView.xml</v>
      </c>
      <c r="Y370" s="48" t="str">
        <f>HYPERLINK(X370, H370)</f>
        <v>동적으로 정렬 기능 설정 및 해제</v>
      </c>
      <c r="Z370" s="4" t="str">
        <f>HYPERLINK(V370,H370)</f>
        <v>동적으로 정렬 기능 설정 및 해제</v>
      </c>
      <c r="AA370" s="4" t="str">
        <f>HYPERLINK(J370,H370)</f>
        <v>동적으로 정렬 기능 설정 및 해제</v>
      </c>
      <c r="AB370" s="39" t="str">
        <f t="shared" si="9"/>
        <v>https://docs.inswave.com/websquare/websquare.html?w2xPath=/support/api/guide/GridView/Sorting/setSortable_GridView.xml</v>
      </c>
      <c r="AC370" s="45"/>
      <c r="AD370" s="45"/>
    </row>
    <row r="371" spans="1:30" s="39" customFormat="1" ht="102" x14ac:dyDescent="0.45">
      <c r="A371" s="37">
        <f>SUBTOTAL(3, $T$2:T371)</f>
        <v>295</v>
      </c>
      <c r="B371" s="38" t="s">
        <v>0</v>
      </c>
      <c r="C371" s="39" t="s">
        <v>1124</v>
      </c>
      <c r="D371" s="39" t="s">
        <v>1324</v>
      </c>
      <c r="E371" s="40" t="s">
        <v>4139</v>
      </c>
      <c r="F371" s="41" t="s">
        <v>1323</v>
      </c>
      <c r="G371" s="44" t="s">
        <v>1312</v>
      </c>
      <c r="H371" s="53" t="s">
        <v>4138</v>
      </c>
      <c r="I371" s="44" t="s">
        <v>1289</v>
      </c>
      <c r="J371" s="4" t="s">
        <v>2396</v>
      </c>
      <c r="K371" s="22" t="s">
        <v>2922</v>
      </c>
      <c r="L371" s="46">
        <v>43770</v>
      </c>
      <c r="M371" s="45" t="s">
        <v>199</v>
      </c>
      <c r="N371" s="45" t="s">
        <v>199</v>
      </c>
      <c r="O371" s="45" t="s">
        <v>199</v>
      </c>
      <c r="P371" s="45"/>
      <c r="Q371" s="45" t="s">
        <v>199</v>
      </c>
      <c r="R371" s="45" t="s">
        <v>199</v>
      </c>
      <c r="S371" s="45" t="s">
        <v>199</v>
      </c>
      <c r="T371" s="47" t="s">
        <v>4247</v>
      </c>
      <c r="U371" s="39" t="s">
        <v>3764</v>
      </c>
      <c r="V371" s="39" t="str">
        <f>CONCATENATE(U371, D371)</f>
        <v>https://example.websquare.kr/websquare/websquare.html?w2xPath=/guide/GridView/Sorting/sortable_showSortableImage_GridView.xml</v>
      </c>
      <c r="W371" s="39" t="s">
        <v>4512</v>
      </c>
      <c r="X371" s="39" t="str">
        <f>CONCATENATE(W371, D371)</f>
        <v>https://docs.inswave.com/websquare/websquare.html?w2xPath=/support/api/guide/GridView/Sorting/sortable_showSortableImage_GridView.xml</v>
      </c>
      <c r="Y371" s="48" t="str">
        <f>HYPERLINK(X371, H371)</f>
        <v>정렬 기능 추가  및 정렬 아이콘 표시</v>
      </c>
      <c r="Z371" s="4" t="str">
        <f>HYPERLINK(V371,H371)</f>
        <v>정렬 기능 추가  및 정렬 아이콘 표시</v>
      </c>
      <c r="AA371" s="4" t="str">
        <f>HYPERLINK(J371,H371)</f>
        <v>정렬 기능 추가  및 정렬 아이콘 표시</v>
      </c>
      <c r="AB371" s="39" t="str">
        <f t="shared" si="9"/>
        <v>https://docs.inswave.com/websquare/websquare.html?w2xPath=/support/api/guide/GridView/Sorting/sortable_showSortableImage_GridView.xml</v>
      </c>
    </row>
    <row r="372" spans="1:30" s="39" customFormat="1" ht="102" x14ac:dyDescent="0.45">
      <c r="A372" s="37">
        <f>SUBTOTAL(3, $T$2:T372)</f>
        <v>296</v>
      </c>
      <c r="B372" s="38" t="s">
        <v>0</v>
      </c>
      <c r="C372" s="39" t="s">
        <v>1124</v>
      </c>
      <c r="D372" s="39" t="s">
        <v>3721</v>
      </c>
      <c r="E372" s="40" t="s">
        <v>212</v>
      </c>
      <c r="F372" s="41" t="s">
        <v>352</v>
      </c>
      <c r="G372" s="39" t="s">
        <v>91</v>
      </c>
      <c r="H372" s="53" t="s">
        <v>4132</v>
      </c>
      <c r="I372" s="39" t="s">
        <v>89</v>
      </c>
      <c r="J372" s="14" t="s">
        <v>353</v>
      </c>
      <c r="K372" s="22" t="s">
        <v>2919</v>
      </c>
      <c r="L372" s="46">
        <v>44378</v>
      </c>
      <c r="M372" s="14"/>
      <c r="N372" s="45" t="s">
        <v>199</v>
      </c>
      <c r="O372" s="45" t="s">
        <v>199</v>
      </c>
      <c r="P372" s="45" t="s">
        <v>199</v>
      </c>
      <c r="Q372" s="45" t="s">
        <v>199</v>
      </c>
      <c r="R372" s="45" t="s">
        <v>199</v>
      </c>
      <c r="S372" s="45" t="s">
        <v>199</v>
      </c>
      <c r="T372" s="47" t="s">
        <v>4247</v>
      </c>
      <c r="U372" s="39" t="s">
        <v>3764</v>
      </c>
      <c r="V372" s="39" t="str">
        <f>CONCATENATE(U372, D372)</f>
        <v>https://example.websquare.kr/websquare/websquare.html?w2xPath=/guide/GridView/Sorting/orderByColumn_gridView_column/orderByColumn_gridView_column.xml</v>
      </c>
      <c r="W372" s="39" t="s">
        <v>4512</v>
      </c>
      <c r="X372" s="39" t="str">
        <f>CONCATENATE(W372, D372)</f>
        <v>https://docs.inswave.com/websquare/websquare.html?w2xPath=/support/api/guide/GridView/Sorting/orderByColumn_gridView_column/orderByColumn_gridView_column.xml</v>
      </c>
      <c r="Y372" s="48" t="str">
        <f>HYPERLINK(X372, H372)</f>
        <v>정렬 기준 컬럼 지정</v>
      </c>
      <c r="Z372" s="4" t="str">
        <f>HYPERLINK(V372,H372)</f>
        <v>정렬 기준 컬럼 지정</v>
      </c>
      <c r="AA372" s="4" t="str">
        <f>HYPERLINK(J372,H372)</f>
        <v>정렬 기준 컬럼 지정</v>
      </c>
      <c r="AB372" s="39" t="str">
        <f t="shared" si="9"/>
        <v>https://docs.inswave.com/websquare/websquare.html?w2xPath=/support/api/guide/GridView/Sorting/orderByColumn_gridView_column/orderByColumn_gridView_column.xml</v>
      </c>
      <c r="AC372" s="45"/>
      <c r="AD372" s="45"/>
    </row>
    <row r="373" spans="1:30" s="39" customFormat="1" ht="102" x14ac:dyDescent="0.45">
      <c r="A373" s="37">
        <f>SUBTOTAL(3, $T$2:T373)</f>
        <v>297</v>
      </c>
      <c r="B373" s="38" t="s">
        <v>1814</v>
      </c>
      <c r="C373" s="39" t="s">
        <v>3273</v>
      </c>
      <c r="D373" s="39" t="s">
        <v>3757</v>
      </c>
      <c r="E373" s="40" t="s">
        <v>4185</v>
      </c>
      <c r="F373" s="41" t="s">
        <v>2590</v>
      </c>
      <c r="G373" s="39" t="s">
        <v>2591</v>
      </c>
      <c r="H373" s="53" t="s">
        <v>4189</v>
      </c>
      <c r="I373" s="44" t="s">
        <v>2592</v>
      </c>
      <c r="J373" s="14" t="s">
        <v>2596</v>
      </c>
      <c r="K373" s="22" t="s">
        <v>3277</v>
      </c>
      <c r="L373" s="46">
        <v>45292</v>
      </c>
      <c r="M373" s="60"/>
      <c r="N373" s="45" t="s">
        <v>199</v>
      </c>
      <c r="O373" s="45" t="s">
        <v>199</v>
      </c>
      <c r="P373" s="45" t="s">
        <v>199</v>
      </c>
      <c r="Q373" s="45" t="s">
        <v>199</v>
      </c>
      <c r="R373" s="45" t="s">
        <v>199</v>
      </c>
      <c r="S373" s="45" t="s">
        <v>199</v>
      </c>
      <c r="T373" s="47" t="s">
        <v>4247</v>
      </c>
      <c r="U373" s="39" t="s">
        <v>3764</v>
      </c>
      <c r="V373" s="39" t="str">
        <f>CONCATENATE(U373, D373)</f>
        <v>https://example.websquare.kr/websquare/websquare.html?w2xPath=/guide/GridView/Style/rowNumRowMouseOverColor_GridView.xml</v>
      </c>
      <c r="W373" s="39" t="s">
        <v>4512</v>
      </c>
      <c r="X373" s="39" t="str">
        <f>CONCATENATE(W373, D373)</f>
        <v>https://docs.inswave.com/websquare/websquare.html?w2xPath=/support/api/guide/GridView/Style/rowNumRowMouseOverColor_GridView.xml</v>
      </c>
      <c r="Y373" s="48" t="str">
        <f>HYPERLINK(X373, H373)</f>
        <v>마우스-오버 시 행 번호 컬럼도 지정한 배경색으로 표시</v>
      </c>
      <c r="Z373" s="4" t="str">
        <f>HYPERLINK(V373,H373)</f>
        <v>마우스-오버 시 행 번호 컬럼도 지정한 배경색으로 표시</v>
      </c>
      <c r="AA373" s="4" t="str">
        <f>HYPERLINK(J373,H373)</f>
        <v>마우스-오버 시 행 번호 컬럼도 지정한 배경색으로 표시</v>
      </c>
      <c r="AB373" s="39" t="str">
        <f t="shared" si="9"/>
        <v>https://docs.inswave.com/websquare/websquare.html?w2xPath=/support/api/guide/GridView/Style/rowNumRowMouseOverColor_GridView.xml</v>
      </c>
    </row>
    <row r="374" spans="1:30" s="39" customFormat="1" ht="102" x14ac:dyDescent="0.45">
      <c r="A374" s="37">
        <f>SUBTOTAL(3, $T$2:T374)</f>
        <v>298</v>
      </c>
      <c r="B374" s="38" t="s">
        <v>1814</v>
      </c>
      <c r="C374" s="39" t="s">
        <v>3273</v>
      </c>
      <c r="D374" s="39" t="s">
        <v>3749</v>
      </c>
      <c r="E374" s="41" t="s">
        <v>3344</v>
      </c>
      <c r="F374" s="41" t="s">
        <v>3343</v>
      </c>
      <c r="G374" s="39" t="s">
        <v>3352</v>
      </c>
      <c r="H374" s="53" t="s">
        <v>4184</v>
      </c>
      <c r="I374" s="44" t="s">
        <v>3350</v>
      </c>
      <c r="J374" s="14" t="s">
        <v>3353</v>
      </c>
      <c r="K374" s="23" t="s">
        <v>3351</v>
      </c>
      <c r="L374" s="46">
        <v>45597</v>
      </c>
      <c r="M374" s="45" t="s">
        <v>200</v>
      </c>
      <c r="N374" s="45"/>
      <c r="O374" s="45"/>
      <c r="P374" s="45"/>
      <c r="Q374" s="45"/>
      <c r="R374" s="45"/>
      <c r="S374" s="45"/>
      <c r="T374" s="47" t="s">
        <v>4247</v>
      </c>
      <c r="U374" s="39" t="s">
        <v>3764</v>
      </c>
      <c r="V374" s="39" t="str">
        <f>CONCATENATE(U374, D374)</f>
        <v>https://example.websquare.kr/websquare/websquare.html?w2xPath=/guide/GridView/Style/rowMouseOver_rowMouseOverColor_GridView.xml</v>
      </c>
      <c r="W374" s="39" t="s">
        <v>4512</v>
      </c>
      <c r="X374" s="39" t="str">
        <f>CONCATENATE(W374, D374)</f>
        <v>https://docs.inswave.com/websquare/websquare.html?w2xPath=/support/api/guide/GridView/Style/rowMouseOver_rowMouseOverColor_GridView.xml</v>
      </c>
      <c r="Y374" s="48" t="str">
        <f>HYPERLINK(X374, H374)</f>
        <v>마우스-오버된 행에 적용할 배경색 설정</v>
      </c>
      <c r="Z374" s="4" t="str">
        <f>HYPERLINK(V374,H374)</f>
        <v>마우스-오버된 행에 적용할 배경색 설정</v>
      </c>
      <c r="AA374" s="4" t="str">
        <f>HYPERLINK(J374,H374)</f>
        <v>마우스-오버된 행에 적용할 배경색 설정</v>
      </c>
      <c r="AB374" s="39" t="str">
        <f t="shared" si="9"/>
        <v>https://docs.inswave.com/websquare/websquare.html?w2xPath=/support/api/guide/GridView/Style/rowMouseOver_rowMouseOverColor_GridView.xml</v>
      </c>
    </row>
    <row r="375" spans="1:30" s="39" customFormat="1" ht="102" x14ac:dyDescent="0.45">
      <c r="A375" s="37">
        <f>SUBTOTAL(3, $T$2:T375)</f>
        <v>299</v>
      </c>
      <c r="B375" s="38" t="s">
        <v>1814</v>
      </c>
      <c r="C375" s="39" t="s">
        <v>3273</v>
      </c>
      <c r="D375" s="39" t="s">
        <v>3271</v>
      </c>
      <c r="E375" s="40" t="s">
        <v>3262</v>
      </c>
      <c r="F375" s="41" t="s">
        <v>3261</v>
      </c>
      <c r="G375" s="39" t="s">
        <v>3269</v>
      </c>
      <c r="H375" s="58" t="s">
        <v>4442</v>
      </c>
      <c r="I375" s="39" t="s">
        <v>3263</v>
      </c>
      <c r="J375" s="14" t="s">
        <v>3274</v>
      </c>
      <c r="K375" s="23" t="s">
        <v>3270</v>
      </c>
      <c r="L375" s="46">
        <v>45505</v>
      </c>
      <c r="M375" s="45"/>
      <c r="N375" s="45"/>
      <c r="O375" s="45"/>
      <c r="P375" s="45"/>
      <c r="Q375" s="45" t="s">
        <v>199</v>
      </c>
      <c r="R375" s="45" t="s">
        <v>199</v>
      </c>
      <c r="S375" s="45" t="s">
        <v>199</v>
      </c>
      <c r="T375" s="47" t="s">
        <v>4247</v>
      </c>
      <c r="U375" s="39" t="s">
        <v>3764</v>
      </c>
      <c r="V375" s="39" t="str">
        <f>CONCATENATE(U375, D375)</f>
        <v>https://example.websquare.kr/websquare/websquare.html?w2xPath=/guide/GridView/Style/rowMouseOverClass_GridView.xml</v>
      </c>
      <c r="W375" s="39" t="s">
        <v>4512</v>
      </c>
      <c r="X375" s="39" t="str">
        <f>CONCATENATE(W375, D375)</f>
        <v>https://docs.inswave.com/websquare/websquare.html?w2xPath=/support/api/guide/GridView/Style/rowMouseOverClass_GridView.xml</v>
      </c>
      <c r="Y375" s="48" t="str">
        <f>HYPERLINK(X375, H375)</f>
        <v>마우스-오버된 행에 적용할 스타일 설정</v>
      </c>
      <c r="Z375" s="4" t="str">
        <f>HYPERLINK(V375,H375)</f>
        <v>마우스-오버된 행에 적용할 스타일 설정</v>
      </c>
      <c r="AA375" s="4" t="str">
        <f>HYPERLINK(J375,H375)</f>
        <v>마우스-오버된 행에 적용할 스타일 설정</v>
      </c>
      <c r="AB375" s="39" t="str">
        <f t="shared" si="9"/>
        <v>https://docs.inswave.com/websquare/websquare.html?w2xPath=/support/api/guide/GridView/Style/rowMouseOverClass_GridView.xml</v>
      </c>
    </row>
    <row r="376" spans="1:30" s="39" customFormat="1" ht="102" x14ac:dyDescent="0.45">
      <c r="A376" s="37">
        <f>SUBTOTAL(3, $T$2:T376)</f>
        <v>300</v>
      </c>
      <c r="B376" s="38" t="s">
        <v>0</v>
      </c>
      <c r="C376" s="39" t="s">
        <v>3273</v>
      </c>
      <c r="D376" s="39" t="s">
        <v>3751</v>
      </c>
      <c r="E376" s="44" t="s">
        <v>1825</v>
      </c>
      <c r="F376" s="63" t="s">
        <v>2180</v>
      </c>
      <c r="G376" s="44" t="s">
        <v>1833</v>
      </c>
      <c r="H376" s="53" t="s">
        <v>4168</v>
      </c>
      <c r="I376" s="44" t="s">
        <v>1811</v>
      </c>
      <c r="J376" s="14" t="s">
        <v>1832</v>
      </c>
      <c r="K376" s="22" t="s">
        <v>3279</v>
      </c>
      <c r="L376" s="46">
        <v>44835</v>
      </c>
      <c r="M376" s="45" t="s">
        <v>200</v>
      </c>
      <c r="N376" s="45" t="s">
        <v>199</v>
      </c>
      <c r="O376" s="45" t="s">
        <v>199</v>
      </c>
      <c r="P376" s="45" t="s">
        <v>199</v>
      </c>
      <c r="Q376" s="45" t="s">
        <v>199</v>
      </c>
      <c r="R376" s="45" t="s">
        <v>199</v>
      </c>
      <c r="S376" s="45" t="s">
        <v>199</v>
      </c>
      <c r="T376" s="47" t="s">
        <v>4247</v>
      </c>
      <c r="U376" s="39" t="s">
        <v>3764</v>
      </c>
      <c r="V376" s="39" t="str">
        <f>CONCATENATE(U376, D376)</f>
        <v>https://example.websquare.kr/websquare/websquare.html?w2xPath=/guide/GridView/Style/setCellBackgroundColor_GridView.xml</v>
      </c>
      <c r="W376" s="39" t="s">
        <v>4512</v>
      </c>
      <c r="X376" s="39" t="str">
        <f>CONCATENATE(W376, D376)</f>
        <v>https://docs.inswave.com/websquare/websquare.html?w2xPath=/support/api/guide/GridView/Style/setCellBackgroundColor_GridView.xml</v>
      </c>
      <c r="Y376" s="48" t="str">
        <f>HYPERLINK(X376, H376)</f>
        <v>셀 배경색 지정</v>
      </c>
      <c r="Z376" s="4" t="str">
        <f>HYPERLINK(V376,H376)</f>
        <v>셀 배경색 지정</v>
      </c>
      <c r="AA376" s="4" t="str">
        <f>HYPERLINK(J376,H376)</f>
        <v>셀 배경색 지정</v>
      </c>
      <c r="AB376" s="39" t="str">
        <f t="shared" si="9"/>
        <v>https://docs.inswave.com/websquare/websquare.html?w2xPath=/support/api/guide/GridView/Style/setCellBackgroundColor_GridView.xml</v>
      </c>
    </row>
    <row r="377" spans="1:30" s="39" customFormat="1" ht="102" x14ac:dyDescent="0.45">
      <c r="A377" s="37">
        <f>SUBTOTAL(3, $T$2:T377)</f>
        <v>301</v>
      </c>
      <c r="B377" s="38" t="s">
        <v>0</v>
      </c>
      <c r="C377" s="39" t="s">
        <v>3273</v>
      </c>
      <c r="D377" s="39" t="s">
        <v>3754</v>
      </c>
      <c r="E377" s="40" t="s">
        <v>1699</v>
      </c>
      <c r="F377" s="41" t="s">
        <v>1886</v>
      </c>
      <c r="G377" s="44" t="s">
        <v>1692</v>
      </c>
      <c r="H377" s="53" t="s">
        <v>4167</v>
      </c>
      <c r="I377" s="39" t="s">
        <v>1667</v>
      </c>
      <c r="J377" s="14" t="s">
        <v>1702</v>
      </c>
      <c r="K377" s="22" t="s">
        <v>3280</v>
      </c>
      <c r="L377" s="46">
        <v>44774</v>
      </c>
      <c r="M377" s="14"/>
      <c r="N377" s="45" t="s">
        <v>199</v>
      </c>
      <c r="O377" s="45" t="s">
        <v>199</v>
      </c>
      <c r="P377" s="45" t="s">
        <v>199</v>
      </c>
      <c r="Q377" s="45" t="s">
        <v>199</v>
      </c>
      <c r="R377" s="45" t="s">
        <v>199</v>
      </c>
      <c r="S377" s="45" t="s">
        <v>199</v>
      </c>
      <c r="T377" s="47" t="s">
        <v>4247</v>
      </c>
      <c r="U377" s="39" t="s">
        <v>3764</v>
      </c>
      <c r="V377" s="39" t="str">
        <f>CONCATENATE(U377, D377)</f>
        <v>https://example.websquare.kr/websquare/websquare.html?w2xPath=/guide/GridView/Style/setCellClass_GridView.xml</v>
      </c>
      <c r="W377" s="39" t="s">
        <v>4512</v>
      </c>
      <c r="X377" s="39" t="str">
        <f>CONCATENATE(W377, D377)</f>
        <v>https://docs.inswave.com/websquare/websquare.html?w2xPath=/support/api/guide/GridView/Style/setCellClass_GridView.xml</v>
      </c>
      <c r="Y377" s="48" t="str">
        <f>HYPERLINK(X377, H377)</f>
        <v>특정 셀에 CSS 클래스 적용</v>
      </c>
      <c r="Z377" s="4" t="str">
        <f>HYPERLINK(V377,H377)</f>
        <v>특정 셀에 CSS 클래스 적용</v>
      </c>
      <c r="AA377" s="4" t="str">
        <f>HYPERLINK(J377,H377)</f>
        <v>특정 셀에 CSS 클래스 적용</v>
      </c>
      <c r="AB377" s="39" t="str">
        <f t="shared" si="9"/>
        <v>https://docs.inswave.com/websquare/websquare.html?w2xPath=/support/api/guide/GridView/Style/setCellClass_GridView.xml</v>
      </c>
    </row>
    <row r="378" spans="1:30" s="39" customFormat="1" ht="102" x14ac:dyDescent="0.45">
      <c r="A378" s="37">
        <f>SUBTOTAL(3, $T$2:T378)</f>
        <v>302</v>
      </c>
      <c r="B378" s="51" t="s">
        <v>1814</v>
      </c>
      <c r="C378" s="39" t="s">
        <v>3273</v>
      </c>
      <c r="D378" s="39" t="s">
        <v>3753</v>
      </c>
      <c r="E378" s="40" t="s">
        <v>2296</v>
      </c>
      <c r="F378" s="41" t="s">
        <v>2294</v>
      </c>
      <c r="G378" s="39" t="s">
        <v>2300</v>
      </c>
      <c r="H378" s="53" t="s">
        <v>4166</v>
      </c>
      <c r="I378" s="44" t="s">
        <v>2298</v>
      </c>
      <c r="J378" s="14" t="s">
        <v>2307</v>
      </c>
      <c r="K378" s="22" t="s">
        <v>3282</v>
      </c>
      <c r="L378" s="46">
        <v>45108</v>
      </c>
      <c r="M378" s="50" t="s">
        <v>199</v>
      </c>
      <c r="N378" s="45" t="s">
        <v>199</v>
      </c>
      <c r="O378" s="45" t="s">
        <v>199</v>
      </c>
      <c r="P378" s="45" t="s">
        <v>199</v>
      </c>
      <c r="Q378" s="45" t="s">
        <v>199</v>
      </c>
      <c r="R378" s="45" t="s">
        <v>199</v>
      </c>
      <c r="S378" s="45" t="s">
        <v>199</v>
      </c>
      <c r="T378" s="47" t="s">
        <v>4247</v>
      </c>
      <c r="U378" s="39" t="s">
        <v>3764</v>
      </c>
      <c r="V378" s="39" t="str">
        <f>CONCATENATE(U378, D378)</f>
        <v>https://example.websquare.kr/websquare/websquare.html?w2xPath=/guide/GridView/Style/setCellStyle_GridView.xml</v>
      </c>
      <c r="W378" s="39" t="s">
        <v>4512</v>
      </c>
      <c r="X378" s="39" t="str">
        <f>CONCATENATE(W378, D378)</f>
        <v>https://docs.inswave.com/websquare/websquare.html?w2xPath=/support/api/guide/GridView/Style/setCellStyle_GridView.xml</v>
      </c>
      <c r="Y378" s="48" t="str">
        <f>HYPERLINK(X378, H378)</f>
        <v>특정 셀에 스타일 직접 적용</v>
      </c>
      <c r="Z378" s="4" t="str">
        <f>HYPERLINK(V378,H378)</f>
        <v>특정 셀에 스타일 직접 적용</v>
      </c>
      <c r="AA378" s="4" t="str">
        <f>HYPERLINK(J378,H378)</f>
        <v>특정 셀에 스타일 직접 적용</v>
      </c>
      <c r="AB378" s="39" t="str">
        <f t="shared" si="9"/>
        <v>https://docs.inswave.com/websquare/websquare.html?w2xPath=/support/api/guide/GridView/Style/setCellStyle_GridView.xml</v>
      </c>
    </row>
    <row r="379" spans="1:30" s="39" customFormat="1" ht="102" x14ac:dyDescent="0.45">
      <c r="A379" s="37">
        <f>SUBTOTAL(3, $T$2:T379)</f>
        <v>303</v>
      </c>
      <c r="B379" s="38" t="s">
        <v>1814</v>
      </c>
      <c r="C379" s="39" t="s">
        <v>3273</v>
      </c>
      <c r="D379" s="39" t="s">
        <v>3752</v>
      </c>
      <c r="E379" s="40" t="s">
        <v>2400</v>
      </c>
      <c r="F379" s="41" t="s">
        <v>2414</v>
      </c>
      <c r="G379" s="44" t="s">
        <v>2426</v>
      </c>
      <c r="H379" s="53" t="s">
        <v>4183</v>
      </c>
      <c r="I379" s="40" t="s">
        <v>2445</v>
      </c>
      <c r="J379" s="14" t="s">
        <v>2449</v>
      </c>
      <c r="K379" s="22" t="s">
        <v>3281</v>
      </c>
      <c r="L379" s="46">
        <v>45200</v>
      </c>
      <c r="M379" s="45" t="s">
        <v>199</v>
      </c>
      <c r="N379" s="45" t="s">
        <v>199</v>
      </c>
      <c r="O379" s="45" t="s">
        <v>199</v>
      </c>
      <c r="P379" s="45"/>
      <c r="Q379" s="45" t="s">
        <v>199</v>
      </c>
      <c r="R379" s="45" t="s">
        <v>199</v>
      </c>
      <c r="S379" s="45" t="s">
        <v>199</v>
      </c>
      <c r="T379" s="47" t="s">
        <v>4247</v>
      </c>
      <c r="U379" s="39" t="s">
        <v>3764</v>
      </c>
      <c r="V379" s="39" t="str">
        <f>CONCATENATE(U379, D379)</f>
        <v>https://example.websquare.kr/websquare/websquare.html?w2xPath=/guide/GridView/Style/setCellColor_getCellColor_GridView.xml</v>
      </c>
      <c r="W379" s="39" t="s">
        <v>4512</v>
      </c>
      <c r="X379" s="39" t="str">
        <f>CONCATENATE(W379, D379)</f>
        <v>https://docs.inswave.com/websquare/websquare.html?w2xPath=/support/api/guide/GridView/Style/setCellColor_getCellColor_GridView.xml</v>
      </c>
      <c r="Y379" s="48" t="str">
        <f>HYPERLINK(X379, H379)</f>
        <v>특정 셀의 글자색 설정 및 확인</v>
      </c>
      <c r="Z379" s="4" t="str">
        <f>HYPERLINK(V379,H379)</f>
        <v>특정 셀의 글자색 설정 및 확인</v>
      </c>
      <c r="AA379" s="4" t="str">
        <f>HYPERLINK(J379,H379)</f>
        <v>특정 셀의 글자색 설정 및 확인</v>
      </c>
      <c r="AB379" s="39" t="str">
        <f t="shared" si="9"/>
        <v>https://docs.inswave.com/websquare/websquare.html?w2xPath=/support/api/guide/GridView/Style/setCellColor_getCellColor_GridView.xml</v>
      </c>
    </row>
    <row r="380" spans="1:30" s="39" customFormat="1" ht="102" x14ac:dyDescent="0.45">
      <c r="A380" s="37">
        <f>SUBTOTAL(3, $T$2:T380)</f>
        <v>304</v>
      </c>
      <c r="B380" s="38" t="s">
        <v>1814</v>
      </c>
      <c r="C380" s="39" t="s">
        <v>3273</v>
      </c>
      <c r="D380" s="39" t="s">
        <v>3744</v>
      </c>
      <c r="E380" s="40" t="s">
        <v>2399</v>
      </c>
      <c r="F380" s="41" t="s">
        <v>2413</v>
      </c>
      <c r="G380" s="44" t="s">
        <v>2425</v>
      </c>
      <c r="H380" s="53" t="s">
        <v>4182</v>
      </c>
      <c r="I380" s="40" t="s">
        <v>2444</v>
      </c>
      <c r="J380" s="14" t="s">
        <v>2448</v>
      </c>
      <c r="K380" s="22" t="s">
        <v>3284</v>
      </c>
      <c r="L380" s="46">
        <v>45200</v>
      </c>
      <c r="M380" s="45" t="s">
        <v>199</v>
      </c>
      <c r="N380" s="45" t="s">
        <v>199</v>
      </c>
      <c r="O380" s="45" t="s">
        <v>199</v>
      </c>
      <c r="P380" s="45"/>
      <c r="Q380" s="45" t="s">
        <v>199</v>
      </c>
      <c r="R380" s="45" t="s">
        <v>199</v>
      </c>
      <c r="S380" s="45" t="s">
        <v>199</v>
      </c>
      <c r="T380" s="47" t="s">
        <v>4247</v>
      </c>
      <c r="U380" s="39" t="s">
        <v>3764</v>
      </c>
      <c r="V380" s="39" t="str">
        <f>CONCATENATE(U380, D380)</f>
        <v>https://example.websquare.kr/websquare/websquare.html?w2xPath=/guide/GridView/Style/setColumnColor_getColumnColor_GridView.xml</v>
      </c>
      <c r="W380" s="39" t="s">
        <v>4512</v>
      </c>
      <c r="X380" s="39" t="str">
        <f>CONCATENATE(W380, D380)</f>
        <v>https://docs.inswave.com/websquare/websquare.html?w2xPath=/support/api/guide/GridView/Style/setColumnColor_getColumnColor_GridView.xml</v>
      </c>
      <c r="Y380" s="48" t="str">
        <f>HYPERLINK(X380, H380)</f>
        <v>특정 컬럼의 글자색 설정 및 확인</v>
      </c>
      <c r="Z380" s="4" t="str">
        <f>HYPERLINK(V380,H380)</f>
        <v>특정 컬럼의 글자색 설정 및 확인</v>
      </c>
      <c r="AA380" s="4" t="str">
        <f>HYPERLINK(J380,H380)</f>
        <v>특정 컬럼의 글자색 설정 및 확인</v>
      </c>
      <c r="AB380" s="39" t="str">
        <f t="shared" si="9"/>
        <v>https://docs.inswave.com/websquare/websquare.html?w2xPath=/support/api/guide/GridView/Style/setColumnColor_getColumnColor_GridView.xml</v>
      </c>
    </row>
    <row r="381" spans="1:30" s="39" customFormat="1" ht="102" x14ac:dyDescent="0.45">
      <c r="A381" s="37">
        <f>SUBTOTAL(3, $T$2:T381)</f>
        <v>305</v>
      </c>
      <c r="B381" s="38" t="s">
        <v>1814</v>
      </c>
      <c r="C381" s="39" t="s">
        <v>3273</v>
      </c>
      <c r="D381" s="39" t="s">
        <v>3743</v>
      </c>
      <c r="E381" s="40" t="s">
        <v>2398</v>
      </c>
      <c r="F381" s="41" t="s">
        <v>2412</v>
      </c>
      <c r="G381" s="44" t="s">
        <v>2401</v>
      </c>
      <c r="H381" s="53" t="s">
        <v>4181</v>
      </c>
      <c r="I381" s="40" t="s">
        <v>2443</v>
      </c>
      <c r="J381" s="14" t="s">
        <v>2447</v>
      </c>
      <c r="K381" s="22" t="s">
        <v>3283</v>
      </c>
      <c r="L381" s="46">
        <v>45200</v>
      </c>
      <c r="M381" s="45" t="s">
        <v>199</v>
      </c>
      <c r="N381" s="45" t="s">
        <v>199</v>
      </c>
      <c r="O381" s="45" t="s">
        <v>199</v>
      </c>
      <c r="P381" s="45"/>
      <c r="Q381" s="45" t="s">
        <v>199</v>
      </c>
      <c r="R381" s="45" t="s">
        <v>199</v>
      </c>
      <c r="S381" s="45" t="s">
        <v>199</v>
      </c>
      <c r="T381" s="47" t="s">
        <v>4247</v>
      </c>
      <c r="U381" s="39" t="s">
        <v>3764</v>
      </c>
      <c r="V381" s="39" t="str">
        <f>CONCATENATE(U381, D381)</f>
        <v>https://example.websquare.kr/websquare/websquare.html?w2xPath=/guide/GridView/Style/setColumnBackgroundColor_getColumnBackgroundColor_GridView.xml</v>
      </c>
      <c r="W381" s="39" t="s">
        <v>4512</v>
      </c>
      <c r="X381" s="39" t="str">
        <f>CONCATENATE(W381, D381)</f>
        <v>https://docs.inswave.com/websquare/websquare.html?w2xPath=/support/api/guide/GridView/Style/setColumnBackgroundColor_getColumnBackgroundColor_GridView.xml</v>
      </c>
      <c r="Y381" s="48" t="str">
        <f>HYPERLINK(X381, H381)</f>
        <v>특정 컬럼의 배경색 설정 및 확인</v>
      </c>
      <c r="Z381" s="4" t="str">
        <f>HYPERLINK(V381,H381)</f>
        <v>특정 컬럼의 배경색 설정 및 확인</v>
      </c>
      <c r="AA381" s="4" t="str">
        <f>HYPERLINK(J381,H381)</f>
        <v>특정 컬럼의 배경색 설정 및 확인</v>
      </c>
      <c r="AB381" s="39" t="str">
        <f t="shared" si="9"/>
        <v>https://docs.inswave.com/websquare/websquare.html?w2xPath=/support/api/guide/GridView/Style/setColumnBackgroundColor_getColumnBackgroundColor_GridView.xml</v>
      </c>
    </row>
    <row r="382" spans="1:30" s="39" customFormat="1" ht="102" x14ac:dyDescent="0.45">
      <c r="A382" s="37">
        <f>SUBTOTAL(3, $T$2:T382)</f>
        <v>306</v>
      </c>
      <c r="B382" s="51" t="s">
        <v>1814</v>
      </c>
      <c r="C382" s="39" t="s">
        <v>3745</v>
      </c>
      <c r="D382" s="39" t="s">
        <v>3746</v>
      </c>
      <c r="E382" s="40" t="s">
        <v>2295</v>
      </c>
      <c r="F382" s="41" t="s">
        <v>2293</v>
      </c>
      <c r="G382" s="39" t="s">
        <v>2299</v>
      </c>
      <c r="H382" s="53" t="s">
        <v>4170</v>
      </c>
      <c r="I382" s="44" t="s">
        <v>2297</v>
      </c>
      <c r="J382" s="14" t="s">
        <v>2306</v>
      </c>
      <c r="K382" s="22" t="s">
        <v>3285</v>
      </c>
      <c r="L382" s="46">
        <v>45108</v>
      </c>
      <c r="M382" s="50" t="s">
        <v>199</v>
      </c>
      <c r="N382" s="45" t="s">
        <v>199</v>
      </c>
      <c r="O382" s="45" t="s">
        <v>199</v>
      </c>
      <c r="P382" s="45" t="s">
        <v>199</v>
      </c>
      <c r="Q382" s="45" t="s">
        <v>199</v>
      </c>
      <c r="R382" s="45" t="s">
        <v>199</v>
      </c>
      <c r="S382" s="45" t="s">
        <v>199</v>
      </c>
      <c r="T382" s="47" t="s">
        <v>4247</v>
      </c>
      <c r="U382" s="39" t="s">
        <v>3764</v>
      </c>
      <c r="V382" s="39" t="str">
        <f>CONCATENATE(U382, D382)</f>
        <v>https://example.websquare.kr/websquare/websquare.html?w2xPath=/guide/GridView/Style/setColumnStyle_GridView.xml</v>
      </c>
      <c r="W382" s="39" t="s">
        <v>4512</v>
      </c>
      <c r="X382" s="39" t="str">
        <f>CONCATENATE(W382, D382)</f>
        <v>https://docs.inswave.com/websquare/websquare.html?w2xPath=/support/api/guide/GridView/Style/setColumnStyle_GridView.xml</v>
      </c>
      <c r="Y382" s="48" t="str">
        <f>HYPERLINK(X382, H382)</f>
        <v>특정 컬럼의 스타일 설정</v>
      </c>
      <c r="Z382" s="4" t="str">
        <f>HYPERLINK(V382,H382)</f>
        <v>특정 컬럼의 스타일 설정</v>
      </c>
      <c r="AA382" s="4" t="str">
        <f>HYPERLINK(J382,H382)</f>
        <v>특정 컬럼의 스타일 설정</v>
      </c>
      <c r="AB382" s="39" t="str">
        <f t="shared" si="9"/>
        <v>https://docs.inswave.com/websquare/websquare.html?w2xPath=/support/api/guide/GridView/Style/setColumnStyle_GridView.xml</v>
      </c>
    </row>
    <row r="383" spans="1:30" s="39" customFormat="1" ht="102" hidden="1" x14ac:dyDescent="0.45">
      <c r="A383" s="37">
        <f>SUBTOTAL(3, $T$2:T383)</f>
        <v>306</v>
      </c>
      <c r="B383" s="38" t="s">
        <v>2083</v>
      </c>
      <c r="C383" s="39" t="s">
        <v>2083</v>
      </c>
      <c r="D383" s="39" t="s">
        <v>2202</v>
      </c>
      <c r="E383" s="40" t="s">
        <v>2107</v>
      </c>
      <c r="F383" s="41" t="s">
        <v>2189</v>
      </c>
      <c r="G383" s="44" t="s">
        <v>2199</v>
      </c>
      <c r="H383" s="52" t="s">
        <v>3620</v>
      </c>
      <c r="I383" s="44" t="s">
        <v>2190</v>
      </c>
      <c r="J383" s="14" t="s">
        <v>2203</v>
      </c>
      <c r="K383" s="22" t="s">
        <v>2998</v>
      </c>
      <c r="L383" s="46">
        <v>45047</v>
      </c>
      <c r="M383" s="14"/>
      <c r="N383" s="45" t="s">
        <v>199</v>
      </c>
      <c r="O383" s="45" t="s">
        <v>199</v>
      </c>
      <c r="P383" s="45" t="s">
        <v>199</v>
      </c>
      <c r="Q383" s="45" t="s">
        <v>199</v>
      </c>
      <c r="R383" s="45" t="s">
        <v>199</v>
      </c>
      <c r="S383" s="45" t="s">
        <v>199</v>
      </c>
      <c r="T383" s="47" t="s">
        <v>4515</v>
      </c>
      <c r="U383" s="39" t="s">
        <v>3764</v>
      </c>
      <c r="V383" s="39" t="str">
        <f>CONCATENATE(U383, D383)</f>
        <v>https://example.websquare.kr/websquare/websquare.html?w2xPath=/guide/ScheduleCalendar/viewIcon_ScheduleCalendar.xml</v>
      </c>
      <c r="W383" s="39" t="s">
        <v>4220</v>
      </c>
      <c r="X383" s="39" t="str">
        <f>CONCATENATE(W383, D383)</f>
        <v>https://docs.inswave.com/websquare/websquare.html?w2xPath=/support/api/samples/ScheduleCalendar/viewIcon_ScheduleCalendar.xml</v>
      </c>
      <c r="Y383" s="48"/>
      <c r="Z383" s="4"/>
      <c r="AA383" s="4" t="str">
        <f>HYPERLINK(J383,H383)</f>
        <v>스케줄 아이콘 지정</v>
      </c>
      <c r="AB383" s="39" t="str">
        <f t="shared" ref="AB383:AB446" si="10">CONCATENATE(W383, D383)</f>
        <v>https://docs.inswave.com/websquare/websquare.html?w2xPath=/support/api/samples/ScheduleCalendar/viewIcon_ScheduleCalendar.xml</v>
      </c>
    </row>
    <row r="384" spans="1:30" s="39" customFormat="1" ht="102" hidden="1" x14ac:dyDescent="0.45">
      <c r="A384" s="37">
        <f>SUBTOTAL(3, $T$2:T384)</f>
        <v>306</v>
      </c>
      <c r="B384" s="38" t="s">
        <v>2083</v>
      </c>
      <c r="C384" s="39" t="s">
        <v>2083</v>
      </c>
      <c r="D384" s="39" t="s">
        <v>2200</v>
      </c>
      <c r="E384" s="40" t="s">
        <v>2192</v>
      </c>
      <c r="F384" s="41" t="s">
        <v>2191</v>
      </c>
      <c r="G384" s="39" t="s">
        <v>2197</v>
      </c>
      <c r="H384" s="52" t="s">
        <v>3621</v>
      </c>
      <c r="I384" s="44" t="s">
        <v>2193</v>
      </c>
      <c r="J384" s="14" t="s">
        <v>2204</v>
      </c>
      <c r="K384" s="22" t="s">
        <v>2994</v>
      </c>
      <c r="L384" s="46">
        <v>45047</v>
      </c>
      <c r="M384" s="14"/>
      <c r="N384" s="45" t="s">
        <v>199</v>
      </c>
      <c r="O384" s="45" t="s">
        <v>199</v>
      </c>
      <c r="P384" s="45" t="s">
        <v>199</v>
      </c>
      <c r="Q384" s="45" t="s">
        <v>199</v>
      </c>
      <c r="R384" s="45" t="s">
        <v>199</v>
      </c>
      <c r="S384" s="45" t="s">
        <v>199</v>
      </c>
      <c r="T384" s="47" t="s">
        <v>4515</v>
      </c>
      <c r="U384" s="39" t="s">
        <v>3764</v>
      </c>
      <c r="V384" s="39" t="str">
        <f>CONCATENATE(U384, D384)</f>
        <v>https://example.websquare.kr/websquare/websquare.html?w2xPath=/guide/ScheduleCalendar/lang_ScheduleCalendar.xml</v>
      </c>
      <c r="W384" s="39" t="s">
        <v>4220</v>
      </c>
      <c r="X384" s="39" t="str">
        <f>CONCATENATE(W384, D384)</f>
        <v>https://docs.inswave.com/websquare/websquare.html?w2xPath=/support/api/samples/ScheduleCalendar/lang_ScheduleCalendar.xml</v>
      </c>
      <c r="Y384" s="48"/>
      <c r="Z384" s="4"/>
      <c r="AA384" s="4" t="str">
        <f>HYPERLINK(J384,H384)</f>
        <v>스케줄 언어 설정</v>
      </c>
      <c r="AB384" s="39" t="str">
        <f t="shared" si="10"/>
        <v>https://docs.inswave.com/websquare/websquare.html?w2xPath=/support/api/samples/ScheduleCalendar/lang_ScheduleCalendar.xml</v>
      </c>
    </row>
    <row r="385" spans="1:28" s="39" customFormat="1" ht="102" x14ac:dyDescent="0.45">
      <c r="A385" s="37">
        <f>SUBTOTAL(3, $T$2:T385)</f>
        <v>307</v>
      </c>
      <c r="B385" s="51" t="s">
        <v>1814</v>
      </c>
      <c r="C385" s="39" t="s">
        <v>3745</v>
      </c>
      <c r="D385" s="39" t="s">
        <v>4176</v>
      </c>
      <c r="E385" s="40" t="s">
        <v>4177</v>
      </c>
      <c r="F385" s="41" t="s">
        <v>4178</v>
      </c>
      <c r="G385" s="39" t="s">
        <v>2299</v>
      </c>
      <c r="H385" s="53" t="s">
        <v>4179</v>
      </c>
      <c r="I385" s="44"/>
      <c r="J385" s="45" t="s">
        <v>2304</v>
      </c>
      <c r="K385" s="22"/>
      <c r="L385" s="46">
        <v>45108</v>
      </c>
      <c r="M385" s="50"/>
      <c r="N385" s="45"/>
      <c r="O385" s="45"/>
      <c r="P385" s="45"/>
      <c r="Q385" s="45"/>
      <c r="R385" s="45"/>
      <c r="S385" s="45"/>
      <c r="T385" s="47" t="s">
        <v>4249</v>
      </c>
      <c r="U385" s="39" t="s">
        <v>3764</v>
      </c>
      <c r="V385" s="39" t="str">
        <f>CONCATENATE(U385, D385)</f>
        <v>https://example.websquare.kr/websquare/websquare.html?w2xPath=/guide/GridView/Style/setRowClass_removeRowClass_GridView.xml</v>
      </c>
      <c r="W385" s="39" t="s">
        <v>4512</v>
      </c>
      <c r="X385" s="39" t="str">
        <f>CONCATENATE(W385, D385)</f>
        <v>https://docs.inswave.com/websquare/websquare.html?w2xPath=/support/api/guide/GridView/Style/setRowClass_removeRowClass_GridView.xml</v>
      </c>
      <c r="Y385" s="48" t="str">
        <f>HYPERLINK(X385, H385)</f>
        <v>특정 행에 CSS 클래스 적용 및 취소</v>
      </c>
      <c r="Z385" s="4" t="str">
        <f>HYPERLINK(V385,H385)</f>
        <v>특정 행에 CSS 클래스 적용 및 취소</v>
      </c>
      <c r="AA385" s="45" t="s">
        <v>2304</v>
      </c>
      <c r="AB385" s="39" t="str">
        <f t="shared" si="10"/>
        <v>https://docs.inswave.com/websquare/websquare.html?w2xPath=/support/api/guide/GridView/Style/setRowClass_removeRowClass_GridView.xml</v>
      </c>
    </row>
    <row r="386" spans="1:28" s="39" customFormat="1" ht="102" x14ac:dyDescent="0.45">
      <c r="A386" s="37">
        <f>SUBTOTAL(3, $T$2:T386)</f>
        <v>308</v>
      </c>
      <c r="B386" s="38" t="s">
        <v>1814</v>
      </c>
      <c r="C386" s="39" t="s">
        <v>3273</v>
      </c>
      <c r="D386" s="39" t="s">
        <v>3748</v>
      </c>
      <c r="E386" s="40" t="s">
        <v>4174</v>
      </c>
      <c r="F386" s="41" t="s">
        <v>2466</v>
      </c>
      <c r="G386" s="44" t="s">
        <v>2427</v>
      </c>
      <c r="H386" s="53" t="s">
        <v>4175</v>
      </c>
      <c r="I386" s="44" t="s">
        <v>2467</v>
      </c>
      <c r="J386" s="14" t="s">
        <v>2450</v>
      </c>
      <c r="K386" s="22" t="s">
        <v>3287</v>
      </c>
      <c r="L386" s="46">
        <v>45200</v>
      </c>
      <c r="M386" s="45" t="s">
        <v>199</v>
      </c>
      <c r="N386" s="45" t="s">
        <v>199</v>
      </c>
      <c r="O386" s="45" t="s">
        <v>199</v>
      </c>
      <c r="P386" s="45"/>
      <c r="Q386" s="45" t="s">
        <v>199</v>
      </c>
      <c r="R386" s="45" t="s">
        <v>199</v>
      </c>
      <c r="S386" s="45" t="s">
        <v>199</v>
      </c>
      <c r="T386" s="47" t="s">
        <v>4247</v>
      </c>
      <c r="U386" s="39" t="s">
        <v>3764</v>
      </c>
      <c r="V386" s="39" t="str">
        <f>CONCATENATE(U386, D386)</f>
        <v>https://example.websquare.kr/websquare/websquare.html?w2xPath=/guide/GridView/Style/setRowColor_getRowColor_GridView.xml</v>
      </c>
      <c r="W386" s="39" t="s">
        <v>4512</v>
      </c>
      <c r="X386" s="39" t="str">
        <f>CONCATENATE(W386, D386)</f>
        <v>https://docs.inswave.com/websquare/websquare.html?w2xPath=/support/api/guide/GridView/Style/setRowColor_getRowColor_GridView.xml</v>
      </c>
      <c r="Y386" s="48" t="str">
        <f>HYPERLINK(X386, H386)</f>
        <v>특정 행의 글자색 지정</v>
      </c>
      <c r="Z386" s="4" t="str">
        <f>HYPERLINK(V386,H386)</f>
        <v>특정 행의 글자색 지정</v>
      </c>
      <c r="AA386" s="4" t="str">
        <f>HYPERLINK(J386,H386)</f>
        <v>특정 행의 글자색 지정</v>
      </c>
      <c r="AB386" s="39" t="str">
        <f t="shared" si="10"/>
        <v>https://docs.inswave.com/websquare/websquare.html?w2xPath=/support/api/guide/GridView/Style/setRowColor_getRowColor_GridView.xml</v>
      </c>
    </row>
    <row r="387" spans="1:28" s="39" customFormat="1" ht="102" x14ac:dyDescent="0.45">
      <c r="A387" s="37">
        <f>SUBTOTAL(3, $T$2:T387)</f>
        <v>309</v>
      </c>
      <c r="B387" s="38" t="s">
        <v>1814</v>
      </c>
      <c r="C387" s="39" t="s">
        <v>3273</v>
      </c>
      <c r="D387" s="39" t="s">
        <v>3747</v>
      </c>
      <c r="E387" s="44" t="s">
        <v>1826</v>
      </c>
      <c r="F387" s="63" t="s">
        <v>1828</v>
      </c>
      <c r="G387" s="44" t="s">
        <v>1821</v>
      </c>
      <c r="H387" s="53" t="s">
        <v>4180</v>
      </c>
      <c r="I387" s="44" t="s">
        <v>1822</v>
      </c>
      <c r="J387" s="14" t="s">
        <v>1823</v>
      </c>
      <c r="K387" s="22" t="s">
        <v>3286</v>
      </c>
      <c r="L387" s="46">
        <v>44835</v>
      </c>
      <c r="M387" s="50" t="s">
        <v>199</v>
      </c>
      <c r="N387" s="45" t="s">
        <v>199</v>
      </c>
      <c r="O387" s="45" t="s">
        <v>199</v>
      </c>
      <c r="P387" s="45" t="s">
        <v>199</v>
      </c>
      <c r="Q387" s="45" t="s">
        <v>199</v>
      </c>
      <c r="R387" s="45" t="s">
        <v>199</v>
      </c>
      <c r="S387" s="45" t="s">
        <v>199</v>
      </c>
      <c r="T387" s="47" t="s">
        <v>4247</v>
      </c>
      <c r="U387" s="39" t="s">
        <v>3764</v>
      </c>
      <c r="V387" s="39" t="str">
        <f>CONCATENATE(U387, D387)</f>
        <v>https://example.websquare.kr/websquare/websquare.html?w2xPath=/guide/GridView/Style/setRowBackgroundColor_GridView.xml</v>
      </c>
      <c r="W387" s="39" t="s">
        <v>4512</v>
      </c>
      <c r="X387" s="39" t="str">
        <f>CONCATENATE(W387, D387)</f>
        <v>https://docs.inswave.com/websquare/websquare.html?w2xPath=/support/api/guide/GridView/Style/setRowBackgroundColor_GridView.xml</v>
      </c>
      <c r="Y387" s="48" t="str">
        <f>HYPERLINK(X387, H387)</f>
        <v>특정 행의 배경색 설정</v>
      </c>
      <c r="Z387" s="4" t="str">
        <f>HYPERLINK(V387,H387)</f>
        <v>특정 행의 배경색 설정</v>
      </c>
      <c r="AA387" s="4" t="str">
        <f>HYPERLINK(J387,H387)</f>
        <v>특정 행의 배경색 설정</v>
      </c>
      <c r="AB387" s="39" t="str">
        <f t="shared" si="10"/>
        <v>https://docs.inswave.com/websquare/websquare.html?w2xPath=/support/api/guide/GridView/Style/setRowBackgroundColor_GridView.xml</v>
      </c>
    </row>
    <row r="388" spans="1:28" s="39" customFormat="1" ht="102" x14ac:dyDescent="0.45">
      <c r="A388" s="37">
        <f>SUBTOTAL(3, $T$2:T388)</f>
        <v>310</v>
      </c>
      <c r="B388" s="38" t="s">
        <v>0</v>
      </c>
      <c r="C388" s="39" t="s">
        <v>3273</v>
      </c>
      <c r="D388" s="39" t="s">
        <v>3711</v>
      </c>
      <c r="E388" s="40" t="s">
        <v>4187</v>
      </c>
      <c r="F388" s="41" t="s">
        <v>2221</v>
      </c>
      <c r="G388" s="39" t="s">
        <v>1401</v>
      </c>
      <c r="H388" s="53" t="s">
        <v>4188</v>
      </c>
      <c r="I388" s="44" t="s">
        <v>1400</v>
      </c>
      <c r="J388" s="14" t="s">
        <v>2220</v>
      </c>
      <c r="K388" s="22" t="s">
        <v>3275</v>
      </c>
      <c r="L388" s="46">
        <v>43891</v>
      </c>
      <c r="M388" s="45" t="s">
        <v>199</v>
      </c>
      <c r="N388" s="45" t="s">
        <v>199</v>
      </c>
      <c r="O388" s="45" t="s">
        <v>199</v>
      </c>
      <c r="P388" s="45" t="s">
        <v>199</v>
      </c>
      <c r="Q388" s="45" t="s">
        <v>199</v>
      </c>
      <c r="R388" s="45" t="s">
        <v>199</v>
      </c>
      <c r="S388" s="45" t="s">
        <v>199</v>
      </c>
      <c r="T388" s="47" t="s">
        <v>4247</v>
      </c>
      <c r="U388" s="39" t="s">
        <v>3764</v>
      </c>
      <c r="V388" s="39" t="str">
        <f>CONCATENATE(U388, D388)</f>
        <v>https://example.websquare.kr/websquare/websquare.html?w2xPath=/guide/GridView/Style/focusMode_selectedCellColor_selectedRowColor_GridView.xml</v>
      </c>
      <c r="W388" s="39" t="s">
        <v>4512</v>
      </c>
      <c r="X388" s="39" t="str">
        <f>CONCATENATE(W388, D388)</f>
        <v>https://docs.inswave.com/websquare/websquare.html?w2xPath=/support/api/guide/GridView/Style/focusMode_selectedCellColor_selectedRowColor_GridView.xml</v>
      </c>
      <c r="Y388" s="48" t="str">
        <f>HYPERLINK(X388, H388)</f>
        <v>포커싱 방법 설정</v>
      </c>
      <c r="Z388" s="4" t="str">
        <f>HYPERLINK(V388,H388)</f>
        <v>포커싱 방법 설정</v>
      </c>
      <c r="AA388" s="4" t="str">
        <f>HYPERLINK(J388,H388)</f>
        <v>포커싱 방법 설정</v>
      </c>
      <c r="AB388" s="39" t="str">
        <f t="shared" si="10"/>
        <v>https://docs.inswave.com/websquare/websquare.html?w2xPath=/support/api/guide/GridView/Style/focusMode_selectedCellColor_selectedRowColor_GridView.xml</v>
      </c>
    </row>
    <row r="389" spans="1:28" s="39" customFormat="1" ht="102" x14ac:dyDescent="0.45">
      <c r="A389" s="37">
        <f>SUBTOTAL(3, $T$2:T389)</f>
        <v>311</v>
      </c>
      <c r="B389" s="38" t="s">
        <v>1814</v>
      </c>
      <c r="C389" s="39" t="s">
        <v>3273</v>
      </c>
      <c r="D389" s="39" t="s">
        <v>3740</v>
      </c>
      <c r="E389" s="40" t="s">
        <v>2382</v>
      </c>
      <c r="F389" s="41" t="s">
        <v>2381</v>
      </c>
      <c r="G389" s="44" t="s">
        <v>2388</v>
      </c>
      <c r="H389" s="53" t="s">
        <v>4186</v>
      </c>
      <c r="I389" s="44" t="s">
        <v>2383</v>
      </c>
      <c r="J389" s="14" t="s">
        <v>2389</v>
      </c>
      <c r="K389" s="22" t="s">
        <v>3276</v>
      </c>
      <c r="L389" s="46">
        <v>45170</v>
      </c>
      <c r="M389" s="14"/>
      <c r="N389" s="45" t="s">
        <v>199</v>
      </c>
      <c r="O389" s="45" t="s">
        <v>199</v>
      </c>
      <c r="P389" s="45" t="s">
        <v>199</v>
      </c>
      <c r="Q389" s="45" t="s">
        <v>199</v>
      </c>
      <c r="R389" s="45" t="s">
        <v>199</v>
      </c>
      <c r="S389" s="45" t="s">
        <v>199</v>
      </c>
      <c r="T389" s="47" t="s">
        <v>4247</v>
      </c>
      <c r="U389" s="39" t="s">
        <v>3764</v>
      </c>
      <c r="V389" s="39" t="str">
        <f>CONCATENATE(U389, D389)</f>
        <v>https://example.websquare.kr/websquare/websquare.html?w2xPath=/guide/GridView/Style/getCurrentGridStyle_setGridStyle_GridView.xml</v>
      </c>
      <c r="W389" s="39" t="s">
        <v>4512</v>
      </c>
      <c r="X389" s="39" t="str">
        <f>CONCATENATE(W389, D389)</f>
        <v>https://docs.inswave.com/websquare/websquare.html?w2xPath=/support/api/guide/GridView/Style/getCurrentGridStyle_setGridStyle_GridView.xml</v>
      </c>
      <c r="Y389" s="48" t="str">
        <f>HYPERLINK(X389, H389)</f>
        <v>현재 GridView 상태 확인 및 지정한 상태로 GridView 그리기</v>
      </c>
      <c r="Z389" s="4" t="str">
        <f>HYPERLINK(V389,H389)</f>
        <v>현재 GridView 상태 확인 및 지정한 상태로 GridView 그리기</v>
      </c>
      <c r="AA389" s="4" t="str">
        <f>HYPERLINK(J389,H389)</f>
        <v>현재 GridView 상태 확인 및 지정한 상태로 GridView 그리기</v>
      </c>
      <c r="AB389" s="39" t="str">
        <f t="shared" si="10"/>
        <v>https://docs.inswave.com/websquare/websquare.html?w2xPath=/support/api/guide/GridView/Style/getCurrentGridStyle_setGridStyle_GridView.xml</v>
      </c>
    </row>
    <row r="390" spans="1:28" s="39" customFormat="1" ht="102" x14ac:dyDescent="0.45">
      <c r="A390" s="37">
        <f>SUBTOTAL(3, $T$2:T390)</f>
        <v>312</v>
      </c>
      <c r="B390" s="38" t="s">
        <v>0</v>
      </c>
      <c r="C390" s="39" t="s">
        <v>1783</v>
      </c>
      <c r="D390" s="39" t="s">
        <v>1802</v>
      </c>
      <c r="E390" s="40" t="s">
        <v>376</v>
      </c>
      <c r="F390" s="41" t="s">
        <v>381</v>
      </c>
      <c r="G390" s="39" t="s">
        <v>380</v>
      </c>
      <c r="H390" s="53" t="s">
        <v>4171</v>
      </c>
      <c r="I390" s="39" t="s">
        <v>384</v>
      </c>
      <c r="J390" s="14" t="s">
        <v>3431</v>
      </c>
      <c r="K390" s="22" t="s">
        <v>2927</v>
      </c>
      <c r="L390" s="46">
        <v>44531</v>
      </c>
      <c r="M390" s="14"/>
      <c r="N390" s="45" t="s">
        <v>199</v>
      </c>
      <c r="O390" s="45" t="s">
        <v>199</v>
      </c>
      <c r="P390" s="45" t="s">
        <v>199</v>
      </c>
      <c r="Q390" s="45" t="s">
        <v>199</v>
      </c>
      <c r="R390" s="45" t="s">
        <v>199</v>
      </c>
      <c r="S390" s="45" t="s">
        <v>199</v>
      </c>
      <c r="T390" s="47" t="s">
        <v>4247</v>
      </c>
      <c r="U390" s="39" t="s">
        <v>3764</v>
      </c>
      <c r="V390" s="39" t="str">
        <f>CONCATENATE(U390, D390)</f>
        <v>https://example.websquare.kr/websquare/websquare.html?w2xPath=/guide/GridView/subTotal/subtotalStyleFormatter_GridView.xml</v>
      </c>
      <c r="W390" s="39" t="s">
        <v>4512</v>
      </c>
      <c r="X390" s="39" t="str">
        <f>CONCATENATE(W390, D390)</f>
        <v>https://docs.inswave.com/websquare/websquare.html?w2xPath=/support/api/guide/GridView/subTotal/subtotalStyleFormatter_GridView.xml</v>
      </c>
      <c r="Y390" s="48" t="str">
        <f>HYPERLINK(X390, H390)</f>
        <v>subTotal 값 기준 스타일 적용</v>
      </c>
      <c r="Z390" s="4" t="str">
        <f>HYPERLINK(V390,H390)</f>
        <v>subTotal 값 기준 스타일 적용</v>
      </c>
      <c r="AA390" s="4" t="str">
        <f>HYPERLINK(J390,H390)</f>
        <v>subTotal 값 기준 스타일 적용</v>
      </c>
      <c r="AB390" s="39" t="str">
        <f t="shared" si="10"/>
        <v>https://docs.inswave.com/websquare/websquare.html?w2xPath=/support/api/guide/GridView/subTotal/subtotalStyleFormatter_GridView.xml</v>
      </c>
    </row>
    <row r="391" spans="1:28" s="39" customFormat="1" ht="102" x14ac:dyDescent="0.45">
      <c r="A391" s="37">
        <f>SUBTOTAL(3, $T$2:T391)</f>
        <v>313</v>
      </c>
      <c r="B391" s="38" t="s">
        <v>0</v>
      </c>
      <c r="C391" s="39" t="s">
        <v>1783</v>
      </c>
      <c r="D391" s="39" t="s">
        <v>3708</v>
      </c>
      <c r="E391" s="40" t="s">
        <v>3222</v>
      </c>
      <c r="F391" s="41" t="s">
        <v>1846</v>
      </c>
      <c r="G391" s="44" t="s">
        <v>1847</v>
      </c>
      <c r="H391" s="53" t="s">
        <v>4172</v>
      </c>
      <c r="I391" s="44" t="s">
        <v>1848</v>
      </c>
      <c r="J391" s="14" t="s">
        <v>1862</v>
      </c>
      <c r="K391" s="22" t="s">
        <v>2926</v>
      </c>
      <c r="L391" s="46">
        <v>44866</v>
      </c>
      <c r="M391" s="14"/>
      <c r="N391" s="45" t="s">
        <v>199</v>
      </c>
      <c r="O391" s="45" t="s">
        <v>199</v>
      </c>
      <c r="P391" s="45" t="s">
        <v>199</v>
      </c>
      <c r="Q391" s="45" t="s">
        <v>199</v>
      </c>
      <c r="R391" s="45" t="s">
        <v>199</v>
      </c>
      <c r="S391" s="45" t="s">
        <v>199</v>
      </c>
      <c r="T391" s="47" t="s">
        <v>4247</v>
      </c>
      <c r="U391" s="39" t="s">
        <v>3764</v>
      </c>
      <c r="V391" s="39" t="str">
        <f>CONCATENATE(U391, D391)</f>
        <v>https://example.websquare.kr/websquare/websquare.html?w2xPath=/guide/GridView/subTotal/subtotal_GridView.xml</v>
      </c>
      <c r="W391" s="39" t="s">
        <v>4512</v>
      </c>
      <c r="X391" s="39" t="str">
        <f>CONCATENATE(W391, D391)</f>
        <v>https://docs.inswave.com/websquare/websquare.html?w2xPath=/support/api/guide/GridView/subTotal/subtotal_GridView.xml</v>
      </c>
      <c r="Y391" s="48" t="str">
        <f>HYPERLINK(X391, H391)</f>
        <v>subTotal 추가</v>
      </c>
      <c r="Z391" s="4" t="str">
        <f>HYPERLINK(V391,H391)</f>
        <v>subTotal 추가</v>
      </c>
      <c r="AA391" s="4" t="str">
        <f>HYPERLINK(J391,H391)</f>
        <v>subTotal 추가</v>
      </c>
      <c r="AB391" s="39" t="str">
        <f t="shared" si="10"/>
        <v>https://docs.inswave.com/websquare/websquare.html?w2xPath=/support/api/guide/GridView/subTotal/subtotal_GridView.xml</v>
      </c>
    </row>
    <row r="392" spans="1:28" s="39" customFormat="1" ht="102" x14ac:dyDescent="0.45">
      <c r="A392" s="37">
        <f>SUBTOTAL(3, $T$2:T392)</f>
        <v>314</v>
      </c>
      <c r="B392" s="38" t="s">
        <v>0</v>
      </c>
      <c r="C392" s="39" t="s">
        <v>1783</v>
      </c>
      <c r="D392" s="39" t="s">
        <v>1804</v>
      </c>
      <c r="E392" s="40" t="s">
        <v>1090</v>
      </c>
      <c r="F392" s="41" t="s">
        <v>1089</v>
      </c>
      <c r="G392" s="39" t="s">
        <v>1091</v>
      </c>
      <c r="H392" s="53" t="s">
        <v>4169</v>
      </c>
      <c r="I392" s="44" t="s">
        <v>1095</v>
      </c>
      <c r="J392" s="14" t="s">
        <v>1088</v>
      </c>
      <c r="K392" s="22" t="s">
        <v>2928</v>
      </c>
      <c r="L392" s="46">
        <v>44652</v>
      </c>
      <c r="M392" s="14"/>
      <c r="N392" s="45" t="s">
        <v>199</v>
      </c>
      <c r="O392" s="45" t="s">
        <v>199</v>
      </c>
      <c r="P392" s="47" t="s">
        <v>199</v>
      </c>
      <c r="Q392" s="45" t="s">
        <v>199</v>
      </c>
      <c r="R392" s="45" t="s">
        <v>199</v>
      </c>
      <c r="S392" s="45" t="s">
        <v>199</v>
      </c>
      <c r="T392" s="47" t="s">
        <v>4247</v>
      </c>
      <c r="U392" s="39" t="s">
        <v>3764</v>
      </c>
      <c r="V392" s="39" t="str">
        <f>CONCATENATE(U392, D392)</f>
        <v>https://example.websquare.kr/websquare/websquare.html?w2xPath=/guide/GridView/subTotal/subtotalStyleFormatter_subtotalColumnId_GridView.xml</v>
      </c>
      <c r="W392" s="39" t="s">
        <v>4512</v>
      </c>
      <c r="X392" s="39" t="str">
        <f>CONCATENATE(W392, D392)</f>
        <v>https://docs.inswave.com/websquare/websquare.html?w2xPath=/support/api/guide/GridView/subTotal/subtotalStyleFormatter_subtotalColumnId_GridView.xml</v>
      </c>
      <c r="Y392" s="48" t="str">
        <f>HYPERLINK(X392, H392)</f>
        <v>subTotal 컬럼 별 스타일 적용</v>
      </c>
      <c r="Z392" s="4" t="str">
        <f>HYPERLINK(V392,H392)</f>
        <v>subTotal 컬럼 별 스타일 적용</v>
      </c>
      <c r="AA392" s="4" t="str">
        <f>HYPERLINK(J392,H392)</f>
        <v>subTotal 컬럼 별 스타일 적용</v>
      </c>
      <c r="AB392" s="39" t="str">
        <f t="shared" si="10"/>
        <v>https://docs.inswave.com/websquare/websquare.html?w2xPath=/support/api/guide/GridView/subTotal/subtotalStyleFormatter_subtotalColumnId_GridView.xml</v>
      </c>
    </row>
    <row r="393" spans="1:28" s="39" customFormat="1" ht="102" x14ac:dyDescent="0.45">
      <c r="A393" s="37">
        <f>SUBTOTAL(3, $T$2:T393)</f>
        <v>315</v>
      </c>
      <c r="B393" s="38" t="s">
        <v>0</v>
      </c>
      <c r="C393" s="64" t="s">
        <v>1783</v>
      </c>
      <c r="D393" s="39" t="s">
        <v>1801</v>
      </c>
      <c r="E393" s="40" t="s">
        <v>1479</v>
      </c>
      <c r="F393" s="41" t="s">
        <v>1478</v>
      </c>
      <c r="G393" s="64" t="s">
        <v>1860</v>
      </c>
      <c r="H393" s="53" t="s">
        <v>4173</v>
      </c>
      <c r="I393" s="39" t="s">
        <v>1419</v>
      </c>
      <c r="J393" s="14" t="s">
        <v>1859</v>
      </c>
      <c r="K393" s="22" t="s">
        <v>3221</v>
      </c>
      <c r="L393" s="46">
        <v>43922</v>
      </c>
      <c r="M393" s="14"/>
      <c r="N393" s="45" t="s">
        <v>199</v>
      </c>
      <c r="O393" s="45" t="s">
        <v>199</v>
      </c>
      <c r="P393" s="45" t="s">
        <v>199</v>
      </c>
      <c r="Q393" s="45" t="s">
        <v>199</v>
      </c>
      <c r="R393" s="45" t="s">
        <v>199</v>
      </c>
      <c r="S393" s="45" t="s">
        <v>199</v>
      </c>
      <c r="T393" s="47" t="s">
        <v>4247</v>
      </c>
      <c r="U393" s="39" t="s">
        <v>3764</v>
      </c>
      <c r="V393" s="39" t="str">
        <f>CONCATENATE(U393, D393)</f>
        <v>https://example.websquare.kr/websquare/websquare.html?w2xPath=/guide/GridView/subTotal/setSubtotalVisible_GridView.xml</v>
      </c>
      <c r="W393" s="39" t="s">
        <v>4512</v>
      </c>
      <c r="X393" s="39" t="str">
        <f>CONCATENATE(W393, D393)</f>
        <v>https://docs.inswave.com/websquare/websquare.html?w2xPath=/support/api/guide/GridView/subTotal/setSubtotalVisible_GridView.xml</v>
      </c>
      <c r="Y393" s="48" t="str">
        <f>HYPERLINK(X393, H393)</f>
        <v>subTotal 표시 및 숨김 처리</v>
      </c>
      <c r="Z393" s="4" t="str">
        <f>HYPERLINK(V393,H393)</f>
        <v>subTotal 표시 및 숨김 처리</v>
      </c>
      <c r="AA393" s="4" t="str">
        <f>HYPERLINK(J393,H393)</f>
        <v>subTotal 표시 및 숨김 처리</v>
      </c>
      <c r="AB393" s="39" t="str">
        <f t="shared" si="10"/>
        <v>https://docs.inswave.com/websquare/websquare.html?w2xPath=/support/api/guide/GridView/subTotal/setSubtotalVisible_GridView.xml</v>
      </c>
    </row>
    <row r="394" spans="1:28" s="39" customFormat="1" ht="102" hidden="1" x14ac:dyDescent="0.25">
      <c r="A394" s="37">
        <f>SUBTOTAL(3, $T$2:T394)</f>
        <v>315</v>
      </c>
      <c r="B394" s="38" t="s">
        <v>4</v>
      </c>
      <c r="C394" s="39" t="s">
        <v>1133</v>
      </c>
      <c r="D394" s="39" t="s">
        <v>1453</v>
      </c>
      <c r="E394" s="40" t="s">
        <v>2669</v>
      </c>
      <c r="F394" s="41" t="s">
        <v>2672</v>
      </c>
      <c r="G394" s="39" t="s">
        <v>2674</v>
      </c>
      <c r="H394" s="54" t="s">
        <v>3633</v>
      </c>
      <c r="I394" s="39" t="s">
        <v>305</v>
      </c>
      <c r="J394" s="14" t="s">
        <v>2673</v>
      </c>
      <c r="K394" s="45" t="s">
        <v>2304</v>
      </c>
      <c r="L394" s="46">
        <v>43647</v>
      </c>
      <c r="M394" s="14"/>
      <c r="N394" s="47" t="s">
        <v>2265</v>
      </c>
      <c r="O394" s="45" t="s">
        <v>199</v>
      </c>
      <c r="P394" s="45" t="s">
        <v>199</v>
      </c>
      <c r="Q394" s="45" t="s">
        <v>2304</v>
      </c>
      <c r="R394" s="45" t="s">
        <v>199</v>
      </c>
      <c r="S394" s="45" t="s">
        <v>199</v>
      </c>
      <c r="T394" s="47" t="s">
        <v>4248</v>
      </c>
      <c r="U394" s="39" t="s">
        <v>3764</v>
      </c>
      <c r="V394" s="39" t="str">
        <f>CONCATENATE(U394, D394)</f>
        <v>https://example.websquare.kr/websquare/websquare.html?w2xPath=/guide/_Studio/Common/drawing_components_Studio.pdf</v>
      </c>
      <c r="W394" s="39" t="s">
        <v>4220</v>
      </c>
      <c r="X394" s="39" t="str">
        <f>CONCATENATE(W394, D394)</f>
        <v>https://docs.inswave.com/websquare/websquare.html?w2xPath=/support/api/samples/_Studio/Common/drawing_components_Studio.pdf</v>
      </c>
      <c r="Y394" s="48"/>
      <c r="Z394" s="4"/>
      <c r="AA394" s="4" t="str">
        <f>HYPERLINK(J394,H394)</f>
        <v>컴포넌트 그리기 순서 설명</v>
      </c>
      <c r="AB394" s="39" t="str">
        <f t="shared" si="10"/>
        <v>https://docs.inswave.com/websquare/websquare.html?w2xPath=/support/api/samples/_Studio/Common/drawing_components_Studio.pdf</v>
      </c>
    </row>
    <row r="395" spans="1:28" s="39" customFormat="1" ht="102" x14ac:dyDescent="0.45">
      <c r="A395" s="37">
        <f>SUBTOTAL(3, $T$2:T395)</f>
        <v>316</v>
      </c>
      <c r="B395" s="38" t="s">
        <v>39</v>
      </c>
      <c r="C395" s="39" t="s">
        <v>39</v>
      </c>
      <c r="D395" s="39" t="s">
        <v>1205</v>
      </c>
      <c r="E395" s="40" t="s">
        <v>1217</v>
      </c>
      <c r="F395" s="41" t="s">
        <v>2176</v>
      </c>
      <c r="G395" s="39" t="s">
        <v>1128</v>
      </c>
      <c r="H395" s="53" t="s">
        <v>3910</v>
      </c>
      <c r="I395" s="39" t="s">
        <v>305</v>
      </c>
      <c r="J395" s="14" t="s">
        <v>1204</v>
      </c>
      <c r="K395" s="22" t="s">
        <v>2932</v>
      </c>
      <c r="L395" s="46">
        <v>43647</v>
      </c>
      <c r="M395" s="14"/>
      <c r="N395" s="45" t="s">
        <v>199</v>
      </c>
      <c r="O395" s="45" t="s">
        <v>199</v>
      </c>
      <c r="P395" s="45" t="s">
        <v>199</v>
      </c>
      <c r="Q395" s="45" t="s">
        <v>199</v>
      </c>
      <c r="R395" s="45" t="s">
        <v>199</v>
      </c>
      <c r="S395" s="45" t="s">
        <v>199</v>
      </c>
      <c r="T395" s="47" t="s">
        <v>4247</v>
      </c>
      <c r="U395" s="39" t="s">
        <v>3764</v>
      </c>
      <c r="V395" s="39" t="str">
        <f>CONCATENATE(U395, D395)</f>
        <v>https://example.websquare.kr/websquare/websquare.html?w2xPath=/guide/Group/styling_Group.xml</v>
      </c>
      <c r="W395" s="39" t="s">
        <v>4512</v>
      </c>
      <c r="X395" s="39" t="str">
        <f>CONCATENATE(W395, D395)</f>
        <v>https://docs.inswave.com/websquare/websquare.html?w2xPath=/support/api/guide/Group/styling_Group.xml</v>
      </c>
      <c r="Y395" s="48" t="str">
        <f>HYPERLINK(X395, H395)</f>
        <v>Group 스타일링 팁</v>
      </c>
      <c r="Z395" s="4" t="str">
        <f>HYPERLINK(V395,H395)</f>
        <v>Group 스타일링 팁</v>
      </c>
      <c r="AA395" s="4" t="str">
        <f>HYPERLINK(J395,H395)</f>
        <v>Group 스타일링 팁</v>
      </c>
      <c r="AB395" s="39" t="str">
        <f t="shared" si="10"/>
        <v>https://docs.inswave.com/websquare/websquare.html?w2xPath=/support/api/guide/Group/styling_Group.xml</v>
      </c>
    </row>
    <row r="396" spans="1:28" s="39" customFormat="1" ht="102" x14ac:dyDescent="0.45">
      <c r="A396" s="37">
        <f>SUBTOTAL(3, $T$2:T396)</f>
        <v>317</v>
      </c>
      <c r="B396" s="38" t="s">
        <v>2077</v>
      </c>
      <c r="C396" s="38" t="s">
        <v>2077</v>
      </c>
      <c r="D396" s="39" t="s">
        <v>2328</v>
      </c>
      <c r="E396" s="40" t="s">
        <v>2323</v>
      </c>
      <c r="F396" s="41" t="s">
        <v>2326</v>
      </c>
      <c r="G396" s="39" t="s">
        <v>2325</v>
      </c>
      <c r="H396" s="53" t="s">
        <v>3908</v>
      </c>
      <c r="I396" s="40" t="s">
        <v>2324</v>
      </c>
      <c r="J396" s="14" t="s">
        <v>2330</v>
      </c>
      <c r="K396" s="22" t="s">
        <v>2929</v>
      </c>
      <c r="L396" s="46">
        <v>45139</v>
      </c>
      <c r="M396" s="46" t="s">
        <v>199</v>
      </c>
      <c r="N396" s="45" t="s">
        <v>199</v>
      </c>
      <c r="O396" s="45" t="s">
        <v>199</v>
      </c>
      <c r="P396" s="45" t="s">
        <v>199</v>
      </c>
      <c r="Q396" s="45" t="s">
        <v>199</v>
      </c>
      <c r="R396" s="45" t="s">
        <v>199</v>
      </c>
      <c r="S396" s="45" t="s">
        <v>199</v>
      </c>
      <c r="T396" s="47" t="s">
        <v>4247</v>
      </c>
      <c r="U396" s="39" t="s">
        <v>3764</v>
      </c>
      <c r="V396" s="39" t="str">
        <f>CONCATENATE(U396, D396)</f>
        <v>https://example.websquare.kr/websquare/websquare.html?w2xPath=/guide/Group/keepDisabled_setDisabled_Group.xml</v>
      </c>
      <c r="W396" s="39" t="s">
        <v>4512</v>
      </c>
      <c r="X396" s="39" t="str">
        <f>CONCATENATE(W396, D396)</f>
        <v>https://docs.inswave.com/websquare/websquare.html?w2xPath=/support/api/guide/Group/keepDisabled_setDisabled_Group.xml</v>
      </c>
      <c r="Y396" s="48" t="str">
        <f>HYPERLINK(X396, H396)</f>
        <v>원래 상태는 유지하면서 전체 컴포넌트 활성화/비활성화</v>
      </c>
      <c r="Z396" s="4" t="str">
        <f>HYPERLINK(V396,H396)</f>
        <v>원래 상태는 유지하면서 전체 컴포넌트 활성화/비활성화</v>
      </c>
      <c r="AA396" s="4" t="str">
        <f>HYPERLINK(J396,H396)</f>
        <v>원래 상태는 유지하면서 전체 컴포넌트 활성화/비활성화</v>
      </c>
      <c r="AB396" s="39" t="str">
        <f t="shared" si="10"/>
        <v>https://docs.inswave.com/websquare/websquare.html?w2xPath=/support/api/guide/Group/keepDisabled_setDisabled_Group.xml</v>
      </c>
    </row>
    <row r="397" spans="1:28" s="39" customFormat="1" ht="102" x14ac:dyDescent="0.45">
      <c r="A397" s="37">
        <f>SUBTOTAL(3, $T$2:T397)</f>
        <v>318</v>
      </c>
      <c r="B397" s="38" t="s">
        <v>39</v>
      </c>
      <c r="C397" s="39" t="s">
        <v>39</v>
      </c>
      <c r="D397" s="39" t="s">
        <v>445</v>
      </c>
      <c r="E397" s="40" t="s">
        <v>410</v>
      </c>
      <c r="F397" s="41" t="s">
        <v>444</v>
      </c>
      <c r="G397" s="39" t="s">
        <v>434</v>
      </c>
      <c r="H397" s="53" t="s">
        <v>3909</v>
      </c>
      <c r="I397" s="44" t="s">
        <v>453</v>
      </c>
      <c r="J397" s="14" t="s">
        <v>443</v>
      </c>
      <c r="K397" s="22" t="s">
        <v>2930</v>
      </c>
      <c r="L397" s="46">
        <v>44228</v>
      </c>
      <c r="M397" s="45"/>
      <c r="N397" s="45" t="s">
        <v>199</v>
      </c>
      <c r="O397" s="45" t="s">
        <v>199</v>
      </c>
      <c r="P397" s="45" t="s">
        <v>199</v>
      </c>
      <c r="Q397" s="45" t="s">
        <v>199</v>
      </c>
      <c r="R397" s="45" t="s">
        <v>199</v>
      </c>
      <c r="S397" s="45" t="s">
        <v>199</v>
      </c>
      <c r="T397" s="47" t="s">
        <v>4247</v>
      </c>
      <c r="U397" s="39" t="s">
        <v>3764</v>
      </c>
      <c r="V397" s="39" t="str">
        <f>CONCATENATE(U397, D397)</f>
        <v>https://example.websquare.kr/websquare/websquare.html?w2xPath=/guide/Group/onmouseleave_onmouseenter_Group.xml</v>
      </c>
      <c r="W397" s="39" t="s">
        <v>4512</v>
      </c>
      <c r="X397" s="39" t="str">
        <f>CONCATENATE(W397, D397)</f>
        <v>https://docs.inswave.com/websquare/websquare.html?w2xPath=/support/api/guide/Group/onmouseleave_onmouseenter_Group.xml</v>
      </c>
      <c r="Y397" s="48" t="str">
        <f>HYPERLINK(X397, H397)</f>
        <v>이벤트 - onmouseenter &amp; onmouseleave</v>
      </c>
      <c r="Z397" s="4" t="str">
        <f>HYPERLINK(V397,H397)</f>
        <v>이벤트 - onmouseenter &amp; onmouseleave</v>
      </c>
      <c r="AA397" s="4" t="str">
        <f>HYPERLINK(J397,H397)</f>
        <v>이벤트 - onmouseenter &amp; onmouseleave</v>
      </c>
      <c r="AB397" s="39" t="str">
        <f t="shared" si="10"/>
        <v>https://docs.inswave.com/websquare/websquare.html?w2xPath=/support/api/guide/Group/onmouseleave_onmouseenter_Group.xml</v>
      </c>
    </row>
    <row r="398" spans="1:28" s="39" customFormat="1" ht="102" x14ac:dyDescent="0.45">
      <c r="A398" s="37">
        <f>SUBTOTAL(3, $T$2:T398)</f>
        <v>319</v>
      </c>
      <c r="B398" s="38" t="s">
        <v>2077</v>
      </c>
      <c r="C398" s="38" t="s">
        <v>2077</v>
      </c>
      <c r="D398" s="39" t="s">
        <v>2329</v>
      </c>
      <c r="E398" s="40" t="s">
        <v>2319</v>
      </c>
      <c r="F398" s="41" t="s">
        <v>2327</v>
      </c>
      <c r="G398" s="39" t="s">
        <v>2320</v>
      </c>
      <c r="H398" s="53" t="s">
        <v>3907</v>
      </c>
      <c r="I398" s="40" t="s">
        <v>2321</v>
      </c>
      <c r="J398" s="14" t="s">
        <v>2331</v>
      </c>
      <c r="K398" s="22" t="s">
        <v>2931</v>
      </c>
      <c r="L398" s="46">
        <v>45139</v>
      </c>
      <c r="M398" s="46" t="s">
        <v>199</v>
      </c>
      <c r="N398" s="45" t="s">
        <v>199</v>
      </c>
      <c r="O398" s="45" t="s">
        <v>199</v>
      </c>
      <c r="P398" s="45" t="s">
        <v>199</v>
      </c>
      <c r="Q398" s="45" t="s">
        <v>199</v>
      </c>
      <c r="R398" s="45" t="s">
        <v>199</v>
      </c>
      <c r="S398" s="45" t="s">
        <v>199</v>
      </c>
      <c r="T398" s="47" t="s">
        <v>4247</v>
      </c>
      <c r="U398" s="39" t="s">
        <v>3764</v>
      </c>
      <c r="V398" s="39" t="str">
        <f>CONCATENATE(U398, D398)</f>
        <v>https://example.websquare.kr/websquare/websquare.html?w2xPath=/guide/Group/setDisabled_Group.xml</v>
      </c>
      <c r="W398" s="39" t="s">
        <v>4512</v>
      </c>
      <c r="X398" s="39" t="str">
        <f>CONCATENATE(W398, D398)</f>
        <v>https://docs.inswave.com/websquare/websquare.html?w2xPath=/support/api/guide/Group/setDisabled_Group.xml</v>
      </c>
      <c r="Y398" s="48" t="str">
        <f>HYPERLINK(X398, H398)</f>
        <v>전체 컴포넌트 활성화/비활성화</v>
      </c>
      <c r="Z398" s="4" t="str">
        <f>HYPERLINK(V398,H398)</f>
        <v>전체 컴포넌트 활성화/비활성화</v>
      </c>
      <c r="AA398" s="4" t="str">
        <f>HYPERLINK(J398,H398)</f>
        <v>전체 컴포넌트 활성화/비활성화</v>
      </c>
      <c r="AB398" s="39" t="str">
        <f t="shared" si="10"/>
        <v>https://docs.inswave.com/websquare/websquare.html?w2xPath=/support/api/guide/Group/setDisabled_Group.xml</v>
      </c>
    </row>
    <row r="399" spans="1:28" s="39" customFormat="1" ht="102" x14ac:dyDescent="0.45">
      <c r="A399" s="37">
        <f>SUBTOTAL(3, $T$2:T399)</f>
        <v>320</v>
      </c>
      <c r="B399" s="38" t="s">
        <v>46</v>
      </c>
      <c r="C399" s="39" t="s">
        <v>46</v>
      </c>
      <c r="D399" s="39" t="s">
        <v>4230</v>
      </c>
      <c r="E399" s="40" t="s">
        <v>4232</v>
      </c>
      <c r="F399" s="41" t="s">
        <v>4234</v>
      </c>
      <c r="G399" s="39" t="s">
        <v>1619</v>
      </c>
      <c r="H399" s="53" t="s">
        <v>4237</v>
      </c>
      <c r="I399" s="44" t="s">
        <v>1578</v>
      </c>
      <c r="J399" s="14" t="s">
        <v>1655</v>
      </c>
      <c r="K399" s="22" t="s">
        <v>2933</v>
      </c>
      <c r="L399" s="46">
        <v>44136</v>
      </c>
      <c r="M399" s="14"/>
      <c r="N399" s="45" t="s">
        <v>199</v>
      </c>
      <c r="O399" s="45" t="s">
        <v>199</v>
      </c>
      <c r="P399" s="45" t="s">
        <v>199</v>
      </c>
      <c r="Q399" s="45" t="s">
        <v>199</v>
      </c>
      <c r="R399" s="45" t="s">
        <v>199</v>
      </c>
      <c r="S399" s="45" t="s">
        <v>199</v>
      </c>
      <c r="T399" s="47" t="s">
        <v>4247</v>
      </c>
      <c r="U399" s="39" t="s">
        <v>3764</v>
      </c>
      <c r="V399" s="39" t="str">
        <f>CONCATENATE(U399, D399)</f>
        <v>https://example.websquare.kr/websquare/websquare.html?w2xPath=/guide/IFrame/spa_spaReplaceHistory_IFrame/spa_spaReplaceHistory_true_IFrame.xml</v>
      </c>
      <c r="W399" s="39" t="s">
        <v>4512</v>
      </c>
      <c r="X399" s="39" t="str">
        <f>CONCATENATE(W399, D399)</f>
        <v>https://docs.inswave.com/websquare/websquare.html?w2xPath=/support/api/guide/IFrame/spa_spaReplaceHistory_IFrame/spa_spaReplaceHistory_true_IFrame.xml</v>
      </c>
      <c r="Y399" s="48" t="str">
        <f>HYPERLINK(X399, H399)</f>
        <v>IFrame 내부의 History 기능 금지</v>
      </c>
      <c r="Z399" s="4" t="str">
        <f>HYPERLINK(V399,H399)</f>
        <v>IFrame 내부의 History 기능 금지</v>
      </c>
      <c r="AA399" s="4" t="str">
        <f>HYPERLINK(J399,H399)</f>
        <v>IFrame 내부의 History 기능 금지</v>
      </c>
      <c r="AB399" s="39" t="str">
        <f t="shared" si="10"/>
        <v>https://docs.inswave.com/websquare/websquare.html?w2xPath=/support/api/guide/IFrame/spa_spaReplaceHistory_IFrame/spa_spaReplaceHistory_true_IFrame.xml</v>
      </c>
    </row>
    <row r="400" spans="1:28" s="39" customFormat="1" ht="102" x14ac:dyDescent="0.45">
      <c r="A400" s="37">
        <f>SUBTOTAL(3, $T$2:T400)</f>
        <v>321</v>
      </c>
      <c r="B400" s="38" t="s">
        <v>46</v>
      </c>
      <c r="C400" s="39" t="s">
        <v>46</v>
      </c>
      <c r="D400" s="39" t="s">
        <v>4231</v>
      </c>
      <c r="E400" s="40" t="s">
        <v>4233</v>
      </c>
      <c r="F400" s="41" t="s">
        <v>4235</v>
      </c>
      <c r="G400" s="39" t="s">
        <v>4236</v>
      </c>
      <c r="H400" s="43" t="s">
        <v>4238</v>
      </c>
      <c r="I400" s="44" t="s">
        <v>1578</v>
      </c>
      <c r="J400" s="45" t="s">
        <v>2304</v>
      </c>
      <c r="K400" s="22"/>
      <c r="L400" s="46">
        <v>44136</v>
      </c>
      <c r="M400" s="14"/>
      <c r="N400" s="45"/>
      <c r="O400" s="45"/>
      <c r="P400" s="45"/>
      <c r="Q400" s="45"/>
      <c r="R400" s="45"/>
      <c r="S400" s="45"/>
      <c r="T400" s="47" t="s">
        <v>4514</v>
      </c>
      <c r="U400" s="39" t="s">
        <v>3764</v>
      </c>
      <c r="V400" s="39" t="str">
        <f>CONCATENATE(U400, D400)</f>
        <v>https://example.websquare.kr/websquare/websquare.html?w2xPath=/guide/IFrame/spa_spaReplaceHistory_IFrame/spa_spaReplaceHistory_false_IFrame.xml</v>
      </c>
      <c r="W400" s="39" t="s">
        <v>4512</v>
      </c>
      <c r="X400" s="39" t="str">
        <f>CONCATENATE(W400, D400)</f>
        <v>https://docs.inswave.com/websquare/websquare.html?w2xPath=/support/api/guide/IFrame/spa_spaReplaceHistory_IFrame/spa_spaReplaceHistory_false_IFrame.xml</v>
      </c>
      <c r="Y400" s="48" t="str">
        <f>HYPERLINK(X400, H400)</f>
        <v>IFrame 내부의 History 기능 허용</v>
      </c>
      <c r="Z400" s="4" t="str">
        <f>HYPERLINK(V400,H400)</f>
        <v>IFrame 내부의 History 기능 허용</v>
      </c>
      <c r="AA400" s="45" t="s">
        <v>2304</v>
      </c>
      <c r="AB400" s="39" t="str">
        <f t="shared" si="10"/>
        <v>https://docs.inswave.com/websquare/websquare.html?w2xPath=/support/api/guide/IFrame/spa_spaReplaceHistory_IFrame/spa_spaReplaceHistory_false_IFrame.xml</v>
      </c>
    </row>
    <row r="401" spans="1:30" s="39" customFormat="1" ht="102" x14ac:dyDescent="0.45">
      <c r="A401" s="37">
        <f>SUBTOTAL(3, $T$2:T401)</f>
        <v>322</v>
      </c>
      <c r="B401" s="38" t="s">
        <v>20</v>
      </c>
      <c r="C401" s="39" t="s">
        <v>20</v>
      </c>
      <c r="D401" s="39" t="s">
        <v>1239</v>
      </c>
      <c r="E401" s="40" t="s">
        <v>2513</v>
      </c>
      <c r="F401" s="41" t="s">
        <v>2528</v>
      </c>
      <c r="G401" s="39" t="s">
        <v>1240</v>
      </c>
      <c r="H401" s="53" t="s">
        <v>3778</v>
      </c>
      <c r="I401" s="44" t="s">
        <v>1241</v>
      </c>
      <c r="J401" s="14" t="s">
        <v>2514</v>
      </c>
      <c r="K401" s="22" t="s">
        <v>2943</v>
      </c>
      <c r="L401" s="46">
        <v>43739</v>
      </c>
      <c r="M401" s="45" t="s">
        <v>200</v>
      </c>
      <c r="N401" s="45" t="s">
        <v>199</v>
      </c>
      <c r="O401" s="45" t="s">
        <v>199</v>
      </c>
      <c r="P401" s="45" t="s">
        <v>199</v>
      </c>
      <c r="Q401" s="45" t="s">
        <v>199</v>
      </c>
      <c r="R401" s="45" t="s">
        <v>199</v>
      </c>
      <c r="S401" s="45" t="s">
        <v>199</v>
      </c>
      <c r="T401" s="47" t="s">
        <v>4247</v>
      </c>
      <c r="U401" s="39" t="s">
        <v>3764</v>
      </c>
      <c r="V401" s="39" t="str">
        <f>CONCATENATE(U401, D401)</f>
        <v>https://example.websquare.kr/websquare/websquare.html?w2xPath=/guide/InputBox/setValue_getValue_InputBox.xml</v>
      </c>
      <c r="W401" s="39" t="s">
        <v>4512</v>
      </c>
      <c r="X401" s="39" t="str">
        <f>CONCATENATE(W401, D401)</f>
        <v>https://docs.inswave.com/websquare/websquare.html?w2xPath=/support/api/guide/InputBox/setValue_getValue_InputBox.xml</v>
      </c>
      <c r="Y401" s="48" t="str">
        <f>HYPERLINK(X401, H401)</f>
        <v>값 설정 및 반환</v>
      </c>
      <c r="Z401" s="4" t="str">
        <f>HYPERLINK(V401,H401)</f>
        <v>값 설정 및 반환</v>
      </c>
      <c r="AA401" s="4" t="str">
        <f>HYPERLINK(J401,H401)</f>
        <v>값 설정 및 반환</v>
      </c>
      <c r="AB401" s="39" t="str">
        <f t="shared" si="10"/>
        <v>https://docs.inswave.com/websquare/websquare.html?w2xPath=/support/api/guide/InputBox/setValue_getValue_InputBox.xml</v>
      </c>
    </row>
    <row r="402" spans="1:30" s="39" customFormat="1" ht="102" x14ac:dyDescent="0.45">
      <c r="A402" s="37">
        <f>SUBTOTAL(3, $T$2:T402)</f>
        <v>323</v>
      </c>
      <c r="B402" s="38" t="s">
        <v>20</v>
      </c>
      <c r="C402" s="39" t="s">
        <v>20</v>
      </c>
      <c r="D402" s="39" t="s">
        <v>1549</v>
      </c>
      <c r="E402" s="40" t="s">
        <v>1550</v>
      </c>
      <c r="F402" s="41" t="s">
        <v>1548</v>
      </c>
      <c r="G402" s="39" t="s">
        <v>1497</v>
      </c>
      <c r="H402" s="53" t="s">
        <v>3780</v>
      </c>
      <c r="I402" s="44" t="s">
        <v>1498</v>
      </c>
      <c r="J402" s="14" t="s">
        <v>1878</v>
      </c>
      <c r="K402" s="22" t="s">
        <v>2937</v>
      </c>
      <c r="L402" s="46">
        <v>44013</v>
      </c>
      <c r="M402" s="14"/>
      <c r="N402" s="45" t="s">
        <v>199</v>
      </c>
      <c r="O402" s="45" t="s">
        <v>199</v>
      </c>
      <c r="P402" s="45" t="s">
        <v>199</v>
      </c>
      <c r="Q402" s="45" t="s">
        <v>199</v>
      </c>
      <c r="R402" s="45" t="s">
        <v>199</v>
      </c>
      <c r="S402" s="45" t="s">
        <v>199</v>
      </c>
      <c r="T402" s="47" t="s">
        <v>4247</v>
      </c>
      <c r="U402" s="39" t="s">
        <v>3764</v>
      </c>
      <c r="V402" s="39" t="str">
        <f>CONCATENATE(U402, D402)</f>
        <v>https://example.websquare.kr/websquare/websquare.html?w2xPath=/guide/InputBox/maskFormat_applyFormat_displayFormat_InputBox.xml</v>
      </c>
      <c r="W402" s="39" t="s">
        <v>4512</v>
      </c>
      <c r="X402" s="39" t="str">
        <f>CONCATENATE(W402, D402)</f>
        <v>https://docs.inswave.com/websquare/websquare.html?w2xPath=/support/api/guide/InputBox/maskFormat_applyFormat_displayFormat_InputBox.xml</v>
      </c>
      <c r="Y402" s="48" t="str">
        <f>HYPERLINK(X402, H402)</f>
        <v>마스킹 방향 설정</v>
      </c>
      <c r="Z402" s="4" t="str">
        <f>HYPERLINK(V402,H402)</f>
        <v>마스킹 방향 설정</v>
      </c>
      <c r="AA402" s="4" t="str">
        <f>HYPERLINK(J402,H402)</f>
        <v>마스킹 방향 설정</v>
      </c>
      <c r="AB402" s="39" t="str">
        <f t="shared" si="10"/>
        <v>https://docs.inswave.com/websquare/websquare.html?w2xPath=/support/api/guide/InputBox/maskFormat_applyFormat_displayFormat_InputBox.xml</v>
      </c>
    </row>
    <row r="403" spans="1:30" s="39" customFormat="1" ht="102" x14ac:dyDescent="0.45">
      <c r="A403" s="37">
        <f>SUBTOTAL(3, $T$2:T403)</f>
        <v>324</v>
      </c>
      <c r="B403" s="38" t="s">
        <v>20</v>
      </c>
      <c r="C403" s="39" t="s">
        <v>20</v>
      </c>
      <c r="D403" s="39" t="s">
        <v>1592</v>
      </c>
      <c r="E403" s="40" t="s">
        <v>1836</v>
      </c>
      <c r="F403" s="41" t="s">
        <v>1591</v>
      </c>
      <c r="G403" s="39" t="s">
        <v>1834</v>
      </c>
      <c r="H403" s="53" t="s">
        <v>3773</v>
      </c>
      <c r="I403" s="44" t="s">
        <v>1529</v>
      </c>
      <c r="J403" s="14" t="s">
        <v>1835</v>
      </c>
      <c r="K403" s="22" t="s">
        <v>2938</v>
      </c>
      <c r="L403" s="46">
        <v>44044</v>
      </c>
      <c r="M403" s="14"/>
      <c r="N403" s="45" t="s">
        <v>199</v>
      </c>
      <c r="O403" s="45" t="s">
        <v>199</v>
      </c>
      <c r="P403" s="45" t="s">
        <v>199</v>
      </c>
      <c r="Q403" s="45" t="s">
        <v>199</v>
      </c>
      <c r="R403" s="45" t="s">
        <v>199</v>
      </c>
      <c r="S403" s="45" t="s">
        <v>199</v>
      </c>
      <c r="T403" s="47" t="s">
        <v>4247</v>
      </c>
      <c r="U403" s="39" t="s">
        <v>3764</v>
      </c>
      <c r="V403" s="39" t="str">
        <f>CONCATENATE(U403, D403)</f>
        <v>https://example.websquare.kr/websquare/websquare.html?w2xPath=/guide/InputBox/masking_InputBox.xml</v>
      </c>
      <c r="W403" s="39" t="s">
        <v>4512</v>
      </c>
      <c r="X403" s="39" t="str">
        <f>CONCATENATE(W403, D403)</f>
        <v>https://docs.inswave.com/websquare/websquare.html?w2xPath=/support/api/guide/InputBox/masking_InputBox.xml</v>
      </c>
      <c r="Y403" s="48" t="str">
        <f>HYPERLINK(X403, H403)</f>
        <v>숫자 및 알파벳 마스킹</v>
      </c>
      <c r="Z403" s="4" t="str">
        <f>HYPERLINK(V403,H403)</f>
        <v>숫자 및 알파벳 마스킹</v>
      </c>
      <c r="AA403" s="4" t="str">
        <f>HYPERLINK(J403,H403)</f>
        <v>숫자 및 알파벳 마스킹</v>
      </c>
      <c r="AB403" s="39" t="str">
        <f t="shared" si="10"/>
        <v>https://docs.inswave.com/websquare/websquare.html?w2xPath=/support/api/guide/InputBox/masking_InputBox.xml</v>
      </c>
    </row>
    <row r="404" spans="1:30" s="39" customFormat="1" ht="102" x14ac:dyDescent="0.45">
      <c r="A404" s="37">
        <f>SUBTOTAL(3, $T$2:T404)</f>
        <v>325</v>
      </c>
      <c r="B404" s="38" t="s">
        <v>20</v>
      </c>
      <c r="C404" s="39" t="s">
        <v>20</v>
      </c>
      <c r="D404" s="39" t="s">
        <v>448</v>
      </c>
      <c r="E404" s="40" t="s">
        <v>3235</v>
      </c>
      <c r="F404" s="41" t="s">
        <v>447</v>
      </c>
      <c r="G404" s="39" t="s">
        <v>435</v>
      </c>
      <c r="H404" s="53" t="s">
        <v>3775</v>
      </c>
      <c r="I404" s="44" t="s">
        <v>454</v>
      </c>
      <c r="J404" s="14" t="s">
        <v>446</v>
      </c>
      <c r="K404" s="22" t="s">
        <v>2940</v>
      </c>
      <c r="L404" s="46">
        <v>44228</v>
      </c>
      <c r="M404" s="45"/>
      <c r="N404" s="45" t="s">
        <v>199</v>
      </c>
      <c r="O404" s="45" t="s">
        <v>199</v>
      </c>
      <c r="P404" s="45" t="s">
        <v>199</v>
      </c>
      <c r="Q404" s="45" t="s">
        <v>199</v>
      </c>
      <c r="R404" s="45" t="s">
        <v>199</v>
      </c>
      <c r="S404" s="45" t="s">
        <v>199</v>
      </c>
      <c r="T404" s="47" t="s">
        <v>4247</v>
      </c>
      <c r="U404" s="39" t="s">
        <v>3764</v>
      </c>
      <c r="V404" s="39" t="str">
        <f>CONCATENATE(U404, D404)</f>
        <v>https://example.websquare.kr/websquare/websquare.html?w2xPath=/guide/InputBox/oneditfull_maxByteLength_autoFocus_InputBox.xml</v>
      </c>
      <c r="W404" s="39" t="s">
        <v>4512</v>
      </c>
      <c r="X404" s="39" t="str">
        <f>CONCATENATE(W404, D404)</f>
        <v>https://docs.inswave.com/websquare/websquare.html?w2xPath=/support/api/guide/InputBox/oneditfull_maxByteLength_autoFocus_InputBox.xml</v>
      </c>
      <c r="Y404" s="48" t="str">
        <f>HYPERLINK(X404, H404)</f>
        <v>이벤트 - oneditfull</v>
      </c>
      <c r="Z404" s="4" t="str">
        <f>HYPERLINK(V404,H404)</f>
        <v>이벤트 - oneditfull</v>
      </c>
      <c r="AA404" s="4" t="str">
        <f>HYPERLINK(J404,H404)</f>
        <v>이벤트 - oneditfull</v>
      </c>
      <c r="AB404" s="39" t="str">
        <f t="shared" si="10"/>
        <v>https://docs.inswave.com/websquare/websquare.html?w2xPath=/support/api/guide/InputBox/oneditfull_maxByteLength_autoFocus_InputBox.xml</v>
      </c>
    </row>
    <row r="405" spans="1:30" s="39" customFormat="1" ht="102" x14ac:dyDescent="0.45">
      <c r="A405" s="37">
        <f>SUBTOTAL(3, $T$2:T405)</f>
        <v>326</v>
      </c>
      <c r="B405" s="38" t="s">
        <v>20</v>
      </c>
      <c r="C405" s="39" t="s">
        <v>20</v>
      </c>
      <c r="D405" s="39" t="s">
        <v>427</v>
      </c>
      <c r="E405" s="40" t="s">
        <v>425</v>
      </c>
      <c r="F405" s="41" t="s">
        <v>426</v>
      </c>
      <c r="G405" s="39" t="s">
        <v>407</v>
      </c>
      <c r="H405" s="53" t="s">
        <v>3770</v>
      </c>
      <c r="I405" s="44" t="s">
        <v>457</v>
      </c>
      <c r="J405" s="14" t="s">
        <v>424</v>
      </c>
      <c r="K405" s="22" t="s">
        <v>2936</v>
      </c>
      <c r="L405" s="46">
        <v>44228</v>
      </c>
      <c r="M405" s="45" t="s">
        <v>199</v>
      </c>
      <c r="N405" s="45" t="s">
        <v>199</v>
      </c>
      <c r="O405" s="45" t="s">
        <v>199</v>
      </c>
      <c r="P405" s="45" t="s">
        <v>199</v>
      </c>
      <c r="Q405" s="45" t="s">
        <v>199</v>
      </c>
      <c r="R405" s="45" t="s">
        <v>199</v>
      </c>
      <c r="S405" s="45" t="s">
        <v>199</v>
      </c>
      <c r="T405" s="47" t="s">
        <v>4247</v>
      </c>
      <c r="U405" s="39" t="s">
        <v>3764</v>
      </c>
      <c r="V405" s="39" t="str">
        <f>CONCATENATE(U405, D405)</f>
        <v>https://example.websquare.kr/websquare/websquare.html?w2xPath=/guide/InputBox/ltrim_trm_rtrim_InputBox.xml</v>
      </c>
      <c r="W405" s="39" t="s">
        <v>4512</v>
      </c>
      <c r="X405" s="39" t="str">
        <f>CONCATENATE(W405, D405)</f>
        <v>https://docs.inswave.com/websquare/websquare.html?w2xPath=/support/api/guide/InputBox/ltrim_trm_rtrim_InputBox.xml</v>
      </c>
      <c r="Y405" s="48" t="str">
        <f>HYPERLINK(X405, H405)</f>
        <v>입력 값의 좌우 공백 제거</v>
      </c>
      <c r="Z405" s="4" t="str">
        <f>HYPERLINK(V405,H405)</f>
        <v>입력 값의 좌우 공백 제거</v>
      </c>
      <c r="AA405" s="4" t="str">
        <f>HYPERLINK(J405,H405)</f>
        <v>입력 값의 좌우 공백 제거</v>
      </c>
      <c r="AB405" s="39" t="str">
        <f t="shared" si="10"/>
        <v>https://docs.inswave.com/websquare/websquare.html?w2xPath=/support/api/guide/InputBox/ltrim_trm_rtrim_InputBox.xml</v>
      </c>
      <c r="AC405" s="45"/>
      <c r="AD405" s="45"/>
    </row>
    <row r="406" spans="1:30" s="39" customFormat="1" ht="153" x14ac:dyDescent="0.45">
      <c r="A406" s="37">
        <f>SUBTOTAL(3, $T$2:T406)</f>
        <v>327</v>
      </c>
      <c r="B406" s="38" t="s">
        <v>20</v>
      </c>
      <c r="C406" s="39" t="s">
        <v>20</v>
      </c>
      <c r="D406" s="39" t="s">
        <v>1309</v>
      </c>
      <c r="E406" s="40" t="s">
        <v>2405</v>
      </c>
      <c r="F406" s="41" t="s">
        <v>2464</v>
      </c>
      <c r="G406" s="39" t="s">
        <v>2407</v>
      </c>
      <c r="H406" s="53" t="s">
        <v>3779</v>
      </c>
      <c r="I406" s="44" t="s">
        <v>1294</v>
      </c>
      <c r="J406" s="14" t="s">
        <v>2406</v>
      </c>
      <c r="K406" s="22" t="s">
        <v>2944</v>
      </c>
      <c r="L406" s="46">
        <v>43770</v>
      </c>
      <c r="M406" s="14"/>
      <c r="N406" s="45" t="s">
        <v>199</v>
      </c>
      <c r="O406" s="45" t="s">
        <v>199</v>
      </c>
      <c r="P406" s="45"/>
      <c r="Q406" s="45" t="s">
        <v>199</v>
      </c>
      <c r="R406" s="45" t="s">
        <v>199</v>
      </c>
      <c r="S406" s="45" t="s">
        <v>199</v>
      </c>
      <c r="T406" s="47" t="s">
        <v>4247</v>
      </c>
      <c r="U406" s="39" t="s">
        <v>3764</v>
      </c>
      <c r="V406" s="39" t="str">
        <f>CONCATENATE(U406, D406)</f>
        <v>https://example.websquare.kr/websquare/websquare.html?w2xPath=/guide/InputBox/validate_displaymessage_invalidMessage_invalidMessageFunc_InputBox.xml</v>
      </c>
      <c r="W406" s="39" t="s">
        <v>4512</v>
      </c>
      <c r="X406" s="39" t="str">
        <f>CONCATENATE(W406, D406)</f>
        <v>https://docs.inswave.com/websquare/websquare.html?w2xPath=/support/api/guide/InputBox/validate_displaymessage_invalidMessage_invalidMessageFunc_InputBox.xml</v>
      </c>
      <c r="Y406" s="48" t="str">
        <f>HYPERLINK(X406, H406)</f>
        <v>입력 검증 및 오류 메시지 표시</v>
      </c>
      <c r="Z406" s="4" t="str">
        <f>HYPERLINK(V406,H406)</f>
        <v>입력 검증 및 오류 메시지 표시</v>
      </c>
      <c r="AA406" s="4" t="str">
        <f>HYPERLINK(J406,H406)</f>
        <v>입력 검증 및 오류 메시지 표시</v>
      </c>
      <c r="AB406" s="39" t="str">
        <f t="shared" si="10"/>
        <v>https://docs.inswave.com/websquare/websquare.html?w2xPath=/support/api/guide/InputBox/validate_displaymessage_invalidMessage_invalidMessageFunc_InputBox.xml</v>
      </c>
      <c r="AC406" s="45"/>
      <c r="AD406" s="45"/>
    </row>
    <row r="407" spans="1:30" s="39" customFormat="1" ht="102" x14ac:dyDescent="0.45">
      <c r="A407" s="37">
        <f>SUBTOTAL(3, $T$2:T407)</f>
        <v>328</v>
      </c>
      <c r="B407" s="38" t="s">
        <v>20</v>
      </c>
      <c r="C407" s="39" t="s">
        <v>20</v>
      </c>
      <c r="D407" s="39" t="s">
        <v>277</v>
      </c>
      <c r="E407" s="57" t="s">
        <v>221</v>
      </c>
      <c r="F407" s="41" t="s">
        <v>172</v>
      </c>
      <c r="G407" s="39" t="s">
        <v>80</v>
      </c>
      <c r="H407" s="53" t="s">
        <v>3774</v>
      </c>
      <c r="I407" s="44" t="s">
        <v>75</v>
      </c>
      <c r="J407" s="14" t="s">
        <v>339</v>
      </c>
      <c r="K407" s="22" t="s">
        <v>2939</v>
      </c>
      <c r="L407" s="46">
        <v>44348</v>
      </c>
      <c r="M407" s="14"/>
      <c r="N407" s="45" t="s">
        <v>199</v>
      </c>
      <c r="O407" s="45" t="s">
        <v>199</v>
      </c>
      <c r="P407" s="45" t="s">
        <v>199</v>
      </c>
      <c r="Q407" s="45" t="s">
        <v>199</v>
      </c>
      <c r="R407" s="45" t="s">
        <v>199</v>
      </c>
      <c r="S407" s="45" t="s">
        <v>199</v>
      </c>
      <c r="T407" s="47" t="s">
        <v>4247</v>
      </c>
      <c r="U407" s="39" t="s">
        <v>3764</v>
      </c>
      <c r="V407" s="39" t="str">
        <f>CONCATENATE(U407, D407)</f>
        <v>https://example.websquare.kr/websquare/websquare.html?w2xPath=/guide/InputBox/maxLength_InputBox.xml</v>
      </c>
      <c r="W407" s="39" t="s">
        <v>4512</v>
      </c>
      <c r="X407" s="39" t="str">
        <f>CONCATENATE(W407, D407)</f>
        <v>https://docs.inswave.com/websquare/websquare.html?w2xPath=/support/api/guide/InputBox/maxLength_InputBox.xml</v>
      </c>
      <c r="Y407" s="48" t="str">
        <f>HYPERLINK(X407, H407)</f>
        <v>최대 입력 가능 길이 제한</v>
      </c>
      <c r="Z407" s="4" t="str">
        <f>HYPERLINK(V407,H407)</f>
        <v>최대 입력 가능 길이 제한</v>
      </c>
      <c r="AA407" s="4" t="str">
        <f>HYPERLINK(J407,H407)</f>
        <v>최대 입력 가능 길이 제한</v>
      </c>
      <c r="AB407" s="39" t="str">
        <f t="shared" si="10"/>
        <v>https://docs.inswave.com/websquare/websquare.html?w2xPath=/support/api/guide/InputBox/maxLength_InputBox.xml</v>
      </c>
    </row>
    <row r="408" spans="1:30" s="39" customFormat="1" ht="102" x14ac:dyDescent="0.45">
      <c r="A408" s="37">
        <f>SUBTOTAL(3, $T$2:T408)</f>
        <v>329</v>
      </c>
      <c r="B408" s="38" t="s">
        <v>2078</v>
      </c>
      <c r="C408" s="39" t="s">
        <v>2078</v>
      </c>
      <c r="D408" s="39" t="s">
        <v>2454</v>
      </c>
      <c r="E408" s="40" t="s">
        <v>2343</v>
      </c>
      <c r="F408" s="41" t="s">
        <v>2410</v>
      </c>
      <c r="G408" s="44" t="s">
        <v>2452</v>
      </c>
      <c r="H408" s="53" t="s">
        <v>3777</v>
      </c>
      <c r="I408" s="44" t="s">
        <v>2453</v>
      </c>
      <c r="J408" s="14" t="s">
        <v>2456</v>
      </c>
      <c r="K408" s="22" t="s">
        <v>2942</v>
      </c>
      <c r="L408" s="46">
        <v>45200</v>
      </c>
      <c r="M408" s="14"/>
      <c r="N408" s="45" t="s">
        <v>199</v>
      </c>
      <c r="O408" s="45" t="s">
        <v>199</v>
      </c>
      <c r="P408" s="45"/>
      <c r="Q408" s="45" t="s">
        <v>199</v>
      </c>
      <c r="R408" s="45" t="s">
        <v>199</v>
      </c>
      <c r="S408" s="45" t="s">
        <v>199</v>
      </c>
      <c r="T408" s="47" t="s">
        <v>4247</v>
      </c>
      <c r="U408" s="39" t="s">
        <v>3764</v>
      </c>
      <c r="V408" s="39" t="str">
        <f>CONCATENATE(U408, D408)</f>
        <v>https://example.websquare.kr/websquare/websquare.html?w2xPath=/guide/InputBox/setMaxByteLength_InputBox.xml</v>
      </c>
      <c r="W408" s="39" t="s">
        <v>4512</v>
      </c>
      <c r="X408" s="39" t="str">
        <f>CONCATENATE(W408, D408)</f>
        <v>https://docs.inswave.com/websquare/websquare.html?w2xPath=/support/api/guide/InputBox/setMaxByteLength_InputBox.xml</v>
      </c>
      <c r="Y408" s="48" t="str">
        <f>HYPERLINK(X408, H408)</f>
        <v>최대 입력 가능 바이트 길이 설정 및 초기화</v>
      </c>
      <c r="Z408" s="4" t="str">
        <f>HYPERLINK(V408,H408)</f>
        <v>최대 입력 가능 바이트 길이 설정 및 초기화</v>
      </c>
      <c r="AA408" s="4" t="str">
        <f>HYPERLINK(J408,H408)</f>
        <v>최대 입력 가능 바이트 길이 설정 및 초기화</v>
      </c>
      <c r="AB408" s="39" t="str">
        <f t="shared" si="10"/>
        <v>https://docs.inswave.com/websquare/websquare.html?w2xPath=/support/api/guide/InputBox/setMaxByteLength_InputBox.xml</v>
      </c>
    </row>
    <row r="409" spans="1:30" s="39" customFormat="1" ht="102" x14ac:dyDescent="0.45">
      <c r="A409" s="37">
        <f>SUBTOTAL(3, $T$2:T409)</f>
        <v>330</v>
      </c>
      <c r="B409" s="38" t="s">
        <v>20</v>
      </c>
      <c r="C409" s="39" t="s">
        <v>20</v>
      </c>
      <c r="D409" s="39" t="s">
        <v>524</v>
      </c>
      <c r="E409" s="40" t="s">
        <v>515</v>
      </c>
      <c r="F409" s="41" t="s">
        <v>514</v>
      </c>
      <c r="G409" s="39" t="s">
        <v>511</v>
      </c>
      <c r="H409" s="53" t="s">
        <v>3772</v>
      </c>
      <c r="I409" s="44" t="s">
        <v>470</v>
      </c>
      <c r="J409" s="14" t="s">
        <v>523</v>
      </c>
      <c r="K409" s="22" t="s">
        <v>2934</v>
      </c>
      <c r="L409" s="46">
        <v>44531</v>
      </c>
      <c r="M409" s="14"/>
      <c r="N409" s="45" t="s">
        <v>199</v>
      </c>
      <c r="O409" s="45" t="s">
        <v>199</v>
      </c>
      <c r="P409" s="45" t="s">
        <v>199</v>
      </c>
      <c r="Q409" s="45" t="s">
        <v>199</v>
      </c>
      <c r="R409" s="45" t="s">
        <v>199</v>
      </c>
      <c r="S409" s="45" t="s">
        <v>199</v>
      </c>
      <c r="T409" s="47" t="s">
        <v>4247</v>
      </c>
      <c r="U409" s="39" t="s">
        <v>3764</v>
      </c>
      <c r="V409" s="39" t="str">
        <f>CONCATENATE(U409, D409)</f>
        <v>https://example.websquare.kr/websquare/websquare.html?w2xPath=/guide/InputBox/dataType_displayFormat_applyFormat_InputBox.xml</v>
      </c>
      <c r="W409" s="39" t="s">
        <v>4512</v>
      </c>
      <c r="X409" s="39" t="str">
        <f>CONCATENATE(W409, D409)</f>
        <v>https://docs.inswave.com/websquare/websquare.html?w2xPath=/support/api/guide/InputBox/dataType_displayFormat_applyFormat_InputBox.xml</v>
      </c>
      <c r="Y409" s="48" t="str">
        <f>HYPERLINK(X409, H409)</f>
        <v>포맷 적용 시점 설정</v>
      </c>
      <c r="Z409" s="4" t="str">
        <f>HYPERLINK(V409,H409)</f>
        <v>포맷 적용 시점 설정</v>
      </c>
      <c r="AA409" s="4" t="str">
        <f>HYPERLINK(J409,H409)</f>
        <v>포맷 적용 시점 설정</v>
      </c>
      <c r="AB409" s="39" t="str">
        <f t="shared" si="10"/>
        <v>https://docs.inswave.com/websquare/websquare.html?w2xPath=/support/api/guide/InputBox/dataType_displayFormat_applyFormat_InputBox.xml</v>
      </c>
    </row>
    <row r="410" spans="1:30" s="39" customFormat="1" ht="102" x14ac:dyDescent="0.45">
      <c r="A410" s="37">
        <f>SUBTOTAL(3, $T$2:T410)</f>
        <v>331</v>
      </c>
      <c r="B410" s="38" t="s">
        <v>2078</v>
      </c>
      <c r="C410" s="39" t="s">
        <v>2078</v>
      </c>
      <c r="D410" s="39" t="s">
        <v>2145</v>
      </c>
      <c r="E410" s="40" t="s">
        <v>2108</v>
      </c>
      <c r="F410" s="41" t="s">
        <v>2143</v>
      </c>
      <c r="G410" s="39" t="s">
        <v>2168</v>
      </c>
      <c r="H410" s="53" t="s">
        <v>3776</v>
      </c>
      <c r="I410" s="44" t="s">
        <v>2144</v>
      </c>
      <c r="J410" s="14" t="s">
        <v>2172</v>
      </c>
      <c r="K410" s="22" t="s">
        <v>2941</v>
      </c>
      <c r="L410" s="46">
        <v>45047</v>
      </c>
      <c r="M410" s="14"/>
      <c r="N410" s="45" t="s">
        <v>199</v>
      </c>
      <c r="O410" s="45" t="s">
        <v>199</v>
      </c>
      <c r="P410" s="45" t="s">
        <v>199</v>
      </c>
      <c r="Q410" s="45" t="s">
        <v>199</v>
      </c>
      <c r="R410" s="45" t="s">
        <v>199</v>
      </c>
      <c r="S410" s="45" t="s">
        <v>199</v>
      </c>
      <c r="T410" s="47" t="s">
        <v>4247</v>
      </c>
      <c r="U410" s="39" t="s">
        <v>3764</v>
      </c>
      <c r="V410" s="39" t="str">
        <f>CONCATENATE(U410, D410)</f>
        <v>https://example.websquare.kr/websquare/websquare.html?w2xPath=/guide/InputBox/setMandatory_getMandatory_InputBox.xml</v>
      </c>
      <c r="W410" s="39" t="s">
        <v>4512</v>
      </c>
      <c r="X410" s="39" t="str">
        <f>CONCATENATE(W410, D410)</f>
        <v>https://docs.inswave.com/websquare/websquare.html?w2xPath=/support/api/guide/InputBox/setMandatory_getMandatory_InputBox.xml</v>
      </c>
      <c r="Y410" s="48" t="str">
        <f>HYPERLINK(X410, H410)</f>
        <v>필수 입력 (mandatory) 설정 및 확인</v>
      </c>
      <c r="Z410" s="4" t="str">
        <f>HYPERLINK(V410,H410)</f>
        <v>필수 입력 (mandatory) 설정 및 확인</v>
      </c>
      <c r="AA410" s="4" t="str">
        <f>HYPERLINK(J410,H410)</f>
        <v>필수 입력 (mandatory) 설정 및 확인</v>
      </c>
      <c r="AB410" s="39" t="str">
        <f t="shared" si="10"/>
        <v>https://docs.inswave.com/websquare/websquare.html?w2xPath=/support/api/guide/InputBox/setMandatory_getMandatory_InputBox.xml</v>
      </c>
    </row>
    <row r="411" spans="1:30" s="39" customFormat="1" ht="102" x14ac:dyDescent="0.45">
      <c r="A411" s="37">
        <f>SUBTOTAL(3, $T$2:T411)</f>
        <v>332</v>
      </c>
      <c r="B411" s="38" t="s">
        <v>2016</v>
      </c>
      <c r="C411" s="39" t="s">
        <v>2016</v>
      </c>
      <c r="D411" s="39" t="s">
        <v>2387</v>
      </c>
      <c r="E411" s="40" t="s">
        <v>2377</v>
      </c>
      <c r="F411" s="41" t="s">
        <v>2376</v>
      </c>
      <c r="G411" s="39" t="s">
        <v>2379</v>
      </c>
      <c r="H411" s="53" t="s">
        <v>3892</v>
      </c>
      <c r="I411" s="44" t="s">
        <v>2385</v>
      </c>
      <c r="J411" s="14" t="s">
        <v>2391</v>
      </c>
      <c r="K411" s="22" t="s">
        <v>2947</v>
      </c>
      <c r="L411" s="46">
        <v>45170</v>
      </c>
      <c r="M411" s="14"/>
      <c r="N411" s="45" t="s">
        <v>199</v>
      </c>
      <c r="O411" s="45" t="s">
        <v>199</v>
      </c>
      <c r="P411" s="45" t="s">
        <v>199</v>
      </c>
      <c r="Q411" s="45" t="s">
        <v>199</v>
      </c>
      <c r="R411" s="45" t="s">
        <v>199</v>
      </c>
      <c r="S411" s="45" t="s">
        <v>199</v>
      </c>
      <c r="T411" s="47" t="s">
        <v>4247</v>
      </c>
      <c r="U411" s="39" t="s">
        <v>3764</v>
      </c>
      <c r="V411" s="39" t="str">
        <f>CONCATENATE(U411, D411)</f>
        <v>https://example.websquare.kr/websquare/websquare.html?w2xPath=/guide/InputCalendar/cancelButtonShow_InputCalendar.xml</v>
      </c>
      <c r="W411" s="39" t="s">
        <v>4512</v>
      </c>
      <c r="X411" s="39" t="str">
        <f>CONCATENATE(W411, D411)</f>
        <v>https://docs.inswave.com/websquare/websquare.html?w2xPath=/support/api/guide/InputCalendar/cancelButtonShow_InputCalendar.xml</v>
      </c>
      <c r="Y411" s="48" t="str">
        <f>HYPERLINK(X411, H411)</f>
        <v>날짜 선택 취소 버튼 표시하기</v>
      </c>
      <c r="Z411" s="4" t="str">
        <f>HYPERLINK(V411,H411)</f>
        <v>날짜 선택 취소 버튼 표시하기</v>
      </c>
      <c r="AA411" s="4" t="str">
        <f>HYPERLINK(J411,H411)</f>
        <v>날짜 선택 취소 버튼 표시하기</v>
      </c>
      <c r="AB411" s="39" t="str">
        <f t="shared" si="10"/>
        <v>https://docs.inswave.com/websquare/websquare.html?w2xPath=/support/api/guide/InputCalendar/cancelButtonShow_InputCalendar.xml</v>
      </c>
    </row>
    <row r="412" spans="1:30" s="39" customFormat="1" ht="119" x14ac:dyDescent="0.45">
      <c r="A412" s="37">
        <f>SUBTOTAL(3, $T$2:T412)</f>
        <v>333</v>
      </c>
      <c r="B412" s="38" t="s">
        <v>33</v>
      </c>
      <c r="C412" s="39" t="s">
        <v>33</v>
      </c>
      <c r="D412" s="39" t="s">
        <v>3695</v>
      </c>
      <c r="E412" s="57" t="s">
        <v>295</v>
      </c>
      <c r="F412" s="41" t="s">
        <v>175</v>
      </c>
      <c r="G412" s="39" t="s">
        <v>77</v>
      </c>
      <c r="H412" s="53" t="s">
        <v>3882</v>
      </c>
      <c r="I412" s="44" t="s">
        <v>296</v>
      </c>
      <c r="J412" s="14" t="s">
        <v>331</v>
      </c>
      <c r="K412" s="22" t="s">
        <v>2945</v>
      </c>
      <c r="L412" s="46">
        <v>44348</v>
      </c>
      <c r="M412" s="14"/>
      <c r="N412" s="45" t="s">
        <v>199</v>
      </c>
      <c r="O412" s="45" t="s">
        <v>199</v>
      </c>
      <c r="P412" s="45" t="s">
        <v>199</v>
      </c>
      <c r="Q412" s="45" t="s">
        <v>199</v>
      </c>
      <c r="R412" s="45" t="s">
        <v>199</v>
      </c>
      <c r="S412" s="45" t="s">
        <v>199</v>
      </c>
      <c r="T412" s="47" t="s">
        <v>4247</v>
      </c>
      <c r="U412" s="39" t="s">
        <v>3764</v>
      </c>
      <c r="V412" s="39" t="str">
        <f>CONCATENATE(U412, D412)</f>
        <v>https://example.websquare.kr/websquare/websquare.html?w2xPath=/guide/InputCalendar/dateValidSetCustom_setValueCancel_InputCalendar/dateValidSetCustom_setValueCancel_InputCalendar.xml</v>
      </c>
      <c r="W412" s="39" t="s">
        <v>4512</v>
      </c>
      <c r="X412" s="39" t="str">
        <f>CONCATENATE(W412, D412)</f>
        <v>https://docs.inswave.com/websquare/websquare.html?w2xPath=/support/api/guide/InputCalendar/dateValidSetCustom_setValueCancel_InputCalendar/dateValidSetCustom_setValueCancel_InputCalendar.xml</v>
      </c>
      <c r="Y412" s="48" t="str">
        <f>HYPERLINK(X412, H412)</f>
        <v>날짜 유효성 검증을 위한 사용자 정의 함수 사용</v>
      </c>
      <c r="Z412" s="4" t="str">
        <f>HYPERLINK(V412,H412)</f>
        <v>날짜 유효성 검증을 위한 사용자 정의 함수 사용</v>
      </c>
      <c r="AA412" s="4" t="str">
        <f>HYPERLINK(J412,H412)</f>
        <v>날짜 유효성 검증을 위한 사용자 정의 함수 사용</v>
      </c>
      <c r="AB412" s="39" t="str">
        <f t="shared" si="10"/>
        <v>https://docs.inswave.com/websquare/websquare.html?w2xPath=/support/api/guide/InputCalendar/dateValidSetCustom_setValueCancel_InputCalendar/dateValidSetCustom_setValueCancel_InputCalendar.xml</v>
      </c>
    </row>
    <row r="413" spans="1:30" s="39" customFormat="1" ht="102" x14ac:dyDescent="0.45">
      <c r="A413" s="37">
        <f>SUBTOTAL(3, $T$2:T413)</f>
        <v>334</v>
      </c>
      <c r="B413" s="38" t="s">
        <v>33</v>
      </c>
      <c r="C413" s="39" t="s">
        <v>33</v>
      </c>
      <c r="D413" s="39" t="s">
        <v>1486</v>
      </c>
      <c r="E413" s="40" t="s">
        <v>1959</v>
      </c>
      <c r="F413" s="41" t="s">
        <v>1955</v>
      </c>
      <c r="G413" s="39" t="s">
        <v>414</v>
      </c>
      <c r="H413" s="53" t="s">
        <v>3896</v>
      </c>
      <c r="I413" s="44" t="s">
        <v>1466</v>
      </c>
      <c r="J413" s="14" t="s">
        <v>1961</v>
      </c>
      <c r="K413" s="22" t="s">
        <v>2957</v>
      </c>
      <c r="L413" s="46">
        <v>43983</v>
      </c>
      <c r="M413" s="14"/>
      <c r="N413" s="45" t="s">
        <v>199</v>
      </c>
      <c r="O413" s="45" t="s">
        <v>199</v>
      </c>
      <c r="P413" s="45" t="s">
        <v>199</v>
      </c>
      <c r="Q413" s="45" t="s">
        <v>199</v>
      </c>
      <c r="R413" s="45" t="s">
        <v>199</v>
      </c>
      <c r="S413" s="45" t="s">
        <v>199</v>
      </c>
      <c r="T413" s="47" t="s">
        <v>4247</v>
      </c>
      <c r="U413" s="39" t="s">
        <v>3764</v>
      </c>
      <c r="V413" s="39" t="str">
        <f>CONCATENATE(U413, D413)</f>
        <v>https://example.websquare.kr/websquare/websquare.html?w2xPath=/guide/InputCalendar/setIoFormat_InputCalendar.xml</v>
      </c>
      <c r="W413" s="39" t="s">
        <v>4512</v>
      </c>
      <c r="X413" s="39" t="str">
        <f>CONCATENATE(W413, D413)</f>
        <v>https://docs.inswave.com/websquare/websquare.html?w2xPath=/support/api/guide/InputCalendar/setIoFormat_InputCalendar.xml</v>
      </c>
      <c r="Y413" s="48" t="str">
        <f>HYPERLINK(X413, H413)</f>
        <v>날짜 입출력 형식 (동적) 설정</v>
      </c>
      <c r="Z413" s="4" t="str">
        <f>HYPERLINK(V413,H413)</f>
        <v>날짜 입출력 형식 (동적) 설정</v>
      </c>
      <c r="AA413" s="4" t="str">
        <f>HYPERLINK(J413,H413)</f>
        <v>날짜 입출력 형식 (동적) 설정</v>
      </c>
      <c r="AB413" s="39" t="str">
        <f t="shared" si="10"/>
        <v>https://docs.inswave.com/websquare/websquare.html?w2xPath=/support/api/guide/InputCalendar/setIoFormat_InputCalendar.xml</v>
      </c>
    </row>
    <row r="414" spans="1:30" s="39" customFormat="1" ht="102" x14ac:dyDescent="0.45">
      <c r="A414" s="37">
        <f>SUBTOTAL(3, $T$2:T414)</f>
        <v>335</v>
      </c>
      <c r="B414" s="38" t="s">
        <v>33</v>
      </c>
      <c r="C414" s="39" t="s">
        <v>33</v>
      </c>
      <c r="D414" s="39" t="s">
        <v>406</v>
      </c>
      <c r="E414" s="40" t="s">
        <v>411</v>
      </c>
      <c r="F414" s="41" t="s">
        <v>202</v>
      </c>
      <c r="G414" s="39" t="s">
        <v>414</v>
      </c>
      <c r="H414" s="53" t="s">
        <v>3895</v>
      </c>
      <c r="I414" s="44" t="s">
        <v>450</v>
      </c>
      <c r="J414" s="14" t="s">
        <v>413</v>
      </c>
      <c r="K414" s="22" t="s">
        <v>2954</v>
      </c>
      <c r="L414" s="46">
        <v>44197</v>
      </c>
      <c r="M414" s="14"/>
      <c r="N414" s="45" t="s">
        <v>199</v>
      </c>
      <c r="O414" s="45" t="s">
        <v>199</v>
      </c>
      <c r="P414" s="45" t="s">
        <v>199</v>
      </c>
      <c r="Q414" s="45" t="s">
        <v>199</v>
      </c>
      <c r="R414" s="45" t="s">
        <v>199</v>
      </c>
      <c r="S414" s="45" t="s">
        <v>199</v>
      </c>
      <c r="T414" s="47" t="s">
        <v>4247</v>
      </c>
      <c r="U414" s="39" t="s">
        <v>3764</v>
      </c>
      <c r="V414" s="39" t="str">
        <f>CONCATENATE(U414, D414)</f>
        <v>https://example.websquare.kr/websquare/websquare.html?w2xPath=/guide/InputCalendar/ioFormat_displayFormat_calendarDisplayFormat_InputCalendar.xml</v>
      </c>
      <c r="W414" s="39" t="s">
        <v>4512</v>
      </c>
      <c r="X414" s="39" t="str">
        <f>CONCATENATE(W414, D414)</f>
        <v>https://docs.inswave.com/websquare/websquare.html?w2xPath=/support/api/guide/InputCalendar/ioFormat_displayFormat_calendarDisplayFormat_InputCalendar.xml</v>
      </c>
      <c r="Y414" s="48" t="str">
        <f>HYPERLINK(X414, H414)</f>
        <v>날짜 입출력 형식 (정적) 설정</v>
      </c>
      <c r="Z414" s="4" t="str">
        <f>HYPERLINK(V414,H414)</f>
        <v>날짜 입출력 형식 (정적) 설정</v>
      </c>
      <c r="AA414" s="4" t="str">
        <f>HYPERLINK(J414,H414)</f>
        <v>날짜 입출력 형식 (정적) 설정</v>
      </c>
      <c r="AB414" s="39" t="str">
        <f t="shared" si="10"/>
        <v>https://docs.inswave.com/websquare/websquare.html?w2xPath=/support/api/guide/InputCalendar/ioFormat_displayFormat_calendarDisplayFormat_InputCalendar.xml</v>
      </c>
    </row>
    <row r="415" spans="1:30" s="39" customFormat="1" ht="102" x14ac:dyDescent="0.45">
      <c r="A415" s="37">
        <f>SUBTOTAL(3, $T$2:T415)</f>
        <v>336</v>
      </c>
      <c r="B415" s="38" t="s">
        <v>2016</v>
      </c>
      <c r="C415" s="38" t="s">
        <v>2016</v>
      </c>
      <c r="D415" s="39" t="s">
        <v>2455</v>
      </c>
      <c r="E415" s="40" t="s">
        <v>2434</v>
      </c>
      <c r="F415" s="41" t="s">
        <v>2432</v>
      </c>
      <c r="G415" s="44" t="s">
        <v>2436</v>
      </c>
      <c r="H415" s="53" t="s">
        <v>3893</v>
      </c>
      <c r="I415" s="40" t="s">
        <v>2431</v>
      </c>
      <c r="J415" s="14" t="s">
        <v>2457</v>
      </c>
      <c r="K415" s="22" t="s">
        <v>2956</v>
      </c>
      <c r="L415" s="46">
        <v>45200</v>
      </c>
      <c r="M415" s="45" t="s">
        <v>199</v>
      </c>
      <c r="N415" s="45" t="s">
        <v>199</v>
      </c>
      <c r="O415" s="45" t="s">
        <v>199</v>
      </c>
      <c r="P415" s="45"/>
      <c r="Q415" s="45" t="s">
        <v>199</v>
      </c>
      <c r="R415" s="45" t="s">
        <v>199</v>
      </c>
      <c r="S415" s="45" t="s">
        <v>199</v>
      </c>
      <c r="T415" s="47" t="s">
        <v>4247</v>
      </c>
      <c r="U415" s="39" t="s">
        <v>3764</v>
      </c>
      <c r="V415" s="39" t="str">
        <f>CONCATENATE(U415, D415)</f>
        <v>https://example.websquare.kr/websquare/websquare.html?w2xPath=/guide/InputCalendar/resetButtonShow_InputCalendar.xml</v>
      </c>
      <c r="W415" s="39" t="s">
        <v>4512</v>
      </c>
      <c r="X415" s="39" t="str">
        <f>CONCATENATE(W415, D415)</f>
        <v>https://docs.inswave.com/websquare/websquare.html?w2xPath=/support/api/guide/InputCalendar/resetButtonShow_InputCalendar.xml</v>
      </c>
      <c r="Y415" s="48" t="str">
        <f>HYPERLINK(X415, H415)</f>
        <v>날짜 초기화 버튼 표시하기/숨기기</v>
      </c>
      <c r="Z415" s="4" t="str">
        <f>HYPERLINK(V415,H415)</f>
        <v>날짜 초기화 버튼 표시하기/숨기기</v>
      </c>
      <c r="AA415" s="4" t="str">
        <f>HYPERLINK(J415,H415)</f>
        <v>날짜 초기화 버튼 표시하기/숨기기</v>
      </c>
      <c r="AB415" s="39" t="str">
        <f t="shared" si="10"/>
        <v>https://docs.inswave.com/websquare/websquare.html?w2xPath=/support/api/guide/InputCalendar/resetButtonShow_InputCalendar.xml</v>
      </c>
    </row>
    <row r="416" spans="1:30" s="39" customFormat="1" ht="102" x14ac:dyDescent="0.45">
      <c r="A416" s="37">
        <f>SUBTOTAL(3, $T$2:T416)</f>
        <v>337</v>
      </c>
      <c r="B416" s="38" t="s">
        <v>33</v>
      </c>
      <c r="C416" s="39" t="s">
        <v>33</v>
      </c>
      <c r="D416" s="39" t="s">
        <v>358</v>
      </c>
      <c r="E416" s="40" t="s">
        <v>2953</v>
      </c>
      <c r="F416" s="41" t="s">
        <v>364</v>
      </c>
      <c r="G416" s="39" t="s">
        <v>359</v>
      </c>
      <c r="H416" s="53" t="s">
        <v>4532</v>
      </c>
      <c r="I416" s="39" t="s">
        <v>328</v>
      </c>
      <c r="J416" s="14" t="s">
        <v>363</v>
      </c>
      <c r="K416" s="22" t="s">
        <v>2952</v>
      </c>
      <c r="L416" s="46">
        <v>44531</v>
      </c>
      <c r="M416" s="14"/>
      <c r="N416" s="45" t="s">
        <v>199</v>
      </c>
      <c r="O416" s="45" t="s">
        <v>199</v>
      </c>
      <c r="P416" s="45" t="s">
        <v>199</v>
      </c>
      <c r="Q416" s="45" t="s">
        <v>199</v>
      </c>
      <c r="R416" s="45" t="s">
        <v>199</v>
      </c>
      <c r="S416" s="45" t="s">
        <v>199</v>
      </c>
      <c r="T416" s="47" t="s">
        <v>4247</v>
      </c>
      <c r="U416" s="39" t="s">
        <v>3764</v>
      </c>
      <c r="V416" s="39" t="str">
        <f>CONCATENATE(U416, D416)</f>
        <v>https://example.websquare.kr/websquare/websquare.html?w2xPath=/guide/InputCalendar/displayDayType_InputCalendar.xml</v>
      </c>
      <c r="W416" s="39" t="s">
        <v>4512</v>
      </c>
      <c r="X416" s="39" t="str">
        <f>CONCATENATE(W416, D416)</f>
        <v>https://docs.inswave.com/websquare/websquare.html?w2xPath=/support/api/guide/InputCalendar/displayDayType_InputCalendar.xml</v>
      </c>
      <c r="Y416" s="48" t="str">
        <f>HYPERLINK(X416, H416)</f>
        <v>달력 요일을 텍스트 또는 이미지로 표시</v>
      </c>
      <c r="Z416" s="4" t="str">
        <f>HYPERLINK(V416,H416)</f>
        <v>달력 요일을 텍스트 또는 이미지로 표시</v>
      </c>
      <c r="AA416" s="4" t="str">
        <f>HYPERLINK(J416,H416)</f>
        <v>달력 요일을 텍스트 또는 이미지로 표시</v>
      </c>
      <c r="AB416" s="39" t="str">
        <f t="shared" si="10"/>
        <v>https://docs.inswave.com/websquare/websquare.html?w2xPath=/support/api/guide/InputCalendar/displayDayType_InputCalendar.xml</v>
      </c>
    </row>
    <row r="417" spans="1:30" s="39" customFormat="1" ht="102" x14ac:dyDescent="0.45">
      <c r="A417" s="37">
        <f>SUBTOTAL(3, $T$2:T417)</f>
        <v>338</v>
      </c>
      <c r="B417" s="38" t="s">
        <v>33</v>
      </c>
      <c r="C417" s="39" t="s">
        <v>33</v>
      </c>
      <c r="D417" s="39" t="s">
        <v>1310</v>
      </c>
      <c r="E417" s="40" t="s">
        <v>2370</v>
      </c>
      <c r="F417" s="41" t="s">
        <v>2365</v>
      </c>
      <c r="G417" s="39" t="s">
        <v>1316</v>
      </c>
      <c r="H417" s="53" t="s">
        <v>3887</v>
      </c>
      <c r="I417" s="44" t="s">
        <v>1292</v>
      </c>
      <c r="J417" s="14" t="s">
        <v>2371</v>
      </c>
      <c r="K417" s="22" t="s">
        <v>2949</v>
      </c>
      <c r="L417" s="46">
        <v>43770</v>
      </c>
      <c r="M417" s="45" t="s">
        <v>199</v>
      </c>
      <c r="N417" s="45" t="s">
        <v>199</v>
      </c>
      <c r="O417" s="45" t="s">
        <v>199</v>
      </c>
      <c r="P417" s="45" t="s">
        <v>199</v>
      </c>
      <c r="Q417" s="45" t="s">
        <v>199</v>
      </c>
      <c r="R417" s="45" t="s">
        <v>199</v>
      </c>
      <c r="S417" s="45" t="s">
        <v>199</v>
      </c>
      <c r="T417" s="47" t="s">
        <v>4247</v>
      </c>
      <c r="U417" s="39" t="s">
        <v>3764</v>
      </c>
      <c r="V417" s="39" t="str">
        <f>CONCATENATE(U417, D417)</f>
        <v>https://example.websquare.kr/websquare/websquare.html?w2xPath=/guide/InputCalendar/defaultDate_getDefaultDate_setDefaultDate_InputCalendar.xml</v>
      </c>
      <c r="W417" s="39" t="s">
        <v>4512</v>
      </c>
      <c r="X417" s="39" t="str">
        <f>CONCATENATE(W417, D417)</f>
        <v>https://docs.inswave.com/websquare/websquare.html?w2xPath=/support/api/guide/InputCalendar/defaultDate_getDefaultDate_setDefaultDate_InputCalendar.xml</v>
      </c>
      <c r="Y417" s="48" t="str">
        <f>HYPERLINK(X417, H417)</f>
        <v>달력을 열 때 표시되는 날짜 설정</v>
      </c>
      <c r="Z417" s="4" t="str">
        <f>HYPERLINK(V417,H417)</f>
        <v>달력을 열 때 표시되는 날짜 설정</v>
      </c>
      <c r="AA417" s="4" t="str">
        <f>HYPERLINK(J417,H417)</f>
        <v>달력을 열 때 표시되는 날짜 설정</v>
      </c>
      <c r="AB417" s="39" t="str">
        <f t="shared" si="10"/>
        <v>https://docs.inswave.com/websquare/websquare.html?w2xPath=/support/api/guide/InputCalendar/defaultDate_getDefaultDate_setDefaultDate_InputCalendar.xml</v>
      </c>
    </row>
    <row r="418" spans="1:30" s="39" customFormat="1" ht="102" x14ac:dyDescent="0.45">
      <c r="A418" s="37">
        <f>SUBTOTAL(3, $T$2:T418)</f>
        <v>339</v>
      </c>
      <c r="B418" s="38" t="s">
        <v>33</v>
      </c>
      <c r="C418" s="39" t="s">
        <v>33</v>
      </c>
      <c r="D418" s="39" t="s">
        <v>692</v>
      </c>
      <c r="E418" s="40" t="s">
        <v>688</v>
      </c>
      <c r="F418" s="41" t="s">
        <v>701</v>
      </c>
      <c r="G418" s="39" t="s">
        <v>691</v>
      </c>
      <c r="H418" s="53" t="s">
        <v>3889</v>
      </c>
      <c r="I418" s="44" t="s">
        <v>721</v>
      </c>
      <c r="J418" s="14" t="s">
        <v>700</v>
      </c>
      <c r="K418" s="22" t="s">
        <v>2955</v>
      </c>
      <c r="L418" s="46">
        <v>44166</v>
      </c>
      <c r="M418" s="45" t="s">
        <v>200</v>
      </c>
      <c r="N418" s="45" t="s">
        <v>199</v>
      </c>
      <c r="O418" s="45" t="s">
        <v>199</v>
      </c>
      <c r="P418" s="47" t="s">
        <v>199</v>
      </c>
      <c r="Q418" s="45" t="s">
        <v>199</v>
      </c>
      <c r="R418" s="45" t="s">
        <v>199</v>
      </c>
      <c r="S418" s="45" t="s">
        <v>199</v>
      </c>
      <c r="T418" s="47" t="s">
        <v>4247</v>
      </c>
      <c r="U418" s="39" t="s">
        <v>3764</v>
      </c>
      <c r="V418" s="39" t="str">
        <f>CONCATENATE(U418, D418)</f>
        <v>https://example.websquare.kr/websquare/websquare.html?w2xPath=/guide/InputCalendar/pickerType_InputCalendar.xml</v>
      </c>
      <c r="W418" s="39" t="s">
        <v>4512</v>
      </c>
      <c r="X418" s="39" t="str">
        <f>CONCATENATE(W418, D418)</f>
        <v>https://docs.inswave.com/websquare/websquare.html?w2xPath=/support/api/guide/InputCalendar/pickerType_InputCalendar.xml</v>
      </c>
      <c r="Y418" s="48" t="str">
        <f>HYPERLINK(X418, H418)</f>
        <v>달력의 연도 및 월 표시 방법 설정</v>
      </c>
      <c r="Z418" s="4" t="str">
        <f>HYPERLINK(V418,H418)</f>
        <v>달력의 연도 및 월 표시 방법 설정</v>
      </c>
      <c r="AA418" s="4" t="str">
        <f>HYPERLINK(J418,H418)</f>
        <v>달력의 연도 및 월 표시 방법 설정</v>
      </c>
      <c r="AB418" s="39" t="str">
        <f t="shared" si="10"/>
        <v>https://docs.inswave.com/websquare/websquare.html?w2xPath=/support/api/guide/InputCalendar/pickerType_InputCalendar.xml</v>
      </c>
    </row>
    <row r="419" spans="1:30" s="39" customFormat="1" ht="102" x14ac:dyDescent="0.45">
      <c r="A419" s="37">
        <f>SUBTOTAL(3, $T$2:T419)</f>
        <v>340</v>
      </c>
      <c r="B419" s="38" t="s">
        <v>33</v>
      </c>
      <c r="C419" s="39" t="s">
        <v>33</v>
      </c>
      <c r="D419" s="39" t="s">
        <v>3433</v>
      </c>
      <c r="E419" s="40" t="s">
        <v>1011</v>
      </c>
      <c r="F419" s="41" t="s">
        <v>975</v>
      </c>
      <c r="G419" s="39" t="s">
        <v>980</v>
      </c>
      <c r="H419" s="53" t="s">
        <v>3890</v>
      </c>
      <c r="I419" s="44" t="s">
        <v>984</v>
      </c>
      <c r="J419" s="14" t="s">
        <v>977</v>
      </c>
      <c r="K419" s="22" t="s">
        <v>3434</v>
      </c>
      <c r="L419" s="46">
        <v>44166</v>
      </c>
      <c r="M419" s="14"/>
      <c r="N419" s="45" t="s">
        <v>199</v>
      </c>
      <c r="O419" s="45" t="s">
        <v>199</v>
      </c>
      <c r="P419" s="47" t="s">
        <v>199</v>
      </c>
      <c r="Q419" s="45" t="s">
        <v>199</v>
      </c>
      <c r="R419" s="45" t="s">
        <v>199</v>
      </c>
      <c r="S419" s="45" t="s">
        <v>199</v>
      </c>
      <c r="T419" s="47" t="s">
        <v>4247</v>
      </c>
      <c r="U419" s="39" t="s">
        <v>3764</v>
      </c>
      <c r="V419" s="39" t="str">
        <f>CONCATENATE(U419, D419)</f>
        <v>https://example.websquare.kr/websquare/websquare.html?w2xPath=/guide/InputCalendar/pickerType_dynamicHeaderOrder_InputCalendar.xml</v>
      </c>
      <c r="W419" s="39" t="s">
        <v>4512</v>
      </c>
      <c r="X419" s="39" t="str">
        <f>CONCATENATE(W419, D419)</f>
        <v>https://docs.inswave.com/websquare/websquare.html?w2xPath=/support/api/guide/InputCalendar/pickerType_dynamicHeaderOrder_InputCalendar.xml</v>
      </c>
      <c r="Y419" s="48" t="str">
        <f>HYPERLINK(X419, H419)</f>
        <v>달력의 연도 및 월 표시 순서 설정</v>
      </c>
      <c r="Z419" s="4" t="str">
        <f>HYPERLINK(V419,H419)</f>
        <v>달력의 연도 및 월 표시 순서 설정</v>
      </c>
      <c r="AA419" s="4" t="str">
        <f>HYPERLINK(J419,H419)</f>
        <v>달력의 연도 및 월 표시 순서 설정</v>
      </c>
      <c r="AB419" s="39" t="str">
        <f t="shared" si="10"/>
        <v>https://docs.inswave.com/websquare/websquare.html?w2xPath=/support/api/guide/InputCalendar/pickerType_dynamicHeaderOrder_InputCalendar.xml</v>
      </c>
    </row>
    <row r="420" spans="1:30" s="39" customFormat="1" ht="102" x14ac:dyDescent="0.45">
      <c r="A420" s="37">
        <f>SUBTOTAL(3, $T$2:T420)</f>
        <v>341</v>
      </c>
      <c r="B420" s="38" t="s">
        <v>33</v>
      </c>
      <c r="C420" s="39" t="s">
        <v>33</v>
      </c>
      <c r="D420" s="39" t="s">
        <v>979</v>
      </c>
      <c r="E420" s="40" t="s">
        <v>3228</v>
      </c>
      <c r="F420" s="41" t="s">
        <v>978</v>
      </c>
      <c r="G420" s="39" t="s">
        <v>675</v>
      </c>
      <c r="H420" s="53" t="s">
        <v>3894</v>
      </c>
      <c r="I420" s="44" t="s">
        <v>49</v>
      </c>
      <c r="J420" s="14" t="s">
        <v>981</v>
      </c>
      <c r="K420" s="22" t="s">
        <v>2961</v>
      </c>
      <c r="L420" s="46">
        <v>44166</v>
      </c>
      <c r="M420" s="14"/>
      <c r="N420" s="45" t="s">
        <v>199</v>
      </c>
      <c r="O420" s="45" t="s">
        <v>199</v>
      </c>
      <c r="P420" s="47" t="s">
        <v>199</v>
      </c>
      <c r="Q420" s="45" t="s">
        <v>199</v>
      </c>
      <c r="R420" s="45" t="s">
        <v>199</v>
      </c>
      <c r="S420" s="45" t="s">
        <v>199</v>
      </c>
      <c r="T420" s="47" t="s">
        <v>4247</v>
      </c>
      <c r="U420" s="39" t="s">
        <v>3764</v>
      </c>
      <c r="V420" s="39" t="str">
        <f>CONCATENATE(U420, D420)</f>
        <v>https://example.websquare.kr/websquare/websquare.html?w2xPath=/guide/InputCalendar/visibleWeekNum_InputCalendar.xml</v>
      </c>
      <c r="W420" s="39" t="s">
        <v>4512</v>
      </c>
      <c r="X420" s="39" t="str">
        <f>CONCATENATE(W420, D420)</f>
        <v>https://docs.inswave.com/websquare/websquare.html?w2xPath=/support/api/guide/InputCalendar/visibleWeekNum_InputCalendar.xml</v>
      </c>
      <c r="Y420" s="48" t="str">
        <f>HYPERLINK(X420, H420)</f>
        <v>달력의 주(Week) 수 설정</v>
      </c>
      <c r="Z420" s="4" t="str">
        <f>HYPERLINK(V420,H420)</f>
        <v>달력의 주(Week) 수 설정</v>
      </c>
      <c r="AA420" s="4" t="str">
        <f>HYPERLINK(J420,H420)</f>
        <v>달력의 주(Week) 수 설정</v>
      </c>
      <c r="AB420" s="39" t="str">
        <f t="shared" si="10"/>
        <v>https://docs.inswave.com/websquare/websquare.html?w2xPath=/support/api/guide/InputCalendar/visibleWeekNum_InputCalendar.xml</v>
      </c>
    </row>
    <row r="421" spans="1:30" s="39" customFormat="1" ht="102" x14ac:dyDescent="0.45">
      <c r="A421" s="37">
        <f>SUBTOTAL(3, $T$2:T421)</f>
        <v>342</v>
      </c>
      <c r="B421" s="38" t="s">
        <v>33</v>
      </c>
      <c r="C421" s="39" t="s">
        <v>33</v>
      </c>
      <c r="D421" s="39" t="s">
        <v>1604</v>
      </c>
      <c r="E421" s="40" t="s">
        <v>3225</v>
      </c>
      <c r="F421" s="41" t="s">
        <v>1603</v>
      </c>
      <c r="G421" s="39" t="s">
        <v>1544</v>
      </c>
      <c r="H421" s="59" t="s">
        <v>4530</v>
      </c>
      <c r="I421" s="44" t="s">
        <v>1545</v>
      </c>
      <c r="J421" s="14" t="s">
        <v>1761</v>
      </c>
      <c r="K421" s="22" t="s">
        <v>2959</v>
      </c>
      <c r="L421" s="46">
        <v>44075</v>
      </c>
      <c r="M421" s="14"/>
      <c r="N421" s="45" t="s">
        <v>199</v>
      </c>
      <c r="O421" s="45" t="s">
        <v>199</v>
      </c>
      <c r="P421" s="45" t="s">
        <v>199</v>
      </c>
      <c r="Q421" s="45" t="s">
        <v>199</v>
      </c>
      <c r="R421" s="45" t="s">
        <v>199</v>
      </c>
      <c r="S421" s="45" t="s">
        <v>199</v>
      </c>
      <c r="T421" s="47" t="s">
        <v>4247</v>
      </c>
      <c r="U421" s="39" t="s">
        <v>3764</v>
      </c>
      <c r="V421" s="39" t="str">
        <f>CONCATENATE(U421, D421)</f>
        <v>https://example.websquare.kr/websquare/websquare.html?w2xPath=/guide/InputCalendar/showToday_InputCalendar.xml</v>
      </c>
      <c r="W421" s="39" t="s">
        <v>4512</v>
      </c>
      <c r="X421" s="39" t="str">
        <f>CONCATENATE(W421, D421)</f>
        <v>https://docs.inswave.com/websquare/websquare.html?w2xPath=/support/api/guide/InputCalendar/showToday_InputCalendar.xml</v>
      </c>
      <c r="Y421" s="48" t="str">
        <f>HYPERLINK(X421, H421)</f>
        <v>'오늘' 버튼 표시하기/숨기기</v>
      </c>
      <c r="Z421" s="4" t="str">
        <f>HYPERLINK(V421,H421)</f>
        <v>'오늘' 버튼 표시하기/숨기기</v>
      </c>
      <c r="AA421" s="4" t="str">
        <f>HYPERLINK(J421,H421)</f>
        <v>'오늘' 버튼 표시하기/숨기기</v>
      </c>
      <c r="AB421" s="39" t="str">
        <f t="shared" si="10"/>
        <v>https://docs.inswave.com/websquare/websquare.html?w2xPath=/support/api/guide/InputCalendar/showToday_InputCalendar.xml</v>
      </c>
    </row>
    <row r="422" spans="1:30" s="39" customFormat="1" ht="102" x14ac:dyDescent="0.45">
      <c r="A422" s="37">
        <f>SUBTOTAL(3, $T$2:T422)</f>
        <v>343</v>
      </c>
      <c r="B422" s="38" t="s">
        <v>33</v>
      </c>
      <c r="C422" s="39" t="s">
        <v>33</v>
      </c>
      <c r="D422" s="39" t="s">
        <v>1661</v>
      </c>
      <c r="E422" s="40" t="s">
        <v>1912</v>
      </c>
      <c r="F422" s="41" t="s">
        <v>1660</v>
      </c>
      <c r="G422" s="39" t="s">
        <v>1658</v>
      </c>
      <c r="H422" s="53" t="s">
        <v>3886</v>
      </c>
      <c r="I422" s="39" t="s">
        <v>1657</v>
      </c>
      <c r="J422" s="14" t="s">
        <v>1659</v>
      </c>
      <c r="K422" s="22" t="s">
        <v>2948</v>
      </c>
      <c r="L422" s="46">
        <v>44743</v>
      </c>
      <c r="M422" s="14"/>
      <c r="N422" s="45" t="s">
        <v>199</v>
      </c>
      <c r="O422" s="45" t="s">
        <v>199</v>
      </c>
      <c r="P422" s="45" t="s">
        <v>199</v>
      </c>
      <c r="Q422" s="45" t="s">
        <v>199</v>
      </c>
      <c r="R422" s="45" t="s">
        <v>199</v>
      </c>
      <c r="S422" s="45" t="s">
        <v>199</v>
      </c>
      <c r="T422" s="47" t="s">
        <v>4247</v>
      </c>
      <c r="U422" s="39" t="s">
        <v>3764</v>
      </c>
      <c r="V422" s="39" t="str">
        <f>CONCATENATE(U422, D422)</f>
        <v>https://example.websquare.kr/websquare/websquare.html?w2xPath=/guide/InputCalendar/dayMoveFixed_InputCalendar.xml</v>
      </c>
      <c r="W422" s="39" t="s">
        <v>4512</v>
      </c>
      <c r="X422" s="39" t="str">
        <f>CONCATENATE(W422, D422)</f>
        <v>https://docs.inswave.com/websquare/websquare.html?w2xPath=/support/api/guide/InputCalendar/dayMoveFixed_InputCalendar.xml</v>
      </c>
      <c r="Y422" s="48" t="str">
        <f>HYPERLINK(X422, H422)</f>
        <v>일(Day) 단위 선택 유지</v>
      </c>
      <c r="Z422" s="4" t="str">
        <f>HYPERLINK(V422,H422)</f>
        <v>일(Day) 단위 선택 유지</v>
      </c>
      <c r="AA422" s="4" t="str">
        <f>HYPERLINK(J422,H422)</f>
        <v>일(Day) 단위 선택 유지</v>
      </c>
      <c r="AB422" s="39" t="str">
        <f t="shared" si="10"/>
        <v>https://docs.inswave.com/websquare/websquare.html?w2xPath=/support/api/guide/InputCalendar/dayMoveFixed_InputCalendar.xml</v>
      </c>
      <c r="AC422" s="45"/>
      <c r="AD422" s="45"/>
    </row>
    <row r="423" spans="1:30" s="39" customFormat="1" ht="102" x14ac:dyDescent="0.45">
      <c r="A423" s="37">
        <f>SUBTOTAL(3, $T$2:T423)</f>
        <v>344</v>
      </c>
      <c r="B423" s="38" t="s">
        <v>33</v>
      </c>
      <c r="C423" s="39" t="s">
        <v>33</v>
      </c>
      <c r="D423" s="39" t="s">
        <v>1380</v>
      </c>
      <c r="E423" s="40" t="s">
        <v>2316</v>
      </c>
      <c r="F423" s="41" t="s">
        <v>1379</v>
      </c>
      <c r="G423" s="39" t="s">
        <v>2312</v>
      </c>
      <c r="H423" s="53" t="s">
        <v>3881</v>
      </c>
      <c r="I423" s="44" t="s">
        <v>1372</v>
      </c>
      <c r="J423" s="14" t="s">
        <v>2317</v>
      </c>
      <c r="K423" s="22" t="s">
        <v>2960</v>
      </c>
      <c r="L423" s="46">
        <v>43831</v>
      </c>
      <c r="M423" s="45" t="s">
        <v>2342</v>
      </c>
      <c r="N423" s="45" t="s">
        <v>199</v>
      </c>
      <c r="O423" s="45" t="s">
        <v>199</v>
      </c>
      <c r="P423" s="45" t="s">
        <v>199</v>
      </c>
      <c r="Q423" s="45" t="s">
        <v>199</v>
      </c>
      <c r="R423" s="45" t="s">
        <v>199</v>
      </c>
      <c r="S423" s="45" t="s">
        <v>199</v>
      </c>
      <c r="T423" s="47" t="s">
        <v>4247</v>
      </c>
      <c r="U423" s="39" t="s">
        <v>3764</v>
      </c>
      <c r="V423" s="39" t="str">
        <f>CONCATENATE(U423, D423)</f>
        <v>https://example.websquare.kr/websquare/websquare.html?w2xPath=/guide/InputCalendar/validate_displaymessage_invalidMessageFunc_InputCalendar.xml</v>
      </c>
      <c r="W423" s="39" t="s">
        <v>4512</v>
      </c>
      <c r="X423" s="39" t="str">
        <f>CONCATENATE(W423, D423)</f>
        <v>https://docs.inswave.com/websquare/websquare.html?w2xPath=/support/api/guide/InputCalendar/validate_displaymessage_invalidMessageFunc_InputCalendar.xml</v>
      </c>
      <c r="Y423" s="48" t="str">
        <f>HYPERLINK(X423, H423)</f>
        <v>입력 검증 및 오류 메시지 표시</v>
      </c>
      <c r="Z423" s="4" t="str">
        <f>HYPERLINK(V423,H423)</f>
        <v>입력 검증 및 오류 메시지 표시</v>
      </c>
      <c r="AA423" s="4" t="str">
        <f>HYPERLINK(J423,H423)</f>
        <v>입력 검증 및 오류 메시지 표시</v>
      </c>
      <c r="AB423" s="39" t="str">
        <f t="shared" si="10"/>
        <v>https://docs.inswave.com/websquare/websquare.html?w2xPath=/support/api/guide/InputCalendar/validate_displaymessage_invalidMessageFunc_InputCalendar.xml</v>
      </c>
      <c r="AC423" s="45"/>
      <c r="AD423" s="45"/>
    </row>
    <row r="424" spans="1:30" s="39" customFormat="1" ht="102" x14ac:dyDescent="0.45">
      <c r="A424" s="37">
        <f>SUBTOTAL(3, $T$2:T424)</f>
        <v>345</v>
      </c>
      <c r="B424" s="38" t="s">
        <v>33</v>
      </c>
      <c r="C424" s="39" t="s">
        <v>33</v>
      </c>
      <c r="D424" s="39" t="s">
        <v>3763</v>
      </c>
      <c r="E424" s="40" t="s">
        <v>2063</v>
      </c>
      <c r="F424" s="41" t="s">
        <v>1302</v>
      </c>
      <c r="G424" s="39" t="s">
        <v>1304</v>
      </c>
      <c r="H424" s="53" t="s">
        <v>3885</v>
      </c>
      <c r="I424" s="39" t="s">
        <v>1226</v>
      </c>
      <c r="J424" s="14" t="s">
        <v>1303</v>
      </c>
      <c r="K424" s="22" t="s">
        <v>2951</v>
      </c>
      <c r="L424" s="46">
        <v>44682</v>
      </c>
      <c r="M424" s="14"/>
      <c r="N424" s="45" t="s">
        <v>199</v>
      </c>
      <c r="O424" s="45" t="s">
        <v>199</v>
      </c>
      <c r="P424" s="45" t="s">
        <v>199</v>
      </c>
      <c r="Q424" s="45" t="s">
        <v>199</v>
      </c>
      <c r="R424" s="45" t="s">
        <v>199</v>
      </c>
      <c r="S424" s="45" t="s">
        <v>199</v>
      </c>
      <c r="T424" s="47" t="s">
        <v>4247</v>
      </c>
      <c r="U424" s="39" t="s">
        <v>3764</v>
      </c>
      <c r="V424" s="39" t="str">
        <f>CONCATENATE(U424, D424)</f>
        <v>https://example.websquare.kr/websquare/websquare.html?w2xPath=/guide/InputCalendar/disableDate_InputCalendar.xml</v>
      </c>
      <c r="W424" s="39" t="s">
        <v>4512</v>
      </c>
      <c r="X424" s="39" t="str">
        <f>CONCATENATE(W424, D424)</f>
        <v>https://docs.inswave.com/websquare/websquare.html?w2xPath=/support/api/guide/InputCalendar/disableDate_InputCalendar.xml</v>
      </c>
      <c r="Y424" s="48" t="str">
        <f>HYPERLINK(X424, H424)</f>
        <v>특정 날짜 비활성화</v>
      </c>
      <c r="Z424" s="4" t="str">
        <f>HYPERLINK(V424,H424)</f>
        <v>특정 날짜 비활성화</v>
      </c>
      <c r="AA424" s="4" t="str">
        <f>HYPERLINK(J424,H424)</f>
        <v>특정 날짜 비활성화</v>
      </c>
      <c r="AB424" s="39" t="str">
        <f t="shared" si="10"/>
        <v>https://docs.inswave.com/websquare/websquare.html?w2xPath=/support/api/guide/InputCalendar/disableDate_InputCalendar.xml</v>
      </c>
      <c r="AC424" s="45"/>
      <c r="AD424" s="45"/>
    </row>
    <row r="425" spans="1:30" s="39" customFormat="1" ht="102" x14ac:dyDescent="0.45">
      <c r="A425" s="37">
        <f>SUBTOTAL(3, $T$2:T425)</f>
        <v>346</v>
      </c>
      <c r="B425" s="38" t="s">
        <v>33</v>
      </c>
      <c r="C425" s="39" t="s">
        <v>33</v>
      </c>
      <c r="D425" s="39" t="s">
        <v>418</v>
      </c>
      <c r="E425" s="40" t="s">
        <v>416</v>
      </c>
      <c r="F425" s="41" t="s">
        <v>417</v>
      </c>
      <c r="G425" s="39" t="s">
        <v>419</v>
      </c>
      <c r="H425" s="53" t="s">
        <v>3883</v>
      </c>
      <c r="I425" s="44" t="s">
        <v>3884</v>
      </c>
      <c r="J425" s="14" t="s">
        <v>415</v>
      </c>
      <c r="K425" s="22" t="s">
        <v>2958</v>
      </c>
      <c r="L425" s="46">
        <v>44228</v>
      </c>
      <c r="M425" s="14"/>
      <c r="N425" s="45" t="s">
        <v>199</v>
      </c>
      <c r="O425" s="45" t="s">
        <v>199</v>
      </c>
      <c r="P425" s="45" t="s">
        <v>199</v>
      </c>
      <c r="Q425" s="45" t="s">
        <v>199</v>
      </c>
      <c r="R425" s="45" t="s">
        <v>199</v>
      </c>
      <c r="S425" s="45" t="s">
        <v>199</v>
      </c>
      <c r="T425" s="47" t="s">
        <v>4247</v>
      </c>
      <c r="U425" s="39" t="s">
        <v>3764</v>
      </c>
      <c r="V425" s="39" t="str">
        <f>CONCATENATE(U425, D425)</f>
        <v>https://example.websquare.kr/websquare/websquare.html?w2xPath=/guide/InputCalendar/setValue_ioFormat_InputCalendar.xml</v>
      </c>
      <c r="W425" s="39" t="s">
        <v>4512</v>
      </c>
      <c r="X425" s="39" t="str">
        <f>CONCATENATE(W425, D425)</f>
        <v>https://docs.inswave.com/websquare/websquare.html?w2xPath=/support/api/guide/InputCalendar/setValue_ioFormat_InputCalendar.xml</v>
      </c>
      <c r="Y425" s="48" t="str">
        <f>HYPERLINK(X425, H425)</f>
        <v>특정 날짜 설정</v>
      </c>
      <c r="Z425" s="4" t="str">
        <f>HYPERLINK(V425,H425)</f>
        <v>특정 날짜 설정</v>
      </c>
      <c r="AA425" s="4" t="str">
        <f>HYPERLINK(J425,H425)</f>
        <v>특정 날짜 설정</v>
      </c>
      <c r="AB425" s="39" t="str">
        <f t="shared" si="10"/>
        <v>https://docs.inswave.com/websquare/websquare.html?w2xPath=/support/api/guide/InputCalendar/setValue_ioFormat_InputCalendar.xml</v>
      </c>
    </row>
    <row r="426" spans="1:30" s="39" customFormat="1" ht="102" x14ac:dyDescent="0.45">
      <c r="A426" s="37">
        <f>SUBTOTAL(3, $T$2:T426)</f>
        <v>347</v>
      </c>
      <c r="B426" s="38" t="s">
        <v>33</v>
      </c>
      <c r="C426" s="39" t="s">
        <v>33</v>
      </c>
      <c r="D426" s="39" t="s">
        <v>278</v>
      </c>
      <c r="E426" s="56" t="s">
        <v>293</v>
      </c>
      <c r="F426" s="41" t="s">
        <v>169</v>
      </c>
      <c r="G426" s="39" t="s">
        <v>294</v>
      </c>
      <c r="H426" s="53" t="s">
        <v>3888</v>
      </c>
      <c r="I426" s="44" t="s">
        <v>235</v>
      </c>
      <c r="J426" s="14" t="s">
        <v>330</v>
      </c>
      <c r="K426" s="22" t="s">
        <v>2950</v>
      </c>
      <c r="L426" s="46">
        <v>44348</v>
      </c>
      <c r="M426" s="14"/>
      <c r="N426" s="45" t="s">
        <v>199</v>
      </c>
      <c r="O426" s="45" t="s">
        <v>199</v>
      </c>
      <c r="P426" s="45" t="s">
        <v>199</v>
      </c>
      <c r="Q426" s="45" t="s">
        <v>199</v>
      </c>
      <c r="R426" s="45" t="s">
        <v>199</v>
      </c>
      <c r="S426" s="45" t="s">
        <v>199</v>
      </c>
      <c r="T426" s="47" t="s">
        <v>4247</v>
      </c>
      <c r="U426" s="39" t="s">
        <v>3764</v>
      </c>
      <c r="V426" s="39" t="str">
        <f>CONCATENATE(U426, D426)</f>
        <v>https://example.websquare.kr/websquare/websquare.html?w2xPath=/guide/InputCalendar/disableBeforeDate_disableAfterDate_InputCalendar.xml</v>
      </c>
      <c r="W426" s="39" t="s">
        <v>4512</v>
      </c>
      <c r="X426" s="39" t="str">
        <f>CONCATENATE(W426, D426)</f>
        <v>https://docs.inswave.com/websquare/websquare.html?w2xPath=/support/api/guide/InputCalendar/disableBeforeDate_disableAfterDate_InputCalendar.xml</v>
      </c>
      <c r="Y426" s="48" t="str">
        <f>HYPERLINK(X426, H426)</f>
        <v>특정일 기준 앞/뒤 날짜들을 비활성화</v>
      </c>
      <c r="Z426" s="4" t="str">
        <f>HYPERLINK(V426,H426)</f>
        <v>특정일 기준 앞/뒤 날짜들을 비활성화</v>
      </c>
      <c r="AA426" s="4" t="str">
        <f>HYPERLINK(J426,H426)</f>
        <v>특정일 기준 앞/뒤 날짜들을 비활성화</v>
      </c>
      <c r="AB426" s="39" t="str">
        <f t="shared" si="10"/>
        <v>https://docs.inswave.com/websquare/websquare.html?w2xPath=/support/api/guide/InputCalendar/disableBeforeDate_disableAfterDate_InputCalendar.xml</v>
      </c>
    </row>
    <row r="427" spans="1:30" s="39" customFormat="1" ht="102" x14ac:dyDescent="0.45">
      <c r="A427" s="37">
        <f>SUBTOTAL(3, $T$2:T427)</f>
        <v>348</v>
      </c>
      <c r="B427" s="38" t="s">
        <v>2079</v>
      </c>
      <c r="C427" s="39" t="s">
        <v>2079</v>
      </c>
      <c r="D427" s="39" t="s">
        <v>2439</v>
      </c>
      <c r="E427" s="40" t="s">
        <v>2418</v>
      </c>
      <c r="F427" s="41" t="s">
        <v>2417</v>
      </c>
      <c r="G427" s="44" t="s">
        <v>2419</v>
      </c>
      <c r="H427" s="53" t="s">
        <v>3901</v>
      </c>
      <c r="I427" s="44" t="s">
        <v>2421</v>
      </c>
      <c r="J427" s="14" t="s">
        <v>2428</v>
      </c>
      <c r="K427" s="22" t="s">
        <v>2962</v>
      </c>
      <c r="L427" s="46">
        <v>45200</v>
      </c>
      <c r="M427" s="14"/>
      <c r="N427" s="45" t="s">
        <v>199</v>
      </c>
      <c r="O427" s="45" t="s">
        <v>199</v>
      </c>
      <c r="P427" s="45"/>
      <c r="Q427" s="45" t="s">
        <v>199</v>
      </c>
      <c r="R427" s="45" t="s">
        <v>199</v>
      </c>
      <c r="S427" s="45" t="s">
        <v>199</v>
      </c>
      <c r="T427" s="47" t="s">
        <v>4247</v>
      </c>
      <c r="U427" s="39" t="s">
        <v>3764</v>
      </c>
      <c r="V427" s="39" t="str">
        <f>CONCATENATE(U427, D427)</f>
        <v>https://example.websquare.kr/websquare/websquare.html?w2xPath=/guide/MapChart/markerDefiner_markerClass_markerClassDefiner_MapChart.xml</v>
      </c>
      <c r="W427" s="39" t="s">
        <v>4512</v>
      </c>
      <c r="X427" s="39" t="str">
        <f>CONCATENATE(W427, D427)</f>
        <v>https://docs.inswave.com/websquare/websquare.html?w2xPath=/support/api/guide/MapChart/markerDefiner_markerClass_markerClassDefiner_MapChart.xml</v>
      </c>
      <c r="Y427" s="48" t="str">
        <f>HYPERLINK(X427, H427)</f>
        <v>마커 스타일 정의</v>
      </c>
      <c r="Z427" s="4" t="str">
        <f>HYPERLINK(V427,H427)</f>
        <v>마커 스타일 정의</v>
      </c>
      <c r="AA427" s="4" t="str">
        <f>HYPERLINK(J427,H427)</f>
        <v>마커 스타일 정의</v>
      </c>
      <c r="AB427" s="39" t="str">
        <f t="shared" si="10"/>
        <v>https://docs.inswave.com/websquare/websquare.html?w2xPath=/support/api/guide/MapChart/markerDefiner_markerClass_markerClassDefiner_MapChart.xml</v>
      </c>
    </row>
    <row r="428" spans="1:30" s="39" customFormat="1" ht="102" x14ac:dyDescent="0.45">
      <c r="A428" s="37">
        <f>SUBTOTAL(3, $T$2:T428)</f>
        <v>349</v>
      </c>
      <c r="B428" s="38" t="s">
        <v>2079</v>
      </c>
      <c r="C428" s="39" t="s">
        <v>2079</v>
      </c>
      <c r="D428" s="39" t="s">
        <v>2167</v>
      </c>
      <c r="E428" s="40" t="s">
        <v>2161</v>
      </c>
      <c r="F428" s="41" t="s">
        <v>2160</v>
      </c>
      <c r="G428" s="39" t="s">
        <v>2162</v>
      </c>
      <c r="H428" s="53" t="s">
        <v>3900</v>
      </c>
      <c r="I428" s="44" t="s">
        <v>2166</v>
      </c>
      <c r="J428" s="14" t="s">
        <v>2185</v>
      </c>
      <c r="K428" s="22" t="s">
        <v>2963</v>
      </c>
      <c r="L428" s="46">
        <v>45047</v>
      </c>
      <c r="M428" s="14"/>
      <c r="N428" s="45" t="s">
        <v>199</v>
      </c>
      <c r="O428" s="45" t="s">
        <v>199</v>
      </c>
      <c r="P428" s="45" t="s">
        <v>199</v>
      </c>
      <c r="Q428" s="45" t="s">
        <v>199</v>
      </c>
      <c r="R428" s="45" t="s">
        <v>199</v>
      </c>
      <c r="S428" s="45" t="s">
        <v>199</v>
      </c>
      <c r="T428" s="47" t="s">
        <v>4247</v>
      </c>
      <c r="U428" s="39" t="s">
        <v>3764</v>
      </c>
      <c r="V428" s="39" t="str">
        <f>CONCATENATE(U428, D428)</f>
        <v>https://example.websquare.kr/websquare/websquare.html?w2xPath=/guide/MapChart/useMarker_contextFormatter_MapChart.xml</v>
      </c>
      <c r="W428" s="39" t="s">
        <v>4512</v>
      </c>
      <c r="X428" s="39" t="str">
        <f>CONCATENATE(W428, D428)</f>
        <v>https://docs.inswave.com/websquare/websquare.html?w2xPath=/support/api/guide/MapChart/useMarker_contextFormatter_MapChart.xml</v>
      </c>
      <c r="Y428" s="48" t="str">
        <f>HYPERLINK(X428, H428)</f>
        <v>지도에 마커를 표시</v>
      </c>
      <c r="Z428" s="4" t="str">
        <f>HYPERLINK(V428,H428)</f>
        <v>지도에 마커를 표시</v>
      </c>
      <c r="AA428" s="4" t="str">
        <f>HYPERLINK(J428,H428)</f>
        <v>지도에 마커를 표시</v>
      </c>
      <c r="AB428" s="39" t="str">
        <f t="shared" si="10"/>
        <v>https://docs.inswave.com/websquare/websquare.html?w2xPath=/support/api/guide/MapChart/useMarker_contextFormatter_MapChart.xml</v>
      </c>
    </row>
    <row r="429" spans="1:30" s="39" customFormat="1" ht="102" x14ac:dyDescent="0.45">
      <c r="A429" s="37">
        <f>SUBTOTAL(3, $T$2:T429)</f>
        <v>350</v>
      </c>
      <c r="B429" s="38" t="s">
        <v>31</v>
      </c>
      <c r="C429" s="39" t="s">
        <v>31</v>
      </c>
      <c r="D429" s="39" t="s">
        <v>3696</v>
      </c>
      <c r="E429" s="40" t="s">
        <v>2511</v>
      </c>
      <c r="F429" s="41" t="s">
        <v>2530</v>
      </c>
      <c r="G429" s="39" t="s">
        <v>2497</v>
      </c>
      <c r="H429" s="53" t="s">
        <v>4211</v>
      </c>
      <c r="I429" s="39" t="s">
        <v>29</v>
      </c>
      <c r="J429" s="14" t="s">
        <v>2512</v>
      </c>
      <c r="K429" s="22" t="s">
        <v>2964</v>
      </c>
      <c r="L429" s="46">
        <v>43709</v>
      </c>
      <c r="M429" s="14"/>
      <c r="N429" s="45" t="s">
        <v>199</v>
      </c>
      <c r="O429" s="45" t="s">
        <v>199</v>
      </c>
      <c r="P429" s="45" t="s">
        <v>199</v>
      </c>
      <c r="Q429" s="45" t="s">
        <v>199</v>
      </c>
      <c r="R429" s="45" t="s">
        <v>199</v>
      </c>
      <c r="S429" s="45" t="s">
        <v>199</v>
      </c>
      <c r="T429" s="47" t="s">
        <v>4247</v>
      </c>
      <c r="U429" s="39" t="s">
        <v>3764</v>
      </c>
      <c r="V429" s="39" t="str">
        <f>CONCATENATE(U429, D429)</f>
        <v>https://example.websquare.kr/websquare/websquare.html?w2xPath=/guide/MultiSelect/BindItemSet_MultiSelect/BindItemSet_MultiSelect.xml</v>
      </c>
      <c r="W429" s="39" t="s">
        <v>4512</v>
      </c>
      <c r="X429" s="39" t="str">
        <f>CONCATENATE(W429, D429)</f>
        <v>https://docs.inswave.com/websquare/websquare.html?w2xPath=/support/api/guide/MultiSelect/BindItemSet_MultiSelect/BindItemSet_MultiSelect.xml</v>
      </c>
      <c r="Y429" s="48" t="str">
        <f>HYPERLINK(X429, H429)</f>
        <v>DataList와 바인딩</v>
      </c>
      <c r="Z429" s="4" t="str">
        <f>HYPERLINK(V429,H429)</f>
        <v>DataList와 바인딩</v>
      </c>
      <c r="AA429" s="4" t="str">
        <f>HYPERLINK(J429,H429)</f>
        <v>DataList와 바인딩</v>
      </c>
      <c r="AB429" s="39" t="str">
        <f t="shared" si="10"/>
        <v>https://docs.inswave.com/websquare/websquare.html?w2xPath=/support/api/guide/MultiSelect/BindItemSet_MultiSelect/BindItemSet_MultiSelect.xml</v>
      </c>
    </row>
    <row r="430" spans="1:30" s="39" customFormat="1" ht="102" x14ac:dyDescent="0.45">
      <c r="A430" s="37">
        <f>SUBTOTAL(3, $T$2:T430)</f>
        <v>351</v>
      </c>
      <c r="B430" s="38" t="s">
        <v>31</v>
      </c>
      <c r="C430" s="39" t="s">
        <v>31</v>
      </c>
      <c r="D430" s="39" t="s">
        <v>1716</v>
      </c>
      <c r="E430" s="40" t="s">
        <v>1717</v>
      </c>
      <c r="F430" s="41" t="s">
        <v>1714</v>
      </c>
      <c r="G430" s="39" t="s">
        <v>1715</v>
      </c>
      <c r="H430" s="53" t="s">
        <v>4212</v>
      </c>
      <c r="I430" s="39" t="s">
        <v>1707</v>
      </c>
      <c r="J430" s="14" t="s">
        <v>1713</v>
      </c>
      <c r="K430" s="22" t="s">
        <v>2965</v>
      </c>
      <c r="L430" s="46">
        <v>44774</v>
      </c>
      <c r="M430" s="14"/>
      <c r="N430" s="45" t="s">
        <v>199</v>
      </c>
      <c r="O430" s="45" t="s">
        <v>199</v>
      </c>
      <c r="P430" s="45" t="s">
        <v>199</v>
      </c>
      <c r="Q430" s="45" t="s">
        <v>199</v>
      </c>
      <c r="R430" s="45" t="s">
        <v>199</v>
      </c>
      <c r="S430" s="45" t="s">
        <v>199</v>
      </c>
      <c r="T430" s="47" t="s">
        <v>4247</v>
      </c>
      <c r="U430" s="39" t="s">
        <v>3764</v>
      </c>
      <c r="V430" s="39" t="str">
        <f>CONCATENATE(U430, D430)</f>
        <v>https://example.websquare.kr/websquare/websquare.html?w2xPath=/guide/MultiSelect/onrowclick_MultiSelect.xml</v>
      </c>
      <c r="W430" s="39" t="s">
        <v>4512</v>
      </c>
      <c r="X430" s="39" t="str">
        <f>CONCATENATE(W430, D430)</f>
        <v>https://docs.inswave.com/websquare/websquare.html?w2xPath=/support/api/guide/MultiSelect/onrowclick_MultiSelect.xml</v>
      </c>
      <c r="Y430" s="48" t="str">
        <f>HYPERLINK(X430, H430)</f>
        <v>이벤트 - onrowclick</v>
      </c>
      <c r="Z430" s="4" t="str">
        <f>HYPERLINK(V430,H430)</f>
        <v>이벤트 - onrowclick</v>
      </c>
      <c r="AA430" s="4" t="str">
        <f>HYPERLINK(J430,H430)</f>
        <v>이벤트 - onrowclick</v>
      </c>
      <c r="AB430" s="39" t="str">
        <f t="shared" si="10"/>
        <v>https://docs.inswave.com/websquare/websquare.html?w2xPath=/support/api/guide/MultiSelect/onrowclick_MultiSelect.xml</v>
      </c>
    </row>
    <row r="431" spans="1:30" s="39" customFormat="1" ht="102" x14ac:dyDescent="0.45">
      <c r="A431" s="37">
        <f>SUBTOTAL(3, $T$2:T431)</f>
        <v>352</v>
      </c>
      <c r="B431" s="38" t="s">
        <v>2080</v>
      </c>
      <c r="C431" s="38" t="s">
        <v>2080</v>
      </c>
      <c r="D431" s="39" t="s">
        <v>2758</v>
      </c>
      <c r="E431" s="40" t="s">
        <v>4213</v>
      </c>
      <c r="F431" s="41" t="s">
        <v>2756</v>
      </c>
      <c r="G431" s="39" t="s">
        <v>2757</v>
      </c>
      <c r="H431" s="58" t="s">
        <v>4443</v>
      </c>
      <c r="I431" s="44" t="s">
        <v>2761</v>
      </c>
      <c r="J431" s="14" t="s">
        <v>2760</v>
      </c>
      <c r="K431" s="22" t="s">
        <v>2759</v>
      </c>
      <c r="L431" s="46">
        <v>45444</v>
      </c>
      <c r="M431" s="14"/>
      <c r="N431" s="45"/>
      <c r="O431" s="45"/>
      <c r="P431" s="45"/>
      <c r="Q431" s="45" t="s">
        <v>199</v>
      </c>
      <c r="R431" s="45" t="s">
        <v>199</v>
      </c>
      <c r="S431" s="45" t="s">
        <v>199</v>
      </c>
      <c r="T431" s="47" t="s">
        <v>4247</v>
      </c>
      <c r="U431" s="39" t="s">
        <v>3764</v>
      </c>
      <c r="V431" s="39" t="str">
        <f>CONCATENATE(U431, D431)</f>
        <v>https://example.websquare.kr/websquare/websquare.html?w2xPath=/guide/MultiSelect/textAlign_MultiSelect.xml</v>
      </c>
      <c r="W431" s="39" t="s">
        <v>4512</v>
      </c>
      <c r="X431" s="39" t="str">
        <f>CONCATENATE(W431, D431)</f>
        <v>https://docs.inswave.com/websquare/websquare.html?w2xPath=/support/api/guide/MultiSelect/textAlign_MultiSelect.xml</v>
      </c>
      <c r="Y431" s="48" t="str">
        <f>HYPERLINK(X431, H431)</f>
        <v>텍스트 정렬 설정</v>
      </c>
      <c r="Z431" s="4" t="str">
        <f>HYPERLINK(V431,H431)</f>
        <v>텍스트 정렬 설정</v>
      </c>
      <c r="AA431" s="4" t="str">
        <f>HYPERLINK(J431,H431)</f>
        <v>텍스트 정렬 설정</v>
      </c>
      <c r="AB431" s="39" t="str">
        <f t="shared" si="10"/>
        <v>https://docs.inswave.com/websquare/websquare.html?w2xPath=/support/api/guide/MultiSelect/textAlign_MultiSelect.xml</v>
      </c>
    </row>
    <row r="432" spans="1:30" s="39" customFormat="1" ht="102" x14ac:dyDescent="0.45">
      <c r="A432" s="37">
        <f>SUBTOTAL(3, $T$2:T432)</f>
        <v>353</v>
      </c>
      <c r="B432" s="38" t="s">
        <v>52</v>
      </c>
      <c r="C432" s="39" t="s">
        <v>52</v>
      </c>
      <c r="D432" s="39" t="s">
        <v>3736</v>
      </c>
      <c r="E432" s="40" t="s">
        <v>314</v>
      </c>
      <c r="F432" s="41" t="s">
        <v>304</v>
      </c>
      <c r="G432" s="39" t="s">
        <v>303</v>
      </c>
      <c r="H432" s="53" t="s">
        <v>4215</v>
      </c>
      <c r="I432" s="39" t="s">
        <v>54</v>
      </c>
      <c r="J432" s="14" t="s">
        <v>386</v>
      </c>
      <c r="K432" s="22" t="s">
        <v>2966</v>
      </c>
      <c r="L432" s="46">
        <v>44501</v>
      </c>
      <c r="M432" s="14"/>
      <c r="N432" s="45" t="s">
        <v>199</v>
      </c>
      <c r="O432" s="45" t="s">
        <v>199</v>
      </c>
      <c r="P432" s="45" t="s">
        <v>199</v>
      </c>
      <c r="Q432" s="45" t="s">
        <v>199</v>
      </c>
      <c r="R432" s="45" t="s">
        <v>199</v>
      </c>
      <c r="S432" s="45" t="s">
        <v>199</v>
      </c>
      <c r="T432" s="47" t="s">
        <v>4247</v>
      </c>
      <c r="U432" s="39" t="s">
        <v>3764</v>
      </c>
      <c r="V432" s="39" t="str">
        <f>CONCATENATE(U432, D432)</f>
        <v>https://example.websquare.kr/websquare/websquare.html?w2xPath=/guide/MultiUpload/getFileCount_MultiUpload.xml</v>
      </c>
      <c r="W432" s="39" t="s">
        <v>4512</v>
      </c>
      <c r="X432" s="39" t="str">
        <f>CONCATENATE(W432, D432)</f>
        <v>https://docs.inswave.com/websquare/websquare.html?w2xPath=/support/api/guide/MultiUpload/getFileCount_MultiUpload.xml</v>
      </c>
      <c r="Y432" s="48" t="str">
        <f>HYPERLINK(X432, H432)</f>
        <v>업로드 대상 파일 수 반환</v>
      </c>
      <c r="Z432" s="4" t="str">
        <f>HYPERLINK(V432,H432)</f>
        <v>업로드 대상 파일 수 반환</v>
      </c>
      <c r="AA432" s="4" t="str">
        <f>HYPERLINK(J432,H432)</f>
        <v>업로드 대상 파일 수 반환</v>
      </c>
      <c r="AB432" s="39" t="str">
        <f t="shared" si="10"/>
        <v>https://docs.inswave.com/websquare/websquare.html?w2xPath=/support/api/guide/MultiUpload/getFileCount_MultiUpload.xml</v>
      </c>
    </row>
    <row r="433" spans="1:28" s="39" customFormat="1" ht="102" x14ac:dyDescent="0.45">
      <c r="A433" s="37">
        <f>SUBTOTAL(3, $T$2:T433)</f>
        <v>354</v>
      </c>
      <c r="B433" s="38" t="s">
        <v>52</v>
      </c>
      <c r="C433" s="39" t="s">
        <v>52</v>
      </c>
      <c r="D433" s="39" t="s">
        <v>842</v>
      </c>
      <c r="E433" s="40" t="s">
        <v>3229</v>
      </c>
      <c r="F433" s="41" t="s">
        <v>840</v>
      </c>
      <c r="G433" s="39" t="s">
        <v>841</v>
      </c>
      <c r="H433" s="53" t="s">
        <v>4216</v>
      </c>
      <c r="I433" s="44" t="s">
        <v>843</v>
      </c>
      <c r="J433" s="14" t="s">
        <v>839</v>
      </c>
      <c r="K433" s="22" t="s">
        <v>2967</v>
      </c>
      <c r="L433" s="46">
        <v>44166</v>
      </c>
      <c r="M433" s="14"/>
      <c r="N433" s="45" t="s">
        <v>199</v>
      </c>
      <c r="O433" s="45" t="s">
        <v>199</v>
      </c>
      <c r="P433" s="47" t="s">
        <v>199</v>
      </c>
      <c r="Q433" s="45" t="s">
        <v>199</v>
      </c>
      <c r="R433" s="45" t="s">
        <v>199</v>
      </c>
      <c r="S433" s="45" t="s">
        <v>199</v>
      </c>
      <c r="T433" s="47" t="s">
        <v>4247</v>
      </c>
      <c r="U433" s="39" t="s">
        <v>3764</v>
      </c>
      <c r="V433" s="39" t="str">
        <f>CONCATENATE(U433, D433)</f>
        <v>https://example.websquare.kr/websquare/websquare.html?w2xPath=/guide/MultiUpload/getFileInfos_setParamJSON_MultiUpload.xml</v>
      </c>
      <c r="W433" s="39" t="s">
        <v>4512</v>
      </c>
      <c r="X433" s="39" t="str">
        <f>CONCATENATE(W433, D433)</f>
        <v>https://docs.inswave.com/websquare/websquare.html?w2xPath=/support/api/guide/MultiUpload/getFileInfos_setParamJSON_MultiUpload.xml</v>
      </c>
      <c r="Y433" s="48" t="str">
        <f>HYPERLINK(X433, H433)</f>
        <v>업로드 대상 파일 정보 확인 후 각 파일의 파라미터로 설정</v>
      </c>
      <c r="Z433" s="4" t="str">
        <f>HYPERLINK(V433,H433)</f>
        <v>업로드 대상 파일 정보 확인 후 각 파일의 파라미터로 설정</v>
      </c>
      <c r="AA433" s="4" t="str">
        <f>HYPERLINK(J433,H433)</f>
        <v>업로드 대상 파일 정보 확인 후 각 파일의 파라미터로 설정</v>
      </c>
      <c r="AB433" s="39" t="str">
        <f t="shared" si="10"/>
        <v>https://docs.inswave.com/websquare/websquare.html?w2xPath=/support/api/guide/MultiUpload/getFileInfos_setParamJSON_MultiUpload.xml</v>
      </c>
    </row>
    <row r="434" spans="1:28" s="39" customFormat="1" ht="102" hidden="1" x14ac:dyDescent="0.45">
      <c r="A434" s="37">
        <f>SUBTOTAL(3, $T$2:T434)</f>
        <v>354</v>
      </c>
      <c r="B434" s="38" t="s">
        <v>2016</v>
      </c>
      <c r="C434" s="39" t="s">
        <v>2016</v>
      </c>
      <c r="D434" s="39" t="s">
        <v>2386</v>
      </c>
      <c r="E434" s="40" t="s">
        <v>2378</v>
      </c>
      <c r="F434" s="41" t="s">
        <v>2375</v>
      </c>
      <c r="G434" s="39" t="s">
        <v>2380</v>
      </c>
      <c r="H434" s="53" t="s">
        <v>3891</v>
      </c>
      <c r="I434" s="44" t="s">
        <v>2384</v>
      </c>
      <c r="J434" s="14" t="s">
        <v>2390</v>
      </c>
      <c r="K434" s="22" t="s">
        <v>2946</v>
      </c>
      <c r="L434" s="46">
        <v>45170</v>
      </c>
      <c r="M434" s="14"/>
      <c r="N434" s="45" t="s">
        <v>199</v>
      </c>
      <c r="O434" s="45" t="s">
        <v>199</v>
      </c>
      <c r="P434" s="45" t="s">
        <v>199</v>
      </c>
      <c r="Q434" s="45" t="s">
        <v>199</v>
      </c>
      <c r="R434" s="45" t="s">
        <v>199</v>
      </c>
      <c r="S434" s="45" t="s">
        <v>199</v>
      </c>
      <c r="T434" s="47" t="s">
        <v>4515</v>
      </c>
      <c r="U434" s="39" t="s">
        <v>3764</v>
      </c>
      <c r="V434" s="39" t="str">
        <f>CONCATENATE(U434, D434)</f>
        <v>https://example.websquare.kr/websquare/websquare.html?w2xPath=/guide/InputCalendar/cancelButtonHide_InputCalendar.xml</v>
      </c>
      <c r="W434" s="39" t="s">
        <v>4220</v>
      </c>
      <c r="X434" s="39" t="str">
        <f>CONCATENATE(W434, D434)</f>
        <v>https://docs.inswave.com/websquare/websquare.html?w2xPath=/support/api/samples/InputCalendar/cancelButtonHide_InputCalendar.xml</v>
      </c>
      <c r="Y434" s="48"/>
      <c r="Z434" s="4"/>
      <c r="AA434" s="4" t="str">
        <f>HYPERLINK(J434,H434)</f>
        <v>날짜 선택 취소 버튼 숨기기</v>
      </c>
      <c r="AB434" s="39" t="str">
        <f t="shared" si="10"/>
        <v>https://docs.inswave.com/websquare/websquare.html?w2xPath=/support/api/samples/InputCalendar/cancelButtonHide_InputCalendar.xml</v>
      </c>
    </row>
    <row r="435" spans="1:28" s="39" customFormat="1" ht="102" x14ac:dyDescent="0.45">
      <c r="A435" s="37">
        <f>SUBTOTAL(3, $T$2:T435)</f>
        <v>355</v>
      </c>
      <c r="B435" s="38" t="s">
        <v>52</v>
      </c>
      <c r="C435" s="39" t="s">
        <v>52</v>
      </c>
      <c r="D435" s="39" t="s">
        <v>694</v>
      </c>
      <c r="E435" s="43" t="s">
        <v>705</v>
      </c>
      <c r="F435" s="41" t="s">
        <v>704</v>
      </c>
      <c r="G435" s="39" t="s">
        <v>693</v>
      </c>
      <c r="H435" s="53" t="s">
        <v>4214</v>
      </c>
      <c r="I435" s="44" t="s">
        <v>53</v>
      </c>
      <c r="J435" s="14" t="s">
        <v>703</v>
      </c>
      <c r="K435" s="22" t="s">
        <v>2968</v>
      </c>
      <c r="L435" s="46">
        <v>44166</v>
      </c>
      <c r="M435" s="14"/>
      <c r="N435" s="45" t="s">
        <v>199</v>
      </c>
      <c r="O435" s="45" t="s">
        <v>199</v>
      </c>
      <c r="P435" s="47" t="s">
        <v>199</v>
      </c>
      <c r="Q435" s="45" t="s">
        <v>199</v>
      </c>
      <c r="R435" s="45" t="s">
        <v>199</v>
      </c>
      <c r="S435" s="45" t="s">
        <v>199</v>
      </c>
      <c r="T435" s="47" t="s">
        <v>4247</v>
      </c>
      <c r="U435" s="39" t="s">
        <v>3764</v>
      </c>
      <c r="V435" s="39" t="str">
        <f>CONCATENATE(U435, D435)</f>
        <v>https://example.websquare.kr/websquare/websquare.html?w2xPath=/guide/MultiUpload/maxcount_MultiUpload.xml</v>
      </c>
      <c r="W435" s="39" t="s">
        <v>4512</v>
      </c>
      <c r="X435" s="39" t="str">
        <f>CONCATENATE(W435, D435)</f>
        <v>https://docs.inswave.com/websquare/websquare.html?w2xPath=/support/api/guide/MultiUpload/maxcount_MultiUpload.xml</v>
      </c>
      <c r="Y435" s="48" t="str">
        <f>HYPERLINK(X435, H435)</f>
        <v>최대 업로드 파일 개수 제한</v>
      </c>
      <c r="Z435" s="4" t="str">
        <f>HYPERLINK(V435,H435)</f>
        <v>최대 업로드 파일 개수 제한</v>
      </c>
      <c r="AA435" s="4" t="str">
        <f>HYPERLINK(J435,H435)</f>
        <v>최대 업로드 파일 개수 제한</v>
      </c>
      <c r="AB435" s="39" t="str">
        <f t="shared" si="10"/>
        <v>https://docs.inswave.com/websquare/websquare.html?w2xPath=/support/api/guide/MultiUpload/maxcount_MultiUpload.xml</v>
      </c>
    </row>
    <row r="436" spans="1:28" s="39" customFormat="1" ht="102" x14ac:dyDescent="0.45">
      <c r="A436" s="25">
        <f>SUBTOTAL(3, $T$2:T436)</f>
        <v>356</v>
      </c>
      <c r="B436" s="27" t="s">
        <v>4570</v>
      </c>
      <c r="C436" s="27" t="s">
        <v>4570</v>
      </c>
      <c r="D436" s="27" t="s">
        <v>4603</v>
      </c>
      <c r="E436" s="28" t="s">
        <v>4631</v>
      </c>
      <c r="F436" s="27" t="s">
        <v>4647</v>
      </c>
      <c r="G436" s="27" t="s">
        <v>4637</v>
      </c>
      <c r="H436" s="27" t="s">
        <v>4594</v>
      </c>
      <c r="I436" s="29" t="s">
        <v>4634</v>
      </c>
      <c r="J436" s="31" t="s">
        <v>3550</v>
      </c>
      <c r="K436" s="30" t="s">
        <v>2304</v>
      </c>
      <c r="L436" s="31" t="s">
        <v>4540</v>
      </c>
      <c r="M436" s="32"/>
      <c r="N436" s="79"/>
      <c r="O436" s="79"/>
      <c r="P436" s="79"/>
      <c r="Q436" s="79"/>
      <c r="R436" s="79"/>
      <c r="S436" s="79"/>
      <c r="T436" s="33" t="s">
        <v>4249</v>
      </c>
      <c r="U436" s="27" t="s">
        <v>3764</v>
      </c>
      <c r="V436" s="27" t="str">
        <f>CONCATENATE(U436, D436)</f>
        <v>https://example.websquare.kr/websquare/websquare.html?w2xPath=/guide/MultiSelect/singleSelect_MultiSelect.xml</v>
      </c>
      <c r="W436" s="27" t="s">
        <v>4512</v>
      </c>
      <c r="X436" s="27" t="str">
        <f>CONCATENATE(W436, D436)</f>
        <v>https://docs.inswave.com/websquare/websquare.html?w2xPath=/support/api/guide/MultiSelect/singleSelect_MultiSelect.xml</v>
      </c>
      <c r="Y436" s="34" t="str">
        <f>HYPERLINK(X436, H436)</f>
        <v>한 개의 항목만 선택하도록 제한</v>
      </c>
      <c r="Z436" s="35" t="str">
        <f>HYPERLINK(V436,H436)</f>
        <v>한 개의 항목만 선택하도록 제한</v>
      </c>
      <c r="AA436" s="27"/>
      <c r="AB436" s="39" t="str">
        <f t="shared" si="10"/>
        <v>https://docs.inswave.com/websquare/websquare.html?w2xPath=/support/api/guide/MultiSelect/singleSelect_MultiSelect.xml</v>
      </c>
    </row>
    <row r="437" spans="1:28" s="39" customFormat="1" ht="102" x14ac:dyDescent="0.45">
      <c r="A437" s="37">
        <f>SUBTOTAL(3, $T$2:T437)</f>
        <v>357</v>
      </c>
      <c r="B437" s="38" t="s">
        <v>1990</v>
      </c>
      <c r="C437" s="39" t="s">
        <v>1990</v>
      </c>
      <c r="D437" s="39" t="s">
        <v>4357</v>
      </c>
      <c r="E437" s="40" t="s">
        <v>1991</v>
      </c>
      <c r="F437" s="41" t="s">
        <v>1992</v>
      </c>
      <c r="G437" s="39" t="s">
        <v>4372</v>
      </c>
      <c r="H437" s="53" t="s">
        <v>4373</v>
      </c>
      <c r="I437" s="44" t="s">
        <v>2027</v>
      </c>
      <c r="J437" s="14" t="s">
        <v>2028</v>
      </c>
      <c r="K437" s="22" t="s">
        <v>2970</v>
      </c>
      <c r="L437" s="46">
        <v>44958</v>
      </c>
      <c r="M437" s="14"/>
      <c r="N437" s="45" t="s">
        <v>199</v>
      </c>
      <c r="O437" s="45" t="s">
        <v>199</v>
      </c>
      <c r="P437" s="45" t="s">
        <v>199</v>
      </c>
      <c r="Q437" s="45" t="s">
        <v>199</v>
      </c>
      <c r="R437" s="45" t="s">
        <v>199</v>
      </c>
      <c r="S437" s="45" t="s">
        <v>199</v>
      </c>
      <c r="T437" s="47" t="s">
        <v>4247</v>
      </c>
      <c r="U437" s="39" t="s">
        <v>3764</v>
      </c>
      <c r="V437" s="39" t="str">
        <f>CONCATENATE(U437, D437)</f>
        <v>https://example.websquare.kr/websquare/websquare.html?w2xPath=/guide/_Page/onbeforepageunload_body_Page/onbeforepageunload_body_Page.xml</v>
      </c>
      <c r="W437" s="39" t="s">
        <v>4512</v>
      </c>
      <c r="X437" s="39" t="str">
        <f>CONCATENATE(W437, D437)</f>
        <v>https://docs.inswave.com/websquare/websquare.html?w2xPath=/support/api/guide/_Page/onbeforepageunload_body_Page/onbeforepageunload_body_Page.xml</v>
      </c>
      <c r="Y437" s="48" t="str">
        <f>HYPERLINK(X437, H437)</f>
        <v>이벤트 - onpageload &amp; onbeforepageunload</v>
      </c>
      <c r="Z437" s="4" t="str">
        <f>HYPERLINK(V437,H437)</f>
        <v>이벤트 - onpageload &amp; onbeforepageunload</v>
      </c>
      <c r="AA437" s="4" t="str">
        <f>HYPERLINK(J437,H437)</f>
        <v>이벤트 - onpageload &amp; onbeforepageunload</v>
      </c>
      <c r="AB437" s="39" t="str">
        <f t="shared" si="10"/>
        <v>https://docs.inswave.com/websquare/websquare.html?w2xPath=/support/api/guide/_Page/onbeforepageunload_body_Page/onbeforepageunload_body_Page.xml</v>
      </c>
    </row>
    <row r="438" spans="1:28" s="39" customFormat="1" ht="102" x14ac:dyDescent="0.45">
      <c r="A438" s="37">
        <f>SUBTOTAL(3, $T$2:T438)</f>
        <v>358</v>
      </c>
      <c r="B438" s="38" t="s">
        <v>24</v>
      </c>
      <c r="C438" s="44" t="s">
        <v>24</v>
      </c>
      <c r="D438" s="39" t="s">
        <v>4360</v>
      </c>
      <c r="E438" s="40" t="s">
        <v>1430</v>
      </c>
      <c r="F438" s="41" t="s">
        <v>1432</v>
      </c>
      <c r="G438" s="39" t="s">
        <v>2029</v>
      </c>
      <c r="H438" s="53" t="s">
        <v>4376</v>
      </c>
      <c r="I438" s="44" t="s">
        <v>1433</v>
      </c>
      <c r="J438" s="14" t="s">
        <v>1431</v>
      </c>
      <c r="K438" s="22" t="s">
        <v>2972</v>
      </c>
      <c r="L438" s="46">
        <v>44136</v>
      </c>
      <c r="M438" s="14"/>
      <c r="N438" s="45" t="s">
        <v>199</v>
      </c>
      <c r="O438" s="45" t="s">
        <v>199</v>
      </c>
      <c r="P438" s="45" t="s">
        <v>199</v>
      </c>
      <c r="Q438" s="45" t="s">
        <v>199</v>
      </c>
      <c r="R438" s="45" t="s">
        <v>199</v>
      </c>
      <c r="S438" s="45" t="s">
        <v>199</v>
      </c>
      <c r="T438" s="47" t="s">
        <v>4247</v>
      </c>
      <c r="U438" s="39" t="s">
        <v>3764</v>
      </c>
      <c r="V438" s="39" t="str">
        <f>CONCATENATE(U438, D438)</f>
        <v>https://example.websquare.kr/websquare/websquare.html?w2xPath=/guide/_Page/script_execution_sequence_Page/script_execution_sequence_Page.xml</v>
      </c>
      <c r="W438" s="39" t="s">
        <v>4512</v>
      </c>
      <c r="X438" s="39" t="str">
        <f>CONCATENATE(W438, D438)</f>
        <v>https://docs.inswave.com/websquare/websquare.html?w2xPath=/support/api/guide/_Page/script_execution_sequence_Page/script_execution_sequence_Page.xml</v>
      </c>
      <c r="Y438" s="48" t="str">
        <f>HYPERLINK(X438, H438)</f>
        <v>프레임이 중첩된 경우 페이지 로딩 순서</v>
      </c>
      <c r="Z438" s="4" t="str">
        <f>HYPERLINK(V438,H438)</f>
        <v>프레임이 중첩된 경우 페이지 로딩 순서</v>
      </c>
      <c r="AA438" s="4" t="str">
        <f>HYPERLINK(J438,H438)</f>
        <v>프레임이 중첩된 경우 페이지 로딩 순서</v>
      </c>
      <c r="AB438" s="39" t="str">
        <f t="shared" si="10"/>
        <v>https://docs.inswave.com/websquare/websquare.html?w2xPath=/support/api/guide/_Page/script_execution_sequence_Page/script_execution_sequence_Page.xml</v>
      </c>
    </row>
    <row r="439" spans="1:28" s="39" customFormat="1" ht="102" x14ac:dyDescent="0.45">
      <c r="A439" s="37">
        <f>SUBTOTAL(3, $T$2:T439)</f>
        <v>359</v>
      </c>
      <c r="B439" s="38" t="s">
        <v>3194</v>
      </c>
      <c r="C439" s="38" t="s">
        <v>3194</v>
      </c>
      <c r="D439" s="39" t="s">
        <v>3755</v>
      </c>
      <c r="E439" s="40" t="s">
        <v>2722</v>
      </c>
      <c r="F439" s="41" t="s">
        <v>2723</v>
      </c>
      <c r="G439" s="39" t="s">
        <v>2725</v>
      </c>
      <c r="H439" s="58" t="s">
        <v>4444</v>
      </c>
      <c r="J439" s="14" t="s">
        <v>2724</v>
      </c>
      <c r="K439" s="22" t="s">
        <v>2974</v>
      </c>
      <c r="L439" s="46">
        <v>45413</v>
      </c>
      <c r="M439" s="14"/>
      <c r="N439" s="45"/>
      <c r="O439" s="45"/>
      <c r="P439" s="45"/>
      <c r="Q439" s="45" t="s">
        <v>199</v>
      </c>
      <c r="R439" s="45" t="s">
        <v>199</v>
      </c>
      <c r="S439" s="45" t="s">
        <v>199</v>
      </c>
      <c r="T439" s="47" t="s">
        <v>4247</v>
      </c>
      <c r="U439" s="39" t="s">
        <v>3764</v>
      </c>
      <c r="V439" s="39" t="str">
        <f>CONCATENATE(U439, D439)</f>
        <v>https://example.websquare.kr/websquare/websquare.html?w2xPath=/guide/_Page_Component/method_Page_Component/method_Page_Component.xml</v>
      </c>
      <c r="W439" s="39" t="s">
        <v>4512</v>
      </c>
      <c r="X439" s="39" t="str">
        <f>CONCATENATE(W439, D439)</f>
        <v>https://docs.inswave.com/websquare/websquare.html?w2xPath=/support/api/guide/_Page_Component/method_Page_Component/method_Page_Component.xml</v>
      </c>
      <c r="Y439" s="48" t="str">
        <f>HYPERLINK(X439, H439)</f>
        <v>Page Component의 메소드 사용</v>
      </c>
      <c r="Z439" s="4" t="str">
        <f>HYPERLINK(V439,H439)</f>
        <v>Page Component의 메소드 사용</v>
      </c>
      <c r="AA439" s="4" t="str">
        <f>HYPERLINK(J439,H439)</f>
        <v>Page Component의 메소드 사용</v>
      </c>
      <c r="AB439" s="39" t="str">
        <f t="shared" si="10"/>
        <v>https://docs.inswave.com/websquare/websquare.html?w2xPath=/support/api/guide/_Page_Component/method_Page_Component/method_Page_Component.xml</v>
      </c>
    </row>
    <row r="440" spans="1:28" s="39" customFormat="1" ht="119" x14ac:dyDescent="0.45">
      <c r="A440" s="37">
        <f>SUBTOTAL(3, $T$2:T440)</f>
        <v>360</v>
      </c>
      <c r="B440" s="38" t="s">
        <v>3194</v>
      </c>
      <c r="C440" s="38" t="s">
        <v>3194</v>
      </c>
      <c r="D440" s="39" t="s">
        <v>3657</v>
      </c>
      <c r="E440" s="40" t="s">
        <v>3913</v>
      </c>
      <c r="F440" s="41" t="s">
        <v>3195</v>
      </c>
      <c r="G440" s="39" t="s">
        <v>3200</v>
      </c>
      <c r="H440" s="49" t="s">
        <v>3914</v>
      </c>
      <c r="I440" s="40" t="s">
        <v>3198</v>
      </c>
      <c r="J440" s="14" t="s">
        <v>3202</v>
      </c>
      <c r="K440" s="22" t="s">
        <v>3201</v>
      </c>
      <c r="L440" s="46">
        <v>45444</v>
      </c>
      <c r="M440" s="14"/>
      <c r="N440" s="45"/>
      <c r="O440" s="45"/>
      <c r="P440" s="45"/>
      <c r="Q440" s="45" t="s">
        <v>199</v>
      </c>
      <c r="R440" s="45" t="s">
        <v>199</v>
      </c>
      <c r="S440" s="45" t="s">
        <v>199</v>
      </c>
      <c r="T440" s="47" t="s">
        <v>4247</v>
      </c>
      <c r="U440" s="39" t="s">
        <v>3764</v>
      </c>
      <c r="V440" s="39" t="str">
        <f>CONCATENATE(U440, D440)</f>
        <v>https://example.websquare.kr/websquare/websquare.html?w2xPath=/guide/PageFrame/onpageframeload_onbeforepageframeunload_PageFrame/onpageframeload_onbeforepageframeunload_PageFrame.xml</v>
      </c>
      <c r="W440" s="39" t="s">
        <v>4512</v>
      </c>
      <c r="X440" s="39" t="str">
        <f>CONCATENATE(W440, D440)</f>
        <v>https://docs.inswave.com/websquare/websquare.html?w2xPath=/support/api/guide/PageFrame/onpageframeload_onbeforepageframeunload_PageFrame/onpageframeload_onbeforepageframeunload_PageFrame.xml</v>
      </c>
      <c r="Y440" s="48" t="str">
        <f>HYPERLINK(X440, H440)</f>
        <v>이벤트 - onpageframeload &amp; onbeforepageframeunload</v>
      </c>
      <c r="Z440" s="4" t="str">
        <f>HYPERLINK(V440,H440)</f>
        <v>이벤트 - onpageframeload &amp; onbeforepageframeunload</v>
      </c>
      <c r="AA440" s="4" t="str">
        <f>HYPERLINK(J440,H440)</f>
        <v>이벤트 - onpageframeload &amp; onbeforepageframeunload</v>
      </c>
      <c r="AB440" s="39" t="str">
        <f t="shared" si="10"/>
        <v>https://docs.inswave.com/websquare/websquare.html?w2xPath=/support/api/guide/PageFrame/onpageframeload_onbeforepageframeunload_PageFrame/onpageframeload_onbeforepageframeunload_PageFrame.xml</v>
      </c>
    </row>
    <row r="441" spans="1:28" s="39" customFormat="1" ht="102" x14ac:dyDescent="0.45">
      <c r="A441" s="25">
        <f>SUBTOTAL(3, $T$2:T441)</f>
        <v>361</v>
      </c>
      <c r="B441" s="27" t="s">
        <v>4571</v>
      </c>
      <c r="C441" s="27" t="s">
        <v>4571</v>
      </c>
      <c r="D441" s="27" t="s">
        <v>4604</v>
      </c>
      <c r="E441" s="28" t="s">
        <v>4632</v>
      </c>
      <c r="F441" s="27" t="s">
        <v>4648</v>
      </c>
      <c r="G441" s="27" t="s">
        <v>4638</v>
      </c>
      <c r="H441" s="27" t="s">
        <v>4449</v>
      </c>
      <c r="I441" s="29" t="s">
        <v>4639</v>
      </c>
      <c r="J441" s="31" t="s">
        <v>3550</v>
      </c>
      <c r="K441" s="30" t="s">
        <v>2304</v>
      </c>
      <c r="L441" s="31" t="s">
        <v>4540</v>
      </c>
      <c r="M441" s="32"/>
      <c r="N441" s="79"/>
      <c r="O441" s="79"/>
      <c r="P441" s="79"/>
      <c r="Q441" s="79"/>
      <c r="R441" s="79"/>
      <c r="S441" s="79"/>
      <c r="T441" s="33" t="s">
        <v>4249</v>
      </c>
      <c r="U441" s="27" t="s">
        <v>3764</v>
      </c>
      <c r="V441" s="27" t="str">
        <f>CONCATENATE(U441, D441)</f>
        <v>https://example.websquare.kr/websquare/websquare.html?w2xPath=/guide/PageFrame/onresize_PageFrame/onresize_PageFrame.xml</v>
      </c>
      <c r="W441" s="27" t="s">
        <v>4512</v>
      </c>
      <c r="X441" s="27" t="str">
        <f>CONCATENATE(W441, D441)</f>
        <v>https://docs.inswave.com/websquare/websquare.html?w2xPath=/support/api/guide/PageFrame/onresize_PageFrame/onresize_PageFrame.xml</v>
      </c>
      <c r="Y441" s="34" t="str">
        <f>HYPERLINK(X441, H441)</f>
        <v>이벤트 - onresize</v>
      </c>
      <c r="Z441" s="35" t="str">
        <f>HYPERLINK(V441,H441)</f>
        <v>이벤트 - onresize</v>
      </c>
      <c r="AA441" s="27"/>
      <c r="AB441" s="39" t="str">
        <f t="shared" si="10"/>
        <v>https://docs.inswave.com/websquare/websquare.html?w2xPath=/support/api/guide/PageFrame/onresize_PageFrame/onresize_PageFrame.xml</v>
      </c>
    </row>
    <row r="442" spans="1:28" s="39" customFormat="1" ht="102" x14ac:dyDescent="0.45">
      <c r="A442" s="37">
        <f>SUBTOTAL(3, $T$2:T442)</f>
        <v>362</v>
      </c>
      <c r="B442" s="38" t="s">
        <v>36</v>
      </c>
      <c r="C442" s="39" t="s">
        <v>36</v>
      </c>
      <c r="D442" s="39" t="s">
        <v>279</v>
      </c>
      <c r="E442" s="57" t="s">
        <v>297</v>
      </c>
      <c r="F442" s="41" t="s">
        <v>170</v>
      </c>
      <c r="G442" s="39" t="s">
        <v>71</v>
      </c>
      <c r="H442" s="53" t="s">
        <v>3932</v>
      </c>
      <c r="I442" s="44" t="s">
        <v>70</v>
      </c>
      <c r="J442" s="14" t="s">
        <v>332</v>
      </c>
      <c r="K442" s="22" t="s">
        <v>2980</v>
      </c>
      <c r="L442" s="46">
        <v>44348</v>
      </c>
      <c r="M442" s="14"/>
      <c r="N442" s="45" t="s">
        <v>199</v>
      </c>
      <c r="O442" s="45" t="s">
        <v>199</v>
      </c>
      <c r="P442" s="45" t="s">
        <v>199</v>
      </c>
      <c r="Q442" s="45" t="s">
        <v>199</v>
      </c>
      <c r="R442" s="45" t="s">
        <v>199</v>
      </c>
      <c r="S442" s="45" t="s">
        <v>199</v>
      </c>
      <c r="T442" s="47" t="s">
        <v>4247</v>
      </c>
      <c r="U442" s="39" t="s">
        <v>3764</v>
      </c>
      <c r="V442" s="39" t="str">
        <f>CONCATENATE(U442, D442)</f>
        <v>https://example.websquare.kr/websquare/websquare.html?w2xPath=/guide/Pivot/pivotExcelDownload_options_autoSizeColumn_Pivot.xml</v>
      </c>
      <c r="W442" s="39" t="s">
        <v>4512</v>
      </c>
      <c r="X442" s="39" t="str">
        <f>CONCATENATE(W442, D442)</f>
        <v>https://docs.inswave.com/websquare/websquare.html?w2xPath=/support/api/guide/Pivot/pivotExcelDownload_options_autoSizeColumn_Pivot.xml</v>
      </c>
      <c r="Y442" s="48" t="str">
        <f>HYPERLINK(X442, H442)</f>
        <v>(컬럼 너비 자동 조절한 상태로) Pivot → Excel 다운로드</v>
      </c>
      <c r="Z442" s="4" t="str">
        <f>HYPERLINK(V442,H442)</f>
        <v>(컬럼 너비 자동 조절한 상태로) Pivot → Excel 다운로드</v>
      </c>
      <c r="AA442" s="4" t="str">
        <f>HYPERLINK(J442,H442)</f>
        <v>(컬럼 너비 자동 조절한 상태로) Pivot → Excel 다운로드</v>
      </c>
      <c r="AB442" s="39" t="str">
        <f t="shared" si="10"/>
        <v>https://docs.inswave.com/websquare/websquare.html?w2xPath=/support/api/guide/Pivot/pivotExcelDownload_options_autoSizeColumn_Pivot.xml</v>
      </c>
    </row>
    <row r="443" spans="1:28" s="39" customFormat="1" ht="102" x14ac:dyDescent="0.45">
      <c r="A443" s="37">
        <f>SUBTOTAL(3, $T$2:T443)</f>
        <v>363</v>
      </c>
      <c r="B443" s="38" t="s">
        <v>36</v>
      </c>
      <c r="C443" s="39" t="s">
        <v>36</v>
      </c>
      <c r="D443" s="39" t="s">
        <v>281</v>
      </c>
      <c r="E443" s="57" t="s">
        <v>220</v>
      </c>
      <c r="F443" s="41" t="s">
        <v>185</v>
      </c>
      <c r="G443" s="39" t="s">
        <v>104</v>
      </c>
      <c r="H443" s="53" t="s">
        <v>3931</v>
      </c>
      <c r="I443" s="44" t="s">
        <v>247</v>
      </c>
      <c r="J443" s="14" t="s">
        <v>334</v>
      </c>
      <c r="K443" s="22" t="s">
        <v>2978</v>
      </c>
      <c r="L443" s="46">
        <v>44409</v>
      </c>
      <c r="M443" s="14"/>
      <c r="N443" s="45" t="s">
        <v>199</v>
      </c>
      <c r="O443" s="45" t="s">
        <v>199</v>
      </c>
      <c r="P443" s="45" t="s">
        <v>199</v>
      </c>
      <c r="Q443" s="45" t="s">
        <v>199</v>
      </c>
      <c r="R443" s="45" t="s">
        <v>199</v>
      </c>
      <c r="S443" s="45" t="s">
        <v>199</v>
      </c>
      <c r="T443" s="47" t="s">
        <v>4247</v>
      </c>
      <c r="U443" s="39" t="s">
        <v>3764</v>
      </c>
      <c r="V443" s="39" t="str">
        <f>CONCATENATE(U443, D443)</f>
        <v>https://example.websquare.kr/websquare/websquare.html?w2xPath=/guide/Pivot/headerYMerge_pivotExcelDownload_Pivot.xml</v>
      </c>
      <c r="W443" s="39" t="s">
        <v>4512</v>
      </c>
      <c r="X443" s="39" t="str">
        <f>CONCATENATE(W443, D443)</f>
        <v>https://docs.inswave.com/websquare/websquare.html?w2xPath=/support/api/guide/Pivot/headerYMerge_pivotExcelDownload_Pivot.xml</v>
      </c>
      <c r="Y443" s="48" t="str">
        <f>HYPERLINK(X443, H443)</f>
        <v>(헤더 컬럼 병합하여) Pivot → Excel 다운로드</v>
      </c>
      <c r="Z443" s="4" t="str">
        <f>HYPERLINK(V443,H443)</f>
        <v>(헤더 컬럼 병합하여) Pivot → Excel 다운로드</v>
      </c>
      <c r="AA443" s="4" t="str">
        <f>HYPERLINK(J443,H443)</f>
        <v>(헤더 컬럼 병합하여) Pivot → Excel 다운로드</v>
      </c>
      <c r="AB443" s="39" t="str">
        <f t="shared" si="10"/>
        <v>https://docs.inswave.com/websquare/websquare.html?w2xPath=/support/api/guide/Pivot/headerYMerge_pivotExcelDownload_Pivot.xml</v>
      </c>
    </row>
    <row r="444" spans="1:28" s="39" customFormat="1" ht="102" x14ac:dyDescent="0.45">
      <c r="A444" s="37">
        <f>SUBTOTAL(3, $T$2:T444)</f>
        <v>364</v>
      </c>
      <c r="B444" s="38" t="s">
        <v>36</v>
      </c>
      <c r="C444" s="39" t="s">
        <v>36</v>
      </c>
      <c r="D444" s="39" t="s">
        <v>3723</v>
      </c>
      <c r="E444" s="40" t="s">
        <v>1563</v>
      </c>
      <c r="F444" s="41" t="s">
        <v>1562</v>
      </c>
      <c r="G444" s="39" t="s">
        <v>1511</v>
      </c>
      <c r="H444" s="53" t="s">
        <v>3935</v>
      </c>
      <c r="I444" s="44" t="s">
        <v>1512</v>
      </c>
      <c r="J444" s="14" t="s">
        <v>3440</v>
      </c>
      <c r="K444" s="22" t="s">
        <v>2975</v>
      </c>
      <c r="L444" s="46">
        <v>44044</v>
      </c>
      <c r="M444" s="14"/>
      <c r="N444" s="45" t="s">
        <v>199</v>
      </c>
      <c r="O444" s="45" t="s">
        <v>199</v>
      </c>
      <c r="P444" s="45" t="s">
        <v>199</v>
      </c>
      <c r="Q444" s="45" t="s">
        <v>199</v>
      </c>
      <c r="R444" s="45" t="s">
        <v>199</v>
      </c>
      <c r="S444" s="45" t="s">
        <v>199</v>
      </c>
      <c r="T444" s="47" t="s">
        <v>4247</v>
      </c>
      <c r="U444" s="39" t="s">
        <v>3764</v>
      </c>
      <c r="V444" s="39" t="str">
        <f>CONCATENATE(U444, D444)</f>
        <v>https://example.websquare.kr/websquare/websquare.html?w2xPath=/guide/Pivot/pivotExcelUpload_Pivot/pivotExcelUpload_Pivot.xml</v>
      </c>
      <c r="W444" s="39" t="s">
        <v>4512</v>
      </c>
      <c r="X444" s="39" t="str">
        <f>CONCATENATE(W444, D444)</f>
        <v>https://docs.inswave.com/websquare/websquare.html?w2xPath=/support/api/guide/Pivot/pivotExcelUpload_Pivot/pivotExcelUpload_Pivot.xml</v>
      </c>
      <c r="Y444" s="48" t="str">
        <f>HYPERLINK(X444, H444)</f>
        <v>Excel → Pivot 업로드</v>
      </c>
      <c r="Z444" s="4" t="str">
        <f>HYPERLINK(V444,H444)</f>
        <v>Excel → Pivot 업로드</v>
      </c>
      <c r="AA444" s="4" t="str">
        <f>HYPERLINK(J444,H444)</f>
        <v>Excel → Pivot 업로드</v>
      </c>
      <c r="AB444" s="39" t="str">
        <f t="shared" si="10"/>
        <v>https://docs.inswave.com/websquare/websquare.html?w2xPath=/support/api/guide/Pivot/pivotExcelUpload_Pivot/pivotExcelUpload_Pivot.xml</v>
      </c>
    </row>
    <row r="445" spans="1:28" s="39" customFormat="1" ht="102" x14ac:dyDescent="0.45">
      <c r="A445" s="37">
        <f>SUBTOTAL(3, $T$2:T445)</f>
        <v>365</v>
      </c>
      <c r="B445" s="38" t="s">
        <v>36</v>
      </c>
      <c r="C445" s="44" t="s">
        <v>36</v>
      </c>
      <c r="D445" s="39" t="s">
        <v>1631</v>
      </c>
      <c r="E445" s="40" t="s">
        <v>1561</v>
      </c>
      <c r="F445" s="41" t="s">
        <v>1560</v>
      </c>
      <c r="G445" s="44" t="s">
        <v>1510</v>
      </c>
      <c r="H445" s="53" t="s">
        <v>3928</v>
      </c>
      <c r="I445" s="44" t="s">
        <v>1509</v>
      </c>
      <c r="J445" s="14" t="s">
        <v>3439</v>
      </c>
      <c r="K445" s="22" t="s">
        <v>2981</v>
      </c>
      <c r="L445" s="46">
        <v>44044</v>
      </c>
      <c r="M445" s="14"/>
      <c r="N445" s="45" t="s">
        <v>199</v>
      </c>
      <c r="O445" s="45" t="s">
        <v>199</v>
      </c>
      <c r="P445" s="45" t="s">
        <v>199</v>
      </c>
      <c r="Q445" s="45" t="s">
        <v>199</v>
      </c>
      <c r="R445" s="45" t="s">
        <v>199</v>
      </c>
      <c r="S445" s="45" t="s">
        <v>199</v>
      </c>
      <c r="T445" s="47" t="s">
        <v>4247</v>
      </c>
      <c r="U445" s="39" t="s">
        <v>3764</v>
      </c>
      <c r="V445" s="39" t="str">
        <f>CONCATENATE(U445, D445)</f>
        <v>https://example.websquare.kr/websquare/websquare.html?w2xPath=/guide/Pivot/pivotExcelDownload_Pivot.xml</v>
      </c>
      <c r="W445" s="39" t="s">
        <v>4512</v>
      </c>
      <c r="X445" s="39" t="str">
        <f>CONCATENATE(W445, D445)</f>
        <v>https://docs.inswave.com/websquare/websquare.html?w2xPath=/support/api/guide/Pivot/pivotExcelDownload_Pivot.xml</v>
      </c>
      <c r="Y445" s="48" t="str">
        <f>HYPERLINK(X445, H445)</f>
        <v>Pivot → Excel 다운로드</v>
      </c>
      <c r="Z445" s="4" t="str">
        <f>HYPERLINK(V445,H445)</f>
        <v>Pivot → Excel 다운로드</v>
      </c>
      <c r="AA445" s="4" t="str">
        <f>HYPERLINK(J445,H445)</f>
        <v>Pivot → Excel 다운로드</v>
      </c>
      <c r="AB445" s="39" t="str">
        <f t="shared" si="10"/>
        <v>https://docs.inswave.com/websquare/websquare.html?w2xPath=/support/api/guide/Pivot/pivotExcelDownload_Pivot.xml</v>
      </c>
    </row>
    <row r="446" spans="1:28" s="39" customFormat="1" ht="102" x14ac:dyDescent="0.45">
      <c r="A446" s="37">
        <f>SUBTOTAL(3, $T$2:T446)</f>
        <v>366</v>
      </c>
      <c r="B446" s="38" t="s">
        <v>36</v>
      </c>
      <c r="C446" s="39" t="s">
        <v>36</v>
      </c>
      <c r="D446" s="39" t="s">
        <v>1557</v>
      </c>
      <c r="E446" s="40" t="s">
        <v>3927</v>
      </c>
      <c r="F446" s="41" t="s">
        <v>1556</v>
      </c>
      <c r="G446" s="39" t="s">
        <v>1506</v>
      </c>
      <c r="H446" s="53" t="s">
        <v>3926</v>
      </c>
      <c r="I446" s="44" t="s">
        <v>1505</v>
      </c>
      <c r="J446" s="14" t="s">
        <v>1861</v>
      </c>
      <c r="K446" s="22" t="s">
        <v>2982</v>
      </c>
      <c r="L446" s="46">
        <v>44013</v>
      </c>
      <c r="M446" s="14"/>
      <c r="N446" s="45" t="s">
        <v>199</v>
      </c>
      <c r="O446" s="45" t="s">
        <v>199</v>
      </c>
      <c r="P446" s="45" t="s">
        <v>199</v>
      </c>
      <c r="Q446" s="45" t="s">
        <v>199</v>
      </c>
      <c r="R446" s="45" t="s">
        <v>199</v>
      </c>
      <c r="S446" s="45" t="s">
        <v>199</v>
      </c>
      <c r="T446" s="47" t="s">
        <v>4247</v>
      </c>
      <c r="U446" s="39" t="s">
        <v>3764</v>
      </c>
      <c r="V446" s="39" t="str">
        <f>CONCATENATE(U446, D446)</f>
        <v>https://example.websquare.kr/websquare/websquare.html?w2xPath=/guide/Pivot/showGrandTotal_grandTotalDisplayType_Pivot.xml</v>
      </c>
      <c r="W446" s="39" t="s">
        <v>4512</v>
      </c>
      <c r="X446" s="39" t="str">
        <f>CONCATENATE(W446, D446)</f>
        <v>https://docs.inswave.com/websquare/websquare.html?w2xPath=/support/api/guide/Pivot/showGrandTotal_grandTotalDisplayType_Pivot.xml</v>
      </c>
      <c r="Y446" s="48" t="str">
        <f>HYPERLINK(X446, H446)</f>
        <v>총 합계 표시 위치 설정</v>
      </c>
      <c r="Z446" s="4" t="str">
        <f>HYPERLINK(V446,H446)</f>
        <v>총 합계 표시 위치 설정</v>
      </c>
      <c r="AA446" s="4" t="str">
        <f>HYPERLINK(J446,H446)</f>
        <v>총 합계 표시 위치 설정</v>
      </c>
      <c r="AB446" s="39" t="str">
        <f t="shared" si="10"/>
        <v>https://docs.inswave.com/websquare/websquare.html?w2xPath=/support/api/guide/Pivot/showGrandTotal_grandTotalDisplayType_Pivot.xml</v>
      </c>
    </row>
    <row r="447" spans="1:28" s="39" customFormat="1" ht="102" x14ac:dyDescent="0.45">
      <c r="A447" s="37">
        <f>SUBTOTAL(3, $T$2:T447)</f>
        <v>367</v>
      </c>
      <c r="B447" s="38" t="s">
        <v>36</v>
      </c>
      <c r="C447" s="39" t="s">
        <v>36</v>
      </c>
      <c r="D447" s="39" t="s">
        <v>1554</v>
      </c>
      <c r="E447" s="40" t="s">
        <v>1555</v>
      </c>
      <c r="F447" s="41" t="s">
        <v>1553</v>
      </c>
      <c r="G447" s="39" t="s">
        <v>1503</v>
      </c>
      <c r="H447" s="53" t="s">
        <v>3925</v>
      </c>
      <c r="I447" s="44" t="s">
        <v>1504</v>
      </c>
      <c r="J447" s="14" t="s">
        <v>1873</v>
      </c>
      <c r="K447" s="22" t="s">
        <v>2983</v>
      </c>
      <c r="L447" s="46">
        <v>44013</v>
      </c>
      <c r="M447" s="14"/>
      <c r="N447" s="45" t="s">
        <v>199</v>
      </c>
      <c r="O447" s="45" t="s">
        <v>199</v>
      </c>
      <c r="P447" s="45" t="s">
        <v>199</v>
      </c>
      <c r="Q447" s="45" t="s">
        <v>199</v>
      </c>
      <c r="R447" s="45" t="s">
        <v>199</v>
      </c>
      <c r="S447" s="45" t="s">
        <v>199</v>
      </c>
      <c r="T447" s="47" t="s">
        <v>4247</v>
      </c>
      <c r="U447" s="39" t="s">
        <v>3764</v>
      </c>
      <c r="V447" s="39" t="str">
        <f>CONCATENATE(U447, D447)</f>
        <v>https://example.websquare.kr/websquare/websquare.html?w2xPath=/guide/Pivot/showGrandTotal_Pivot.xml</v>
      </c>
      <c r="W447" s="39" t="s">
        <v>4512</v>
      </c>
      <c r="X447" s="39" t="str">
        <f>CONCATENATE(W447, D447)</f>
        <v>https://docs.inswave.com/websquare/websquare.html?w2xPath=/support/api/guide/Pivot/showGrandTotal_Pivot.xml</v>
      </c>
      <c r="Y447" s="48" t="str">
        <f>HYPERLINK(X447, H447)</f>
        <v>총 합계 표시하기/숨기기</v>
      </c>
      <c r="Z447" s="4" t="str">
        <f>HYPERLINK(V447,H447)</f>
        <v>총 합계 표시하기/숨기기</v>
      </c>
      <c r="AA447" s="4" t="str">
        <f>HYPERLINK(J447,H447)</f>
        <v>총 합계 표시하기/숨기기</v>
      </c>
      <c r="AB447" s="39" t="str">
        <f t="shared" ref="AB447:AB510" si="11">CONCATENATE(W447, D447)</f>
        <v>https://docs.inswave.com/websquare/websquare.html?w2xPath=/support/api/guide/Pivot/showGrandTotal_Pivot.xml</v>
      </c>
    </row>
    <row r="448" spans="1:28" s="39" customFormat="1" ht="102" x14ac:dyDescent="0.45">
      <c r="A448" s="37">
        <f>SUBTOTAL(3, $T$2:T448)</f>
        <v>368</v>
      </c>
      <c r="B448" s="38" t="s">
        <v>36</v>
      </c>
      <c r="C448" s="39" t="s">
        <v>36</v>
      </c>
      <c r="D448" s="39" t="s">
        <v>280</v>
      </c>
      <c r="E448" s="57" t="s">
        <v>299</v>
      </c>
      <c r="F448" s="41" t="s">
        <v>179</v>
      </c>
      <c r="G448" s="39" t="s">
        <v>87</v>
      </c>
      <c r="H448" s="53" t="s">
        <v>3929</v>
      </c>
      <c r="I448" s="39" t="s">
        <v>81</v>
      </c>
      <c r="J448" s="14" t="s">
        <v>84</v>
      </c>
      <c r="K448" s="22" t="s">
        <v>2979</v>
      </c>
      <c r="L448" s="46">
        <v>44378</v>
      </c>
      <c r="M448" s="14"/>
      <c r="N448" s="45" t="s">
        <v>199</v>
      </c>
      <c r="O448" s="45" t="s">
        <v>199</v>
      </c>
      <c r="P448" s="45" t="s">
        <v>199</v>
      </c>
      <c r="Q448" s="45" t="s">
        <v>199</v>
      </c>
      <c r="R448" s="45" t="s">
        <v>199</v>
      </c>
      <c r="S448" s="45" t="s">
        <v>199</v>
      </c>
      <c r="T448" s="47" t="s">
        <v>4247</v>
      </c>
      <c r="U448" s="39" t="s">
        <v>3764</v>
      </c>
      <c r="V448" s="39" t="str">
        <f>CONCATENATE(U448, D448)</f>
        <v>https://example.websquare.kr/websquare/websquare.html?w2xPath=/guide/Pivot/noColumnMove_Pivot.xml</v>
      </c>
      <c r="W448" s="39" t="s">
        <v>4512</v>
      </c>
      <c r="X448" s="39" t="str">
        <f>CONCATENATE(W448, D448)</f>
        <v>https://docs.inswave.com/websquare/websquare.html?w2xPath=/support/api/guide/Pivot/noColumnMove_Pivot.xml</v>
      </c>
      <c r="Y448" s="48" t="str">
        <f>HYPERLINK(X448, H448)</f>
        <v>컬럼 이동 금지</v>
      </c>
      <c r="Z448" s="4" t="str">
        <f>HYPERLINK(V448,H448)</f>
        <v>컬럼 이동 금지</v>
      </c>
      <c r="AA448" s="4" t="str">
        <f>HYPERLINK(J448,H448)</f>
        <v>컬럼 이동 금지</v>
      </c>
      <c r="AB448" s="39" t="str">
        <f t="shared" si="11"/>
        <v>https://docs.inswave.com/websquare/websquare.html?w2xPath=/support/api/guide/Pivot/noColumnMove_Pivot.xml</v>
      </c>
    </row>
    <row r="449" spans="1:30" s="39" customFormat="1" ht="102" x14ac:dyDescent="0.45">
      <c r="A449" s="37">
        <f>SUBTOTAL(3, $T$2:T449)</f>
        <v>369</v>
      </c>
      <c r="B449" s="38" t="s">
        <v>2081</v>
      </c>
      <c r="C449" s="38" t="s">
        <v>2081</v>
      </c>
      <c r="D449" s="39" t="s">
        <v>3724</v>
      </c>
      <c r="E449" s="41" t="s">
        <v>3492</v>
      </c>
      <c r="F449" s="41" t="s">
        <v>3488</v>
      </c>
      <c r="G449" s="39" t="s">
        <v>3497</v>
      </c>
      <c r="H449" s="58" t="s">
        <v>3934</v>
      </c>
      <c r="I449" s="41" t="s">
        <v>3496</v>
      </c>
      <c r="J449" s="45" t="s">
        <v>2304</v>
      </c>
      <c r="K449" s="45" t="s">
        <v>2304</v>
      </c>
      <c r="L449" s="46">
        <v>45717</v>
      </c>
      <c r="M449" s="14"/>
      <c r="N449" s="45"/>
      <c r="O449" s="45"/>
      <c r="P449" s="45"/>
      <c r="Q449" s="45"/>
      <c r="R449" s="45"/>
      <c r="S449" s="45"/>
      <c r="T449" s="47" t="s">
        <v>4249</v>
      </c>
      <c r="U449" s="39" t="s">
        <v>3764</v>
      </c>
      <c r="V449" s="39" t="str">
        <f>CONCATENATE(U449, D449)</f>
        <v>https://example.websquare.kr/websquare/websquare.html?w2xPath=/guide/Pivot/grandTotalValsNameFormatter_Pivot.xml</v>
      </c>
      <c r="W449" s="39" t="s">
        <v>4512</v>
      </c>
      <c r="X449" s="39" t="str">
        <f>CONCATENATE(W449, D449)</f>
        <v>https://docs.inswave.com/websquare/websquare.html?w2xPath=/support/api/guide/Pivot/grandTotalValsNameFormatter_Pivot.xml</v>
      </c>
      <c r="Y449" s="48" t="str">
        <f>HYPERLINK(X449, H449)</f>
        <v>필드 합계를 표시할 라벨 값을 커스텀 설정</v>
      </c>
      <c r="Z449" s="4" t="str">
        <f>HYPERLINK(V449,H449)</f>
        <v>필드 합계를 표시할 라벨 값을 커스텀 설정</v>
      </c>
      <c r="AA449" s="45" t="s">
        <v>2304</v>
      </c>
      <c r="AB449" s="39" t="str">
        <f t="shared" si="11"/>
        <v>https://docs.inswave.com/websquare/websquare.html?w2xPath=/support/api/guide/Pivot/grandTotalValsNameFormatter_Pivot.xml</v>
      </c>
    </row>
    <row r="450" spans="1:30" s="39" customFormat="1" ht="102" x14ac:dyDescent="0.45">
      <c r="A450" s="37">
        <f>SUBTOTAL(3, $T$2:T450)</f>
        <v>370</v>
      </c>
      <c r="B450" s="38" t="s">
        <v>36</v>
      </c>
      <c r="C450" s="39" t="s">
        <v>36</v>
      </c>
      <c r="D450" s="39" t="s">
        <v>1558</v>
      </c>
      <c r="E450" s="40" t="s">
        <v>1559</v>
      </c>
      <c r="F450" s="41" t="s">
        <v>2181</v>
      </c>
      <c r="G450" s="44" t="s">
        <v>1507</v>
      </c>
      <c r="H450" s="53" t="s">
        <v>3933</v>
      </c>
      <c r="I450" s="44" t="s">
        <v>1508</v>
      </c>
      <c r="J450" s="14" t="s">
        <v>1841</v>
      </c>
      <c r="K450" s="22" t="s">
        <v>2976</v>
      </c>
      <c r="L450" s="46">
        <v>44013</v>
      </c>
      <c r="M450" s="14"/>
      <c r="N450" s="45" t="s">
        <v>199</v>
      </c>
      <c r="O450" s="45" t="s">
        <v>199</v>
      </c>
      <c r="P450" s="45" t="s">
        <v>199</v>
      </c>
      <c r="Q450" s="45" t="s">
        <v>199</v>
      </c>
      <c r="R450" s="45" t="s">
        <v>199</v>
      </c>
      <c r="S450" s="45" t="s">
        <v>199</v>
      </c>
      <c r="T450" s="47" t="s">
        <v>4247</v>
      </c>
      <c r="U450" s="39" t="s">
        <v>3764</v>
      </c>
      <c r="V450" s="39" t="str">
        <f>CONCATENATE(U450, D450)</f>
        <v>https://example.websquare.kr/websquare/websquare.html?w2xPath=/guide/Pivot/allTotalName_grandTotalName_Pivot.xml</v>
      </c>
      <c r="W450" s="39" t="s">
        <v>4512</v>
      </c>
      <c r="X450" s="39" t="str">
        <f>CONCATENATE(W450, D450)</f>
        <v>https://docs.inswave.com/websquare/websquare.html?w2xPath=/support/api/guide/Pivot/allTotalName_grandTotalName_Pivot.xml</v>
      </c>
      <c r="Y450" s="48" t="str">
        <f>HYPERLINK(X450, H450)</f>
        <v>행 합계 및 컬럼 합계를 표시할 라벨 값을 설정</v>
      </c>
      <c r="Z450" s="4" t="str">
        <f>HYPERLINK(V450,H450)</f>
        <v>행 합계 및 컬럼 합계를 표시할 라벨 값을 설정</v>
      </c>
      <c r="AA450" s="4" t="str">
        <f>HYPERLINK(J450,H450)</f>
        <v>행 합계 및 컬럼 합계를 표시할 라벨 값을 설정</v>
      </c>
      <c r="AB450" s="39" t="str">
        <f t="shared" si="11"/>
        <v>https://docs.inswave.com/websquare/websquare.html?w2xPath=/support/api/guide/Pivot/allTotalName_grandTotalName_Pivot.xml</v>
      </c>
    </row>
    <row r="451" spans="1:30" s="39" customFormat="1" ht="102" x14ac:dyDescent="0.45">
      <c r="A451" s="37">
        <f>SUBTOTAL(3, $T$2:T451)</f>
        <v>371</v>
      </c>
      <c r="B451" s="38" t="s">
        <v>36</v>
      </c>
      <c r="C451" s="39" t="s">
        <v>36</v>
      </c>
      <c r="D451" s="39" t="s">
        <v>285</v>
      </c>
      <c r="E451" s="57" t="s">
        <v>298</v>
      </c>
      <c r="F451" s="41" t="s">
        <v>176</v>
      </c>
      <c r="G451" s="39" t="s">
        <v>79</v>
      </c>
      <c r="H451" s="53" t="s">
        <v>3930</v>
      </c>
      <c r="I451" s="39" t="s">
        <v>78</v>
      </c>
      <c r="J451" s="14" t="s">
        <v>333</v>
      </c>
      <c r="K451" s="22" t="s">
        <v>2977</v>
      </c>
      <c r="L451" s="46">
        <v>44348</v>
      </c>
      <c r="M451" s="14"/>
      <c r="N451" s="45" t="s">
        <v>199</v>
      </c>
      <c r="O451" s="45" t="s">
        <v>199</v>
      </c>
      <c r="P451" s="45" t="s">
        <v>199</v>
      </c>
      <c r="Q451" s="45" t="s">
        <v>199</v>
      </c>
      <c r="R451" s="45" t="s">
        <v>199</v>
      </c>
      <c r="S451" s="45" t="s">
        <v>199</v>
      </c>
      <c r="T451" s="47" t="s">
        <v>4247</v>
      </c>
      <c r="U451" s="39" t="s">
        <v>3764</v>
      </c>
      <c r="V451" s="39" t="str">
        <f>CONCATENATE(U451, D451)</f>
        <v>https://example.websquare.kr/websquare/websquare.html?w2xPath=/guide/Pivot/headerYMerge_Pivot.xml</v>
      </c>
      <c r="W451" s="39" t="s">
        <v>4512</v>
      </c>
      <c r="X451" s="39" t="str">
        <f>CONCATENATE(W451, D451)</f>
        <v>https://docs.inswave.com/websquare/websquare.html?w2xPath=/support/api/guide/Pivot/headerYMerge_Pivot.xml</v>
      </c>
      <c r="Y451" s="48" t="str">
        <f>HYPERLINK(X451, H451)</f>
        <v>헤더 컬럼 병합</v>
      </c>
      <c r="Z451" s="4" t="str">
        <f>HYPERLINK(V451,H451)</f>
        <v>헤더 컬럼 병합</v>
      </c>
      <c r="AA451" s="4" t="str">
        <f>HYPERLINK(J451,H451)</f>
        <v>헤더 컬럼 병합</v>
      </c>
      <c r="AB451" s="39" t="str">
        <f t="shared" si="11"/>
        <v>https://docs.inswave.com/websquare/websquare.html?w2xPath=/support/api/guide/Pivot/headerYMerge_Pivot.xml</v>
      </c>
    </row>
    <row r="452" spans="1:30" s="39" customFormat="1" ht="102" x14ac:dyDescent="0.45">
      <c r="A452" s="25">
        <f>SUBTOTAL(3, $T$2:T452)</f>
        <v>372</v>
      </c>
      <c r="B452" s="27" t="s">
        <v>4572</v>
      </c>
      <c r="C452" s="27" t="s">
        <v>4572</v>
      </c>
      <c r="D452" s="27" t="s">
        <v>4605</v>
      </c>
      <c r="E452" s="28" t="s">
        <v>4633</v>
      </c>
      <c r="F452" s="27" t="s">
        <v>4649</v>
      </c>
      <c r="G452" s="27" t="s">
        <v>4640</v>
      </c>
      <c r="H452" s="27" t="s">
        <v>4595</v>
      </c>
      <c r="I452" s="29" t="s">
        <v>4635</v>
      </c>
      <c r="J452" s="31" t="s">
        <v>3550</v>
      </c>
      <c r="K452" s="30" t="s">
        <v>2304</v>
      </c>
      <c r="L452" s="31" t="s">
        <v>4540</v>
      </c>
      <c r="M452" s="32"/>
      <c r="N452" s="79"/>
      <c r="O452" s="79"/>
      <c r="P452" s="79"/>
      <c r="Q452" s="79"/>
      <c r="R452" s="79"/>
      <c r="S452" s="79"/>
      <c r="T452" s="33" t="s">
        <v>4249</v>
      </c>
      <c r="U452" s="27" t="s">
        <v>3764</v>
      </c>
      <c r="V452" s="27" t="str">
        <f>CONCATENATE(U452, D452)</f>
        <v>https://example.websquare.kr/websquare/websquare.html?w2xPath=/guide/ProgressBar/displayFormat_displayFormatter_ProgressBar.xml</v>
      </c>
      <c r="W452" s="27" t="s">
        <v>4512</v>
      </c>
      <c r="X452" s="27" t="str">
        <f>CONCATENATE(W452, D452)</f>
        <v>https://docs.inswave.com/websquare/websquare.html?w2xPath=/support/api/guide/ProgressBar/displayFormat_displayFormatter_ProgressBar.xml</v>
      </c>
      <c r="Y452" s="34" t="str">
        <f>HYPERLINK(X452, H452)</f>
        <v>값 표시 형식 설정</v>
      </c>
      <c r="Z452" s="35" t="str">
        <f>HYPERLINK(V452,H452)</f>
        <v>값 표시 형식 설정</v>
      </c>
      <c r="AA452" s="27"/>
      <c r="AB452" s="39" t="str">
        <f t="shared" si="11"/>
        <v>https://docs.inswave.com/websquare/websquare.html?w2xPath=/support/api/guide/ProgressBar/displayFormat_displayFormatter_ProgressBar.xml</v>
      </c>
    </row>
    <row r="453" spans="1:30" s="39" customFormat="1" ht="102" x14ac:dyDescent="0.45">
      <c r="A453" s="37">
        <f>SUBTOTAL(3, $T$2:T453)</f>
        <v>373</v>
      </c>
      <c r="B453" s="38" t="s">
        <v>28</v>
      </c>
      <c r="C453" s="39" t="s">
        <v>28</v>
      </c>
      <c r="D453" s="39" t="s">
        <v>3420</v>
      </c>
      <c r="E453" s="40" t="s">
        <v>2519</v>
      </c>
      <c r="F453" s="41" t="s">
        <v>1214</v>
      </c>
      <c r="G453" s="39" t="s">
        <v>2497</v>
      </c>
      <c r="H453" s="53" t="s">
        <v>3843</v>
      </c>
      <c r="I453" s="44" t="s">
        <v>2520</v>
      </c>
      <c r="J453" s="14" t="s">
        <v>2521</v>
      </c>
      <c r="K453" s="22" t="s">
        <v>2984</v>
      </c>
      <c r="L453" s="46">
        <v>43709</v>
      </c>
      <c r="M453" s="14"/>
      <c r="N453" s="45" t="s">
        <v>199</v>
      </c>
      <c r="O453" s="45" t="s">
        <v>199</v>
      </c>
      <c r="P453" s="45" t="s">
        <v>199</v>
      </c>
      <c r="Q453" s="45" t="s">
        <v>199</v>
      </c>
      <c r="R453" s="45" t="s">
        <v>199</v>
      </c>
      <c r="S453" s="45" t="s">
        <v>199</v>
      </c>
      <c r="T453" s="47" t="s">
        <v>4247</v>
      </c>
      <c r="U453" s="39" t="s">
        <v>3764</v>
      </c>
      <c r="V453" s="39" t="str">
        <f>CONCATENATE(U453, D453)</f>
        <v>https://example.websquare.kr/websquare/websquare.html?w2xPath=/guide/Radio/BindItemSet_SpanDirection_SpanCount_cols_rows_Radio.xml</v>
      </c>
      <c r="W453" s="39" t="s">
        <v>4512</v>
      </c>
      <c r="X453" s="39" t="str">
        <f>CONCATENATE(W453, D453)</f>
        <v>https://docs.inswave.com/websquare/websquare.html?w2xPath=/support/api/guide/Radio/BindItemSet_SpanDirection_SpanCount_cols_rows_Radio.xml</v>
      </c>
      <c r="Y453" s="48" t="str">
        <f>HYPERLINK(X453, H453)</f>
        <v>DataList와 바인딩</v>
      </c>
      <c r="Z453" s="4" t="str">
        <f>HYPERLINK(V453,H453)</f>
        <v>DataList와 바인딩</v>
      </c>
      <c r="AA453" s="4" t="str">
        <f>HYPERLINK(J453,H453)</f>
        <v>DataList와 바인딩</v>
      </c>
      <c r="AB453" s="39" t="str">
        <f t="shared" si="11"/>
        <v>https://docs.inswave.com/websquare/websquare.html?w2xPath=/support/api/guide/Radio/BindItemSet_SpanDirection_SpanCount_cols_rows_Radio.xml</v>
      </c>
    </row>
    <row r="454" spans="1:30" s="39" customFormat="1" ht="102" x14ac:dyDescent="0.45">
      <c r="A454" s="37">
        <f>SUBTOTAL(3, $T$2:T454)</f>
        <v>374</v>
      </c>
      <c r="B454" s="38" t="s">
        <v>2082</v>
      </c>
      <c r="C454" s="38" t="s">
        <v>2082</v>
      </c>
      <c r="D454" s="41" t="s">
        <v>3462</v>
      </c>
      <c r="E454" s="41" t="s">
        <v>3458</v>
      </c>
      <c r="F454" s="41" t="s">
        <v>3460</v>
      </c>
      <c r="G454" s="39" t="s">
        <v>3403</v>
      </c>
      <c r="H454" s="53" t="s">
        <v>3846</v>
      </c>
      <c r="I454" s="44" t="s">
        <v>3395</v>
      </c>
      <c r="J454" s="45" t="s">
        <v>2304</v>
      </c>
      <c r="K454" s="45" t="s">
        <v>2304</v>
      </c>
      <c r="L454" s="46">
        <v>45689</v>
      </c>
      <c r="M454" s="14"/>
      <c r="N454" s="45"/>
      <c r="O454" s="45"/>
      <c r="P454" s="45"/>
      <c r="Q454" s="45"/>
      <c r="R454" s="45"/>
      <c r="S454" s="45"/>
      <c r="T454" s="47" t="s">
        <v>4249</v>
      </c>
      <c r="U454" s="39" t="s">
        <v>3764</v>
      </c>
      <c r="V454" s="39" t="str">
        <f>CONCATENATE(U454, D454)</f>
        <v>https://example.websquare.kr/websquare/websquare.html?w2xPath=/guide/Radio/onbeforeselect_Radio.xml</v>
      </c>
      <c r="W454" s="39" t="s">
        <v>4512</v>
      </c>
      <c r="X454" s="39" t="str">
        <f>CONCATENATE(W454, D454)</f>
        <v>https://docs.inswave.com/websquare/websquare.html?w2xPath=/support/api/guide/Radio/onbeforeselect_Radio.xml</v>
      </c>
      <c r="Y454" s="48" t="str">
        <f>HYPERLINK(X454, H454)</f>
        <v>이벤트 - onbeforeselect</v>
      </c>
      <c r="Z454" s="4" t="str">
        <f>HYPERLINK(V454,H454)</f>
        <v>이벤트 - onbeforeselect</v>
      </c>
      <c r="AA454" s="45" t="s">
        <v>2304</v>
      </c>
      <c r="AB454" s="39" t="str">
        <f t="shared" si="11"/>
        <v>https://docs.inswave.com/websquare/websquare.html?w2xPath=/support/api/guide/Radio/onbeforeselect_Radio.xml</v>
      </c>
    </row>
    <row r="455" spans="1:30" s="39" customFormat="1" ht="102" x14ac:dyDescent="0.45">
      <c r="A455" s="37">
        <f>SUBTOTAL(3, $T$2:T455)</f>
        <v>375</v>
      </c>
      <c r="B455" s="38" t="s">
        <v>2082</v>
      </c>
      <c r="C455" s="39" t="s">
        <v>2082</v>
      </c>
      <c r="D455" s="39" t="s">
        <v>2148</v>
      </c>
      <c r="E455" s="40" t="s">
        <v>2106</v>
      </c>
      <c r="F455" s="41" t="s">
        <v>2146</v>
      </c>
      <c r="G455" s="39" t="s">
        <v>3847</v>
      </c>
      <c r="H455" s="53" t="s">
        <v>3845</v>
      </c>
      <c r="I455" s="44" t="s">
        <v>2147</v>
      </c>
      <c r="J455" s="14" t="s">
        <v>2173</v>
      </c>
      <c r="K455" s="22" t="s">
        <v>2986</v>
      </c>
      <c r="L455" s="46">
        <v>45047</v>
      </c>
      <c r="M455" s="14"/>
      <c r="N455" s="45" t="s">
        <v>199</v>
      </c>
      <c r="O455" s="45" t="s">
        <v>199</v>
      </c>
      <c r="P455" s="45" t="s">
        <v>199</v>
      </c>
      <c r="Q455" s="45" t="s">
        <v>199</v>
      </c>
      <c r="R455" s="45" t="s">
        <v>199</v>
      </c>
      <c r="S455" s="45" t="s">
        <v>199</v>
      </c>
      <c r="T455" s="47" t="s">
        <v>4247</v>
      </c>
      <c r="U455" s="39" t="s">
        <v>3764</v>
      </c>
      <c r="V455" s="39" t="str">
        <f>CONCATENATE(U455, D455)</f>
        <v>https://example.websquare.kr/websquare/websquare.html?w2xPath=/guide/Radio/onviewchange_Radio.xml</v>
      </c>
      <c r="W455" s="39" t="s">
        <v>4512</v>
      </c>
      <c r="X455" s="39" t="str">
        <f>CONCATENATE(W455, D455)</f>
        <v>https://docs.inswave.com/websquare/websquare.html?w2xPath=/support/api/guide/Radio/onviewchange_Radio.xml</v>
      </c>
      <c r="Y455" s="48" t="str">
        <f>HYPERLINK(X455, H455)</f>
        <v>이벤트 - onviewchange</v>
      </c>
      <c r="Z455" s="4" t="str">
        <f>HYPERLINK(V455,H455)</f>
        <v>이벤트 - onviewchange</v>
      </c>
      <c r="AA455" s="4" t="str">
        <f>HYPERLINK(J455,H455)</f>
        <v>이벤트 - onviewchange</v>
      </c>
      <c r="AB455" s="39" t="str">
        <f t="shared" si="11"/>
        <v>https://docs.inswave.com/websquare/websquare.html?w2xPath=/support/api/guide/Radio/onviewchange_Radio.xml</v>
      </c>
    </row>
    <row r="456" spans="1:30" s="39" customFormat="1" ht="102" x14ac:dyDescent="0.45">
      <c r="A456" s="37">
        <f>SUBTOTAL(3, $T$2:T456)</f>
        <v>376</v>
      </c>
      <c r="B456" s="38" t="s">
        <v>28</v>
      </c>
      <c r="C456" s="39" t="s">
        <v>28</v>
      </c>
      <c r="D456" s="39" t="s">
        <v>638</v>
      </c>
      <c r="E456" s="40" t="s">
        <v>639</v>
      </c>
      <c r="F456" s="41" t="s">
        <v>643</v>
      </c>
      <c r="G456" s="39" t="s">
        <v>576</v>
      </c>
      <c r="H456" s="53" t="s">
        <v>3807</v>
      </c>
      <c r="I456" s="44" t="s">
        <v>574</v>
      </c>
      <c r="J456" s="14" t="s">
        <v>642</v>
      </c>
      <c r="K456" s="22" t="s">
        <v>2987</v>
      </c>
      <c r="L456" s="46">
        <v>44593</v>
      </c>
      <c r="M456" s="14"/>
      <c r="N456" s="45" t="s">
        <v>199</v>
      </c>
      <c r="O456" s="45" t="s">
        <v>199</v>
      </c>
      <c r="P456" s="47" t="s">
        <v>199</v>
      </c>
      <c r="Q456" s="45" t="s">
        <v>199</v>
      </c>
      <c r="R456" s="45" t="s">
        <v>199</v>
      </c>
      <c r="S456" s="45" t="s">
        <v>199</v>
      </c>
      <c r="T456" s="47" t="s">
        <v>4247</v>
      </c>
      <c r="U456" s="39" t="s">
        <v>3764</v>
      </c>
      <c r="V456" s="39" t="str">
        <f>CONCATENATE(U456, D456)</f>
        <v>https://example.websquare.kr/websquare/websquare.html?w2xPath=/guide/Radio/setEnableColumn_Radio.xml</v>
      </c>
      <c r="W456" s="39" t="s">
        <v>4512</v>
      </c>
      <c r="X456" s="39" t="str">
        <f>CONCATENATE(W456, D456)</f>
        <v>https://docs.inswave.com/websquare/websquare.html?w2xPath=/support/api/guide/Radio/setEnableColumn_Radio.xml</v>
      </c>
      <c r="Y456" s="48" t="str">
        <f>HYPERLINK(X456, H456)</f>
        <v>일부 선택 항목 (동적으로) 비활성화</v>
      </c>
      <c r="Z456" s="4" t="str">
        <f>HYPERLINK(V456,H456)</f>
        <v>일부 선택 항목 (동적으로) 비활성화</v>
      </c>
      <c r="AA456" s="4" t="str">
        <f>HYPERLINK(J456,H456)</f>
        <v>일부 선택 항목 (동적으로) 비활성화</v>
      </c>
      <c r="AB456" s="39" t="str">
        <f t="shared" si="11"/>
        <v>https://docs.inswave.com/websquare/websquare.html?w2xPath=/support/api/guide/Radio/setEnableColumn_Radio.xml</v>
      </c>
    </row>
    <row r="457" spans="1:30" s="39" customFormat="1" ht="102" x14ac:dyDescent="0.45">
      <c r="A457" s="37">
        <f>SUBTOTAL(3, $T$2:T457)</f>
        <v>377</v>
      </c>
      <c r="B457" s="38" t="s">
        <v>28</v>
      </c>
      <c r="C457" s="39" t="s">
        <v>28</v>
      </c>
      <c r="D457" s="39" t="s">
        <v>602</v>
      </c>
      <c r="E457" s="40" t="s">
        <v>601</v>
      </c>
      <c r="F457" s="41" t="s">
        <v>614</v>
      </c>
      <c r="G457" s="39" t="s">
        <v>564</v>
      </c>
      <c r="H457" s="53" t="s">
        <v>3844</v>
      </c>
      <c r="I457" s="44" t="s">
        <v>567</v>
      </c>
      <c r="J457" s="14" t="s">
        <v>613</v>
      </c>
      <c r="K457" s="22" t="s">
        <v>2985</v>
      </c>
      <c r="L457" s="46">
        <v>44593</v>
      </c>
      <c r="M457" s="14"/>
      <c r="N457" s="45" t="s">
        <v>199</v>
      </c>
      <c r="O457" s="45" t="s">
        <v>199</v>
      </c>
      <c r="P457" s="47" t="s">
        <v>199</v>
      </c>
      <c r="Q457" s="45" t="s">
        <v>199</v>
      </c>
      <c r="R457" s="45" t="s">
        <v>199</v>
      </c>
      <c r="S457" s="45" t="s">
        <v>199</v>
      </c>
      <c r="T457" s="47" t="s">
        <v>4247</v>
      </c>
      <c r="U457" s="39" t="s">
        <v>3764</v>
      </c>
      <c r="V457" s="39" t="str">
        <f>CONCATENATE(U457, D457)</f>
        <v>https://example.websquare.kr/websquare/websquare.html?w2xPath=/guide/Radio/enableColumn_enableColumnFalseValue_Radio.xml</v>
      </c>
      <c r="W457" s="39" t="s">
        <v>4512</v>
      </c>
      <c r="X457" s="39" t="str">
        <f>CONCATENATE(W457, D457)</f>
        <v>https://docs.inswave.com/websquare/websquare.html?w2xPath=/support/api/guide/Radio/enableColumn_enableColumnFalseValue_Radio.xml</v>
      </c>
      <c r="Y457" s="48" t="str">
        <f>HYPERLINK(X457, H457)</f>
        <v>일부 선택 항목 (정적으로) 비활성화</v>
      </c>
      <c r="Z457" s="4" t="str">
        <f>HYPERLINK(V457,H457)</f>
        <v>일부 선택 항목 (정적으로) 비활성화</v>
      </c>
      <c r="AA457" s="4" t="str">
        <f>HYPERLINK(J457,H457)</f>
        <v>일부 선택 항목 (정적으로) 비활성화</v>
      </c>
      <c r="AB457" s="39" t="str">
        <f t="shared" si="11"/>
        <v>https://docs.inswave.com/websquare/websquare.html?w2xPath=/support/api/guide/Radio/enableColumn_enableColumnFalseValue_Radio.xml</v>
      </c>
    </row>
    <row r="458" spans="1:30" s="39" customFormat="1" ht="102" x14ac:dyDescent="0.45">
      <c r="A458" s="37">
        <f>SUBTOTAL(3, $T$2:T458)</f>
        <v>378</v>
      </c>
      <c r="B458" s="38" t="s">
        <v>28</v>
      </c>
      <c r="C458" s="39" t="s">
        <v>2082</v>
      </c>
      <c r="D458" s="39" t="s">
        <v>622</v>
      </c>
      <c r="E458" s="40" t="s">
        <v>569</v>
      </c>
      <c r="F458" s="41" t="s">
        <v>609</v>
      </c>
      <c r="G458" s="39" t="s">
        <v>584</v>
      </c>
      <c r="H458" s="53" t="s">
        <v>3862</v>
      </c>
      <c r="I458" s="44" t="s">
        <v>607</v>
      </c>
      <c r="J458" s="14" t="s">
        <v>608</v>
      </c>
      <c r="K458" s="22" t="s">
        <v>2990</v>
      </c>
      <c r="L458" s="46">
        <v>43770</v>
      </c>
      <c r="M458" s="14"/>
      <c r="N458" s="45" t="s">
        <v>199</v>
      </c>
      <c r="O458" s="45" t="s">
        <v>199</v>
      </c>
      <c r="P458" s="47" t="s">
        <v>199</v>
      </c>
      <c r="Q458" s="45" t="s">
        <v>199</v>
      </c>
      <c r="R458" s="45" t="s">
        <v>199</v>
      </c>
      <c r="S458" s="45" t="s">
        <v>199</v>
      </c>
      <c r="T458" s="47" t="s">
        <v>4247</v>
      </c>
      <c r="U458" s="39" t="s">
        <v>3764</v>
      </c>
      <c r="V458" s="39" t="str">
        <f>CONCATENATE(U458, D458)</f>
        <v>https://example.websquare.kr/websquare/websquare.html?w2xPath=/guide/Radio/visibleColumn_visibleColumnFalseValue_setVisibleColumn_Radio.xml</v>
      </c>
      <c r="W458" s="39" t="s">
        <v>4512</v>
      </c>
      <c r="X458" s="39" t="str">
        <f>CONCATENATE(W458, D458)</f>
        <v>https://docs.inswave.com/websquare/websquare.html?w2xPath=/support/api/guide/Radio/visibleColumn_visibleColumnFalseValue_setVisibleColumn_Radio.xml</v>
      </c>
      <c r="Y458" s="48" t="str">
        <f>HYPERLINK(X458, H458)</f>
        <v>일부 선택 항목 숨기기</v>
      </c>
      <c r="Z458" s="4" t="str">
        <f>HYPERLINK(V458,H458)</f>
        <v>일부 선택 항목 숨기기</v>
      </c>
      <c r="AA458" s="4" t="str">
        <f>HYPERLINK(J458,H458)</f>
        <v>일부 선택 항목 숨기기</v>
      </c>
      <c r="AB458" s="39" t="str">
        <f t="shared" si="11"/>
        <v>https://docs.inswave.com/websquare/websquare.html?w2xPath=/support/api/guide/Radio/visibleColumn_visibleColumnFalseValue_setVisibleColumn_Radio.xml</v>
      </c>
    </row>
    <row r="459" spans="1:30" s="39" customFormat="1" ht="102" x14ac:dyDescent="0.45">
      <c r="A459" s="37">
        <f>SUBTOTAL(3, $T$2:T459)</f>
        <v>379</v>
      </c>
      <c r="B459" s="38" t="s">
        <v>28</v>
      </c>
      <c r="C459" s="39" t="s">
        <v>28</v>
      </c>
      <c r="D459" s="39" t="s">
        <v>1315</v>
      </c>
      <c r="E459" s="40" t="s">
        <v>2416</v>
      </c>
      <c r="F459" s="41" t="s">
        <v>2465</v>
      </c>
      <c r="G459" s="39" t="s">
        <v>2409</v>
      </c>
      <c r="H459" s="53" t="s">
        <v>3853</v>
      </c>
      <c r="I459" s="44" t="s">
        <v>1293</v>
      </c>
      <c r="J459" s="14" t="s">
        <v>2408</v>
      </c>
      <c r="K459" s="22" t="s">
        <v>2989</v>
      </c>
      <c r="L459" s="46">
        <v>43770</v>
      </c>
      <c r="M459" s="14"/>
      <c r="N459" s="45" t="s">
        <v>199</v>
      </c>
      <c r="O459" s="45" t="s">
        <v>199</v>
      </c>
      <c r="P459" s="45"/>
      <c r="Q459" s="45" t="s">
        <v>199</v>
      </c>
      <c r="R459" s="45" t="s">
        <v>199</v>
      </c>
      <c r="S459" s="45" t="s">
        <v>199</v>
      </c>
      <c r="T459" s="47" t="s">
        <v>4247</v>
      </c>
      <c r="U459" s="39" t="s">
        <v>3764</v>
      </c>
      <c r="V459" s="39" t="str">
        <f>CONCATENATE(U459, D459)</f>
        <v>https://example.websquare.kr/websquare/websquare.html?w2xPath=/guide/Radio/validate_displaymessage_invalidMessage_invalidMessageFunc_Radio.xml</v>
      </c>
      <c r="W459" s="39" t="s">
        <v>4512</v>
      </c>
      <c r="X459" s="39" t="str">
        <f>CONCATENATE(W459, D459)</f>
        <v>https://docs.inswave.com/websquare/websquare.html?w2xPath=/support/api/guide/Radio/validate_displaymessage_invalidMessage_invalidMessageFunc_Radio.xml</v>
      </c>
      <c r="Y459" s="48" t="str">
        <f>HYPERLINK(X459, H459)</f>
        <v>입력 검증 및 오류 메시지 표시</v>
      </c>
      <c r="Z459" s="4" t="str">
        <f>HYPERLINK(V459,H459)</f>
        <v>입력 검증 및 오류 메시지 표시</v>
      </c>
      <c r="AA459" s="4" t="str">
        <f>HYPERLINK(J459,H459)</f>
        <v>입력 검증 및 오류 메시지 표시</v>
      </c>
      <c r="AB459" s="39" t="str">
        <f t="shared" si="11"/>
        <v>https://docs.inswave.com/websquare/websquare.html?w2xPath=/support/api/guide/Radio/validate_displaymessage_invalidMessage_invalidMessageFunc_Radio.xml</v>
      </c>
    </row>
    <row r="460" spans="1:30" s="39" customFormat="1" ht="102" x14ac:dyDescent="0.45">
      <c r="A460" s="37">
        <f>SUBTOTAL(3, $T$2:T460)</f>
        <v>380</v>
      </c>
      <c r="B460" s="38" t="s">
        <v>28</v>
      </c>
      <c r="C460" s="39" t="s">
        <v>28</v>
      </c>
      <c r="D460" s="39" t="s">
        <v>1362</v>
      </c>
      <c r="E460" s="40" t="s">
        <v>3852</v>
      </c>
      <c r="F460" s="41" t="s">
        <v>2308</v>
      </c>
      <c r="G460" s="44" t="s">
        <v>2311</v>
      </c>
      <c r="H460" s="53" t="s">
        <v>3851</v>
      </c>
      <c r="I460" s="44" t="s">
        <v>1331</v>
      </c>
      <c r="J460" s="14" t="s">
        <v>2309</v>
      </c>
      <c r="K460" s="22" t="s">
        <v>2988</v>
      </c>
      <c r="L460" s="46">
        <v>43800</v>
      </c>
      <c r="M460" s="50"/>
      <c r="N460" s="45" t="s">
        <v>199</v>
      </c>
      <c r="O460" s="45" t="s">
        <v>199</v>
      </c>
      <c r="P460" s="45" t="s">
        <v>199</v>
      </c>
      <c r="Q460" s="45" t="s">
        <v>199</v>
      </c>
      <c r="R460" s="45" t="s">
        <v>199</v>
      </c>
      <c r="S460" s="45" t="s">
        <v>199</v>
      </c>
      <c r="T460" s="47" t="s">
        <v>4247</v>
      </c>
      <c r="U460" s="39" t="s">
        <v>3764</v>
      </c>
      <c r="V460" s="39" t="str">
        <f>CONCATENATE(U460, D460)</f>
        <v>https://example.websquare.kr/websquare/websquare.html?w2xPath=/guide/Radio/tooltipDisplay_tooltipShowAlways_tooltipItemLabel_tooltipFormatter_Radio.xml</v>
      </c>
      <c r="W460" s="39" t="s">
        <v>4512</v>
      </c>
      <c r="X460" s="39" t="str">
        <f>CONCATENATE(W460, D460)</f>
        <v>https://docs.inswave.com/websquare/websquare.html?w2xPath=/support/api/guide/Radio/tooltipDisplay_tooltipShowAlways_tooltipItemLabel_tooltipFormatter_Radio.xml</v>
      </c>
      <c r="Y460" s="48" t="str">
        <f>HYPERLINK(X460, H460)</f>
        <v>툴팁 표시</v>
      </c>
      <c r="Z460" s="4" t="str">
        <f>HYPERLINK(V460,H460)</f>
        <v>툴팁 표시</v>
      </c>
      <c r="AA460" s="4" t="str">
        <f>HYPERLINK(J460,H460)</f>
        <v>툴팁 표시</v>
      </c>
      <c r="AB460" s="39" t="str">
        <f t="shared" si="11"/>
        <v>https://docs.inswave.com/websquare/websquare.html?w2xPath=/support/api/guide/Radio/tooltipDisplay_tooltipShowAlways_tooltipItemLabel_tooltipFormatter_Radio.xml</v>
      </c>
    </row>
    <row r="461" spans="1:30" s="39" customFormat="1" ht="102" x14ac:dyDescent="0.45">
      <c r="A461" s="37">
        <f>SUBTOTAL(3, $T$2:T461)</f>
        <v>381</v>
      </c>
      <c r="B461" s="38" t="s">
        <v>28</v>
      </c>
      <c r="C461" s="39" t="s">
        <v>28</v>
      </c>
      <c r="D461" s="39" t="s">
        <v>3313</v>
      </c>
      <c r="E461" s="40" t="s">
        <v>2186</v>
      </c>
      <c r="F461" s="41" t="s">
        <v>3311</v>
      </c>
      <c r="G461" s="39" t="s">
        <v>3312</v>
      </c>
      <c r="H461" s="49" t="s">
        <v>3863</v>
      </c>
      <c r="I461" s="44" t="s">
        <v>1181</v>
      </c>
      <c r="J461" s="14" t="s">
        <v>3315</v>
      </c>
      <c r="K461" s="23" t="s">
        <v>3314</v>
      </c>
      <c r="L461" s="46">
        <v>43678</v>
      </c>
      <c r="M461" s="50" t="s">
        <v>199</v>
      </c>
      <c r="N461" s="45"/>
      <c r="O461" s="45"/>
      <c r="P461" s="47" t="s">
        <v>744</v>
      </c>
      <c r="Q461" s="45"/>
      <c r="R461" s="45"/>
      <c r="S461" s="46"/>
      <c r="T461" s="47" t="s">
        <v>4247</v>
      </c>
      <c r="U461" s="39" t="s">
        <v>3764</v>
      </c>
      <c r="V461" s="39" t="str">
        <f>CONCATENATE(U461, D461)</f>
        <v>https://example.websquare.kr/websquare/websquare.html?w2xPath=/guide/Radio/SpanDirection_SpanCount_cols_rows_Radio.xml</v>
      </c>
      <c r="W461" s="39" t="s">
        <v>4512</v>
      </c>
      <c r="X461" s="39" t="str">
        <f>CONCATENATE(W461, D461)</f>
        <v>https://docs.inswave.com/websquare/websquare.html?w2xPath=/support/api/guide/Radio/SpanDirection_SpanCount_cols_rows_Radio.xml</v>
      </c>
      <c r="Y461" s="48" t="str">
        <f>HYPERLINK(X461, H461)</f>
        <v>표시할 행 및 열의 개수 설정</v>
      </c>
      <c r="Z461" s="4" t="str">
        <f>HYPERLINK(V461,H461)</f>
        <v>표시할 행 및 열의 개수 설정</v>
      </c>
      <c r="AA461" s="4" t="str">
        <f>HYPERLINK(J461,H461)</f>
        <v>표시할 행 및 열의 개수 설정</v>
      </c>
      <c r="AB461" s="39" t="str">
        <f t="shared" si="11"/>
        <v>https://docs.inswave.com/websquare/websquare.html?w2xPath=/support/api/guide/Radio/SpanDirection_SpanCount_cols_rows_Radio.xml</v>
      </c>
      <c r="AC461" s="45"/>
      <c r="AD461" s="45"/>
    </row>
    <row r="462" spans="1:30" s="39" customFormat="1" ht="102" x14ac:dyDescent="0.45">
      <c r="A462" s="37">
        <f>SUBTOTAL(3, $T$2:T462)</f>
        <v>382</v>
      </c>
      <c r="B462" s="38" t="s">
        <v>14</v>
      </c>
      <c r="C462" s="39" t="s">
        <v>14</v>
      </c>
      <c r="D462" s="39" t="s">
        <v>1610</v>
      </c>
      <c r="E462" s="40" t="s">
        <v>1611</v>
      </c>
      <c r="F462" s="41" t="s">
        <v>1609</v>
      </c>
      <c r="G462" s="44" t="s">
        <v>1570</v>
      </c>
      <c r="H462" s="52" t="s">
        <v>3842</v>
      </c>
      <c r="I462" s="44" t="s">
        <v>1569</v>
      </c>
      <c r="J462" s="14" t="s">
        <v>1744</v>
      </c>
      <c r="K462" s="22" t="s">
        <v>2992</v>
      </c>
      <c r="L462" s="46">
        <v>44105</v>
      </c>
      <c r="M462" s="14"/>
      <c r="N462" s="45" t="s">
        <v>199</v>
      </c>
      <c r="O462" s="45" t="s">
        <v>199</v>
      </c>
      <c r="P462" s="45" t="s">
        <v>199</v>
      </c>
      <c r="Q462" s="45" t="s">
        <v>199</v>
      </c>
      <c r="R462" s="45" t="s">
        <v>199</v>
      </c>
      <c r="S462" s="45" t="s">
        <v>199</v>
      </c>
      <c r="T462" s="47" t="s">
        <v>4247</v>
      </c>
      <c r="U462" s="39" t="s">
        <v>3764</v>
      </c>
      <c r="V462" s="39" t="str">
        <f>CONCATENATE(U462, D462)</f>
        <v>https://example.websquare.kr/websquare/websquare.html?w2xPath=/guide/ScheduleCalendar/dataList_titleColumn_idColumn_startColumn_endColumn_ScheduleCalendar.xml</v>
      </c>
      <c r="W462" s="39" t="s">
        <v>4512</v>
      </c>
      <c r="X462" s="39" t="str">
        <f>CONCATENATE(W462, D462)</f>
        <v>https://docs.inswave.com/websquare/websquare.html?w2xPath=/support/api/guide/ScheduleCalendar/dataList_titleColumn_idColumn_startColumn_endColumn_ScheduleCalendar.xml</v>
      </c>
      <c r="Y462" s="48" t="str">
        <f>HYPERLINK(X462, H462)</f>
        <v>DataList 바인딩을 통해 스케줄 추가</v>
      </c>
      <c r="Z462" s="4" t="str">
        <f>HYPERLINK(V462,H462)</f>
        <v>DataList 바인딩을 통해 스케줄 추가</v>
      </c>
      <c r="AA462" s="4" t="str">
        <f>HYPERLINK(J462,H462)</f>
        <v>DataList 바인딩을 통해 스케줄 추가</v>
      </c>
      <c r="AB462" s="39" t="str">
        <f t="shared" si="11"/>
        <v>https://docs.inswave.com/websquare/websquare.html?w2xPath=/support/api/guide/ScheduleCalendar/dataList_titleColumn_idColumn_startColumn_endColumn_ScheduleCalendar.xml</v>
      </c>
    </row>
    <row r="463" spans="1:30" s="39" customFormat="1" ht="102" x14ac:dyDescent="0.45">
      <c r="A463" s="37">
        <f>SUBTOTAL(3, $T$2:T463)</f>
        <v>383</v>
      </c>
      <c r="B463" s="38" t="s">
        <v>2083</v>
      </c>
      <c r="C463" s="38" t="s">
        <v>2083</v>
      </c>
      <c r="D463" s="39" t="s">
        <v>3212</v>
      </c>
      <c r="E463" s="40" t="s">
        <v>2731</v>
      </c>
      <c r="F463" s="41" t="s">
        <v>3193</v>
      </c>
      <c r="G463" s="39" t="s">
        <v>3209</v>
      </c>
      <c r="H463" s="69" t="s">
        <v>4500</v>
      </c>
      <c r="I463" s="40" t="s">
        <v>3197</v>
      </c>
      <c r="J463" s="14" t="s">
        <v>3215</v>
      </c>
      <c r="K463" s="22" t="s">
        <v>3213</v>
      </c>
      <c r="L463" s="46">
        <v>45444</v>
      </c>
      <c r="M463" s="14"/>
      <c r="N463" s="45"/>
      <c r="O463" s="45"/>
      <c r="P463" s="45"/>
      <c r="Q463" s="45" t="s">
        <v>199</v>
      </c>
      <c r="R463" s="45" t="s">
        <v>199</v>
      </c>
      <c r="S463" s="45" t="s">
        <v>199</v>
      </c>
      <c r="T463" s="47" t="s">
        <v>4247</v>
      </c>
      <c r="U463" s="39" t="s">
        <v>3764</v>
      </c>
      <c r="V463" s="39" t="str">
        <f>CONCATENATE(U463, D463)</f>
        <v>https://example.websquare.kr/websquare/websquare.html?w2xPath=/guide/ScheduleCalendar/useFooterToolbar_customButtonText_customButtonClickFunction_ScheduleCalendar.xml</v>
      </c>
      <c r="W463" s="39" t="s">
        <v>4512</v>
      </c>
      <c r="X463" s="39" t="str">
        <f>CONCATENATE(W463, D463)</f>
        <v>https://docs.inswave.com/websquare/websquare.html?w2xPath=/support/api/guide/ScheduleCalendar/useFooterToolbar_customButtonText_customButtonClickFunction_ScheduleCalendar.xml</v>
      </c>
      <c r="Y463" s="48" t="str">
        <f>HYPERLINK(X463, H463)</f>
        <v>달력 푸터에 버튼 추가</v>
      </c>
      <c r="Z463" s="4" t="str">
        <f>HYPERLINK(V463,H463)</f>
        <v>달력 푸터에 버튼 추가</v>
      </c>
      <c r="AA463" s="4" t="str">
        <f>HYPERLINK(J463,H463)</f>
        <v>달력 푸터에 버튼 추가</v>
      </c>
      <c r="AB463" s="39" t="str">
        <f t="shared" si="11"/>
        <v>https://docs.inswave.com/websquare/websquare.html?w2xPath=/support/api/guide/ScheduleCalendar/useFooterToolbar_customButtonText_customButtonClickFunction_ScheduleCalendar.xml</v>
      </c>
    </row>
    <row r="464" spans="1:30" s="39" customFormat="1" ht="102" x14ac:dyDescent="0.45">
      <c r="A464" s="37">
        <f>SUBTOTAL(3, $T$2:T464)</f>
        <v>384</v>
      </c>
      <c r="B464" s="38" t="s">
        <v>2083</v>
      </c>
      <c r="C464" s="38" t="s">
        <v>2083</v>
      </c>
      <c r="D464" s="39" t="s">
        <v>3207</v>
      </c>
      <c r="E464" s="40" t="s">
        <v>3190</v>
      </c>
      <c r="F464" s="41" t="s">
        <v>3192</v>
      </c>
      <c r="G464" s="39" t="s">
        <v>3205</v>
      </c>
      <c r="H464" s="68" t="s">
        <v>4502</v>
      </c>
      <c r="I464" s="40" t="s">
        <v>3196</v>
      </c>
      <c r="J464" s="14" t="s">
        <v>3206</v>
      </c>
      <c r="K464" s="22" t="s">
        <v>3208</v>
      </c>
      <c r="L464" s="46">
        <v>45444</v>
      </c>
      <c r="M464" s="14"/>
      <c r="N464" s="45"/>
      <c r="O464" s="45"/>
      <c r="P464" s="45"/>
      <c r="Q464" s="45" t="s">
        <v>199</v>
      </c>
      <c r="R464" s="45" t="s">
        <v>199</v>
      </c>
      <c r="S464" s="45" t="s">
        <v>199</v>
      </c>
      <c r="T464" s="47" t="s">
        <v>4247</v>
      </c>
      <c r="U464" s="39" t="s">
        <v>3764</v>
      </c>
      <c r="V464" s="39" t="str">
        <f>CONCATENATE(U464, D464)</f>
        <v>https://example.websquare.kr/websquare/websquare.html?w2xPath=/guide/ScheduleCalendar/useHeaderToolbar_ScheduleCalendar.xml</v>
      </c>
      <c r="W464" s="39" t="s">
        <v>4512</v>
      </c>
      <c r="X464" s="39" t="str">
        <f>CONCATENATE(W464, D464)</f>
        <v>https://docs.inswave.com/websquare/websquare.html?w2xPath=/support/api/guide/ScheduleCalendar/useHeaderToolbar_ScheduleCalendar.xml</v>
      </c>
      <c r="Y464" s="48" t="str">
        <f>HYPERLINK(X464, H464)</f>
        <v>달력 헤더 툴바의 표시 및 숨김</v>
      </c>
      <c r="Z464" s="4" t="str">
        <f>HYPERLINK(V464,H464)</f>
        <v>달력 헤더 툴바의 표시 및 숨김</v>
      </c>
      <c r="AA464" s="4" t="str">
        <f>HYPERLINK(J464,H464)</f>
        <v>달력 헤더 툴바의 표시 및 숨김</v>
      </c>
      <c r="AB464" s="39" t="str">
        <f t="shared" si="11"/>
        <v>https://docs.inswave.com/websquare/websquare.html?w2xPath=/support/api/guide/ScheduleCalendar/useHeaderToolbar_ScheduleCalendar.xml</v>
      </c>
    </row>
    <row r="465" spans="1:30" s="39" customFormat="1" ht="102" x14ac:dyDescent="0.45">
      <c r="A465" s="37">
        <f>SUBTOTAL(3, $T$2:T465)</f>
        <v>385</v>
      </c>
      <c r="B465" s="38" t="s">
        <v>14</v>
      </c>
      <c r="C465" s="39" t="s">
        <v>14</v>
      </c>
      <c r="D465" s="39" t="s">
        <v>1613</v>
      </c>
      <c r="E465" s="40" t="s">
        <v>1614</v>
      </c>
      <c r="F465" s="41" t="s">
        <v>1612</v>
      </c>
      <c r="G465" s="44" t="s">
        <v>3841</v>
      </c>
      <c r="H465" s="52" t="s">
        <v>3840</v>
      </c>
      <c r="I465" s="44" t="s">
        <v>1571</v>
      </c>
      <c r="J465" s="14" t="s">
        <v>1743</v>
      </c>
      <c r="K465" s="22" t="s">
        <v>2991</v>
      </c>
      <c r="L465" s="46">
        <v>44105</v>
      </c>
      <c r="M465" s="14"/>
      <c r="N465" s="45" t="s">
        <v>199</v>
      </c>
      <c r="O465" s="45" t="s">
        <v>199</v>
      </c>
      <c r="P465" s="45" t="s">
        <v>199</v>
      </c>
      <c r="Q465" s="45" t="s">
        <v>199</v>
      </c>
      <c r="R465" s="45" t="s">
        <v>199</v>
      </c>
      <c r="S465" s="45" t="s">
        <v>199</v>
      </c>
      <c r="T465" s="47" t="s">
        <v>4247</v>
      </c>
      <c r="U465" s="39" t="s">
        <v>3764</v>
      </c>
      <c r="V465" s="39" t="str">
        <f>CONCATENATE(U465, D465)</f>
        <v>https://example.websquare.kr/websquare/websquare.html?w2xPath=/guide/ScheduleCalendar/addSchedule_ScheduleCalendar.xml</v>
      </c>
      <c r="W465" s="39" t="s">
        <v>4512</v>
      </c>
      <c r="X465" s="39" t="str">
        <f>CONCATENATE(W465, D465)</f>
        <v>https://docs.inswave.com/websquare/websquare.html?w2xPath=/support/api/guide/ScheduleCalendar/addSchedule_ScheduleCalendar.xml</v>
      </c>
      <c r="Y465" s="48" t="str">
        <f>HYPERLINK(X465, H465)</f>
        <v>동적 스케줄 추가</v>
      </c>
      <c r="Z465" s="4" t="str">
        <f>HYPERLINK(V465,H465)</f>
        <v>동적 스케줄 추가</v>
      </c>
      <c r="AA465" s="4" t="str">
        <f>HYPERLINK(J465,H465)</f>
        <v>동적 스케줄 추가</v>
      </c>
      <c r="AB465" s="39" t="str">
        <f t="shared" si="11"/>
        <v>https://docs.inswave.com/websquare/websquare.html?w2xPath=/support/api/guide/ScheduleCalendar/addSchedule_ScheduleCalendar.xml</v>
      </c>
    </row>
    <row r="466" spans="1:30" s="39" customFormat="1" ht="102" x14ac:dyDescent="0.45">
      <c r="A466" s="37">
        <f>SUBTOTAL(3, $T$2:T466)</f>
        <v>386</v>
      </c>
      <c r="B466" s="38" t="s">
        <v>14</v>
      </c>
      <c r="C466" s="39" t="s">
        <v>14</v>
      </c>
      <c r="D466" s="39" t="s">
        <v>1616</v>
      </c>
      <c r="E466" s="40" t="s">
        <v>1913</v>
      </c>
      <c r="F466" s="41" t="s">
        <v>1615</v>
      </c>
      <c r="G466" s="39" t="s">
        <v>1572</v>
      </c>
      <c r="H466" s="52" t="s">
        <v>4504</v>
      </c>
      <c r="I466" s="44" t="s">
        <v>1573</v>
      </c>
      <c r="J466" s="14" t="s">
        <v>1662</v>
      </c>
      <c r="K466" s="22" t="s">
        <v>2993</v>
      </c>
      <c r="L466" s="46">
        <v>44105</v>
      </c>
      <c r="M466" s="45" t="s">
        <v>200</v>
      </c>
      <c r="N466" s="45" t="s">
        <v>199</v>
      </c>
      <c r="O466" s="45" t="s">
        <v>199</v>
      </c>
      <c r="P466" s="45" t="s">
        <v>199</v>
      </c>
      <c r="Q466" s="45" t="s">
        <v>199</v>
      </c>
      <c r="R466" s="45" t="s">
        <v>199</v>
      </c>
      <c r="S466" s="45" t="s">
        <v>199</v>
      </c>
      <c r="T466" s="47" t="s">
        <v>4247</v>
      </c>
      <c r="U466" s="39" t="s">
        <v>3764</v>
      </c>
      <c r="V466" s="39" t="str">
        <f>CONCATENATE(U466, D466)</f>
        <v>https://example.websquare.kr/websquare/websquare.html?w2xPath=/guide/ScheduleCalendar/editable_ScheduleCalendar.xml</v>
      </c>
      <c r="W466" s="39" t="s">
        <v>4512</v>
      </c>
      <c r="X466" s="39" t="str">
        <f>CONCATENATE(W466, D466)</f>
        <v>https://docs.inswave.com/websquare/websquare.html?w2xPath=/support/api/guide/ScheduleCalendar/editable_ScheduleCalendar.xml</v>
      </c>
      <c r="Y466" s="48" t="str">
        <f>HYPERLINK(X466, H466)</f>
        <v>마우스 드래깅을 통한 스케줄 날짜 변경</v>
      </c>
      <c r="Z466" s="4" t="str">
        <f>HYPERLINK(V466,H466)</f>
        <v>마우스 드래깅을 통한 스케줄 날짜 변경</v>
      </c>
      <c r="AA466" s="4" t="str">
        <f>HYPERLINK(J466,H466)</f>
        <v>마우스 드래깅을 통한 스케줄 날짜 변경</v>
      </c>
      <c r="AB466" s="39" t="str">
        <f t="shared" si="11"/>
        <v>https://docs.inswave.com/websquare/websquare.html?w2xPath=/support/api/guide/ScheduleCalendar/editable_ScheduleCalendar.xml</v>
      </c>
      <c r="AC466" s="45"/>
      <c r="AD466" s="45"/>
    </row>
    <row r="467" spans="1:30" s="39" customFormat="1" ht="102" x14ac:dyDescent="0.45">
      <c r="A467" s="37">
        <f>SUBTOTAL(3, $T$2:T467)</f>
        <v>387</v>
      </c>
      <c r="B467" s="38" t="s">
        <v>14</v>
      </c>
      <c r="C467" s="39" t="s">
        <v>14</v>
      </c>
      <c r="D467" s="39" t="s">
        <v>1618</v>
      </c>
      <c r="E467" s="40" t="s">
        <v>1914</v>
      </c>
      <c r="F467" s="41" t="s">
        <v>1617</v>
      </c>
      <c r="G467" s="44" t="s">
        <v>1574</v>
      </c>
      <c r="H467" s="52" t="s">
        <v>4509</v>
      </c>
      <c r="I467" s="44" t="s">
        <v>1575</v>
      </c>
      <c r="J467" s="14" t="s">
        <v>1663</v>
      </c>
      <c r="K467" s="22" t="s">
        <v>2996</v>
      </c>
      <c r="L467" s="46">
        <v>44105</v>
      </c>
      <c r="M467" s="45" t="s">
        <v>200</v>
      </c>
      <c r="N467" s="45" t="s">
        <v>199</v>
      </c>
      <c r="O467" s="45" t="s">
        <v>199</v>
      </c>
      <c r="P467" s="45" t="s">
        <v>199</v>
      </c>
      <c r="Q467" s="45" t="s">
        <v>199</v>
      </c>
      <c r="R467" s="45" t="s">
        <v>199</v>
      </c>
      <c r="S467" s="45" t="s">
        <v>199</v>
      </c>
      <c r="T467" s="47" t="s">
        <v>4247</v>
      </c>
      <c r="U467" s="39" t="s">
        <v>3764</v>
      </c>
      <c r="V467" s="39" t="str">
        <f>CONCATENATE(U467, D467)</f>
        <v>https://example.websquare.kr/websquare/websquare.html?w2xPath=/guide/ScheduleCalendar/selectable_ScheduleCalendar.xml</v>
      </c>
      <c r="W467" s="39" t="s">
        <v>4512</v>
      </c>
      <c r="X467" s="39" t="str">
        <f>CONCATENATE(W467, D467)</f>
        <v>https://docs.inswave.com/websquare/websquare.html?w2xPath=/support/api/guide/ScheduleCalendar/selectable_ScheduleCalendar.xml</v>
      </c>
      <c r="Y467" s="48" t="str">
        <f>HYPERLINK(X467, H467)</f>
        <v>마우스 클릭 혹은 드래깅을 통한 스케줄 등록</v>
      </c>
      <c r="Z467" s="4" t="str">
        <f>HYPERLINK(V467,H467)</f>
        <v>마우스 클릭 혹은 드래깅을 통한 스케줄 등록</v>
      </c>
      <c r="AA467" s="4" t="str">
        <f>HYPERLINK(J467,H467)</f>
        <v>마우스 클릭 혹은 드래깅을 통한 스케줄 등록</v>
      </c>
      <c r="AB467" s="39" t="str">
        <f t="shared" si="11"/>
        <v>https://docs.inswave.com/websquare/websquare.html?w2xPath=/support/api/guide/ScheduleCalendar/selectable_ScheduleCalendar.xml</v>
      </c>
    </row>
    <row r="468" spans="1:30" s="39" customFormat="1" ht="102" x14ac:dyDescent="0.45">
      <c r="A468" s="37">
        <f>SUBTOTAL(3, $T$2:T468)</f>
        <v>388</v>
      </c>
      <c r="B468" s="38" t="s">
        <v>2083</v>
      </c>
      <c r="C468" s="39" t="s">
        <v>2083</v>
      </c>
      <c r="D468" s="39" t="s">
        <v>3211</v>
      </c>
      <c r="E468" s="40" t="s">
        <v>2745</v>
      </c>
      <c r="F468" s="41" t="s">
        <v>2744</v>
      </c>
      <c r="G468" s="39" t="s">
        <v>3210</v>
      </c>
      <c r="H468" s="69" t="s">
        <v>4508</v>
      </c>
      <c r="I468" s="40" t="s">
        <v>3199</v>
      </c>
      <c r="J468" s="14" t="s">
        <v>3216</v>
      </c>
      <c r="K468" s="22" t="s">
        <v>3214</v>
      </c>
      <c r="L468" s="46">
        <v>45444</v>
      </c>
      <c r="M468" s="14"/>
      <c r="N468" s="45"/>
      <c r="O468" s="45"/>
      <c r="P468" s="45"/>
      <c r="Q468" s="45" t="s">
        <v>199</v>
      </c>
      <c r="R468" s="45" t="s">
        <v>199</v>
      </c>
      <c r="S468" s="45" t="s">
        <v>199</v>
      </c>
      <c r="T468" s="47" t="s">
        <v>4247</v>
      </c>
      <c r="U468" s="39" t="s">
        <v>3764</v>
      </c>
      <c r="V468" s="39" t="str">
        <f>CONCATENATE(U468, D468)</f>
        <v>https://example.websquare.kr/websquare/websquare.html?w2xPath=/guide/ScheduleCalendar/selectable_noUsePrompt_ScheduleCalendar.xml</v>
      </c>
      <c r="W468" s="39" t="s">
        <v>4512</v>
      </c>
      <c r="X468" s="39" t="str">
        <f>CONCATENATE(W468, D468)</f>
        <v>https://docs.inswave.com/websquare/websquare.html?w2xPath=/support/api/guide/ScheduleCalendar/selectable_noUsePrompt_ScheduleCalendar.xml</v>
      </c>
      <c r="Y468" s="48" t="str">
        <f>HYPERLINK(X468, H468)</f>
        <v>스케줄 등록창 커스터마이징</v>
      </c>
      <c r="Z468" s="4" t="str">
        <f>HYPERLINK(V468,H468)</f>
        <v>스케줄 등록창 커스터마이징</v>
      </c>
      <c r="AA468" s="4" t="str">
        <f>HYPERLINK(J468,H468)</f>
        <v>스케줄 등록창 커스터마이징</v>
      </c>
      <c r="AB468" s="39" t="str">
        <f t="shared" si="11"/>
        <v>https://docs.inswave.com/websquare/websquare.html?w2xPath=/support/api/guide/ScheduleCalendar/selectable_noUsePrompt_ScheduleCalendar.xml</v>
      </c>
    </row>
    <row r="469" spans="1:30" s="39" customFormat="1" ht="102" x14ac:dyDescent="0.45">
      <c r="A469" s="37">
        <f>SUBTOTAL(3, $T$2:T469)</f>
        <v>389</v>
      </c>
      <c r="B469" s="38" t="s">
        <v>14</v>
      </c>
      <c r="C469" s="39" t="s">
        <v>14</v>
      </c>
      <c r="D469" s="39" t="s">
        <v>1281</v>
      </c>
      <c r="E469" s="40" t="s">
        <v>2475</v>
      </c>
      <c r="F469" s="41" t="s">
        <v>2469</v>
      </c>
      <c r="G469" s="39" t="s">
        <v>2477</v>
      </c>
      <c r="H469" s="52" t="s">
        <v>4505</v>
      </c>
      <c r="I469" s="39" t="s">
        <v>34</v>
      </c>
      <c r="J469" s="14" t="s">
        <v>2476</v>
      </c>
      <c r="K469" s="22" t="s">
        <v>3218</v>
      </c>
      <c r="L469" s="46">
        <v>43739</v>
      </c>
      <c r="M469" s="14"/>
      <c r="N469" s="45" t="s">
        <v>199</v>
      </c>
      <c r="O469" s="45" t="s">
        <v>199</v>
      </c>
      <c r="P469" s="45" t="s">
        <v>199</v>
      </c>
      <c r="Q469" s="45" t="s">
        <v>199</v>
      </c>
      <c r="R469" s="45" t="s">
        <v>199</v>
      </c>
      <c r="S469" s="45" t="s">
        <v>199</v>
      </c>
      <c r="T469" s="47" t="s">
        <v>4247</v>
      </c>
      <c r="U469" s="39" t="s">
        <v>3764</v>
      </c>
      <c r="V469" s="39" t="str">
        <f>CONCATENATE(U469, D469)</f>
        <v>https://example.websquare.kr/websquare/websquare.html?w2xPath=/guide/ScheduleCalendar/nextDayThreshold_ScheduleCalendar.xml</v>
      </c>
      <c r="W469" s="39" t="s">
        <v>4512</v>
      </c>
      <c r="X469" s="39" t="str">
        <f>CONCATENATE(W469, D469)</f>
        <v>https://docs.inswave.com/websquare/websquare.html?w2xPath=/support/api/guide/ScheduleCalendar/nextDayThreshold_ScheduleCalendar.xml</v>
      </c>
      <c r="Y469" s="48" t="str">
        <f>HYPERLINK(X469, H469)</f>
        <v>스케줄 종료 기준 설정</v>
      </c>
      <c r="Z469" s="4" t="str">
        <f>HYPERLINK(V469,H469)</f>
        <v>스케줄 종료 기준 설정</v>
      </c>
      <c r="AA469" s="4" t="str">
        <f>HYPERLINK(J469,H469)</f>
        <v>스케줄 종료 기준 설정</v>
      </c>
      <c r="AB469" s="39" t="str">
        <f t="shared" si="11"/>
        <v>https://docs.inswave.com/websquare/websquare.html?w2xPath=/support/api/guide/ScheduleCalendar/nextDayThreshold_ScheduleCalendar.xml</v>
      </c>
      <c r="AC469" s="45"/>
      <c r="AD469" s="45"/>
    </row>
    <row r="470" spans="1:30" s="39" customFormat="1" ht="102" x14ac:dyDescent="0.45">
      <c r="A470" s="37">
        <f>SUBTOTAL(3, $T$2:T470)</f>
        <v>390</v>
      </c>
      <c r="B470" s="38" t="s">
        <v>2083</v>
      </c>
      <c r="C470" s="39" t="s">
        <v>2083</v>
      </c>
      <c r="D470" s="39" t="s">
        <v>2201</v>
      </c>
      <c r="E470" s="40" t="s">
        <v>2195</v>
      </c>
      <c r="F470" s="41" t="s">
        <v>2194</v>
      </c>
      <c r="G470" s="39" t="s">
        <v>2198</v>
      </c>
      <c r="H470" s="52" t="s">
        <v>4503</v>
      </c>
      <c r="I470" s="44" t="s">
        <v>2196</v>
      </c>
      <c r="J470" s="14" t="s">
        <v>2205</v>
      </c>
      <c r="K470" s="22" t="s">
        <v>2999</v>
      </c>
      <c r="L470" s="46">
        <v>45047</v>
      </c>
      <c r="M470" s="14"/>
      <c r="N470" s="45" t="s">
        <v>199</v>
      </c>
      <c r="O470" s="45" t="s">
        <v>199</v>
      </c>
      <c r="P470" s="45" t="s">
        <v>199</v>
      </c>
      <c r="Q470" s="45" t="s">
        <v>199</v>
      </c>
      <c r="R470" s="45" t="s">
        <v>199</v>
      </c>
      <c r="S470" s="45" t="s">
        <v>199</v>
      </c>
      <c r="T470" s="47" t="s">
        <v>4247</v>
      </c>
      <c r="U470" s="39" t="s">
        <v>3764</v>
      </c>
      <c r="V470" s="39" t="str">
        <f>CONCATENATE(U470, D470)</f>
        <v>https://example.websquare.kr/websquare/websquare.html?w2xPath=/guide/ScheduleCalendar/titleFormatter_ScheduleCalendar.xml</v>
      </c>
      <c r="W470" s="39" t="s">
        <v>4512</v>
      </c>
      <c r="X470" s="39" t="str">
        <f>CONCATENATE(W470, D470)</f>
        <v>https://docs.inswave.com/websquare/websquare.html?w2xPath=/support/api/guide/ScheduleCalendar/titleFormatter_ScheduleCalendar.xml</v>
      </c>
      <c r="Y470" s="48" t="str">
        <f>HYPERLINK(X470, H470)</f>
        <v>스케줄의 타이틀 변환</v>
      </c>
      <c r="Z470" s="4" t="str">
        <f>HYPERLINK(V470,H470)</f>
        <v>스케줄의 타이틀 변환</v>
      </c>
      <c r="AA470" s="4" t="str">
        <f>HYPERLINK(J470,H470)</f>
        <v>스케줄의 타이틀 변환</v>
      </c>
      <c r="AB470" s="39" t="str">
        <f t="shared" si="11"/>
        <v>https://docs.inswave.com/websquare/websquare.html?w2xPath=/support/api/guide/ScheduleCalendar/titleFormatter_ScheduleCalendar.xml</v>
      </c>
    </row>
    <row r="471" spans="1:30" s="39" customFormat="1" ht="102" x14ac:dyDescent="0.45">
      <c r="A471" s="37">
        <f>SUBTOTAL(3, $T$2:T471)</f>
        <v>391</v>
      </c>
      <c r="B471" s="38" t="s">
        <v>14</v>
      </c>
      <c r="C471" s="39" t="s">
        <v>14</v>
      </c>
      <c r="D471" s="39" t="s">
        <v>1605</v>
      </c>
      <c r="E471" s="40" t="s">
        <v>1606</v>
      </c>
      <c r="F471" s="41" t="s">
        <v>4506</v>
      </c>
      <c r="G471" s="39" t="s">
        <v>1547</v>
      </c>
      <c r="H471" s="52" t="s">
        <v>4507</v>
      </c>
      <c r="I471" s="44" t="s">
        <v>1546</v>
      </c>
      <c r="J471" s="14" t="s">
        <v>1746</v>
      </c>
      <c r="K471" s="22" t="s">
        <v>2995</v>
      </c>
      <c r="L471" s="46">
        <v>44075</v>
      </c>
      <c r="M471" s="14"/>
      <c r="N471" s="45" t="s">
        <v>199</v>
      </c>
      <c r="O471" s="45" t="s">
        <v>199</v>
      </c>
      <c r="P471" s="45" t="s">
        <v>199</v>
      </c>
      <c r="Q471" s="45" t="s">
        <v>199</v>
      </c>
      <c r="R471" s="45" t="s">
        <v>199</v>
      </c>
      <c r="S471" s="45" t="s">
        <v>199</v>
      </c>
      <c r="T471" s="47" t="s">
        <v>4247</v>
      </c>
      <c r="U471" s="39" t="s">
        <v>3764</v>
      </c>
      <c r="V471" s="39" t="str">
        <f>CONCATENATE(U471, D471)</f>
        <v>https://example.websquare.kr/websquare/websquare.html?w2xPath=/guide/ScheduleCalendar/onaddschedule_onmoveschedule_ScheduleCalendar.xml</v>
      </c>
      <c r="W471" s="39" t="s">
        <v>4512</v>
      </c>
      <c r="X471" s="39" t="str">
        <f>CONCATENATE(W471, D471)</f>
        <v>https://docs.inswave.com/websquare/websquare.html?w2xPath=/support/api/guide/ScheduleCalendar/onaddschedule_onmoveschedule_ScheduleCalendar.xml</v>
      </c>
      <c r="Y471" s="48" t="str">
        <f>HYPERLINK(X471, H471)</f>
        <v>이벤트 - onaddschedule &amp; onmoveschedule</v>
      </c>
      <c r="Z471" s="4" t="str">
        <f>HYPERLINK(V471,H471)</f>
        <v>이벤트 - onaddschedule &amp; onmoveschedule</v>
      </c>
      <c r="AA471" s="4" t="str">
        <f>HYPERLINK(J471,H471)</f>
        <v>이벤트 - onaddschedule &amp; onmoveschedule</v>
      </c>
      <c r="AB471" s="39" t="str">
        <f t="shared" si="11"/>
        <v>https://docs.inswave.com/websquare/websquare.html?w2xPath=/support/api/guide/ScheduleCalendar/onaddschedule_onmoveschedule_ScheduleCalendar.xml</v>
      </c>
    </row>
    <row r="472" spans="1:30" s="39" customFormat="1" ht="102" x14ac:dyDescent="0.45">
      <c r="A472" s="37">
        <f>SUBTOTAL(3, $T$2:T472)</f>
        <v>392</v>
      </c>
      <c r="B472" s="38" t="s">
        <v>2083</v>
      </c>
      <c r="C472" s="38" t="s">
        <v>2083</v>
      </c>
      <c r="D472" s="39" t="s">
        <v>3292</v>
      </c>
      <c r="E472" s="40" t="s">
        <v>2732</v>
      </c>
      <c r="F472" s="41" t="s">
        <v>3289</v>
      </c>
      <c r="G472" s="39" t="s">
        <v>3291</v>
      </c>
      <c r="H472" s="68" t="s">
        <v>4501</v>
      </c>
      <c r="I472" s="40" t="s">
        <v>3290</v>
      </c>
      <c r="J472" s="14" t="s">
        <v>3295</v>
      </c>
      <c r="K472" s="23" t="s">
        <v>3294</v>
      </c>
      <c r="L472" s="46">
        <v>45536</v>
      </c>
      <c r="M472" s="14"/>
      <c r="N472" s="45"/>
      <c r="O472" s="45"/>
      <c r="P472" s="45"/>
      <c r="Q472" s="45" t="s">
        <v>199</v>
      </c>
      <c r="R472" s="45" t="s">
        <v>199</v>
      </c>
      <c r="S472" s="45" t="s">
        <v>199</v>
      </c>
      <c r="T472" s="47" t="s">
        <v>4247</v>
      </c>
      <c r="U472" s="39" t="s">
        <v>3764</v>
      </c>
      <c r="V472" s="39" t="str">
        <f>CONCATENATE(U472, D472)</f>
        <v>https://example.websquare.kr/websquare/websquare.html?w2xPath=/guide/ScheduleCalendar/setHeaderBtn_ScheduleCalendar.xml</v>
      </c>
      <c r="W472" s="39" t="s">
        <v>4512</v>
      </c>
      <c r="X472" s="39" t="str">
        <f>CONCATENATE(W472, D472)</f>
        <v>https://docs.inswave.com/websquare/websquare.html?w2xPath=/support/api/guide/ScheduleCalendar/setHeaderBtn_ScheduleCalendar.xml</v>
      </c>
      <c r="Y472" s="48" t="str">
        <f>HYPERLINK(X472, H472)</f>
        <v>헤더 툴바에 표시할 버튼 선택</v>
      </c>
      <c r="Z472" s="4" t="str">
        <f>HYPERLINK(V472,H472)</f>
        <v>헤더 툴바에 표시할 버튼 선택</v>
      </c>
      <c r="AA472" s="4" t="str">
        <f>HYPERLINK(J472,H472)</f>
        <v>헤더 툴바에 표시할 버튼 선택</v>
      </c>
      <c r="AB472" s="39" t="str">
        <f t="shared" si="11"/>
        <v>https://docs.inswave.com/websquare/websquare.html?w2xPath=/support/api/guide/ScheduleCalendar/setHeaderBtn_ScheduleCalendar.xml</v>
      </c>
    </row>
    <row r="473" spans="1:30" s="39" customFormat="1" ht="102" x14ac:dyDescent="0.45">
      <c r="A473" s="37">
        <f>SUBTOTAL(3, $T$2:T473)</f>
        <v>393</v>
      </c>
      <c r="B473" s="38" t="s">
        <v>1640</v>
      </c>
      <c r="C473" s="39" t="s">
        <v>1640</v>
      </c>
      <c r="D473" s="39" t="s">
        <v>3447</v>
      </c>
      <c r="E473" s="40" t="s">
        <v>1918</v>
      </c>
      <c r="F473" s="41" t="s">
        <v>1653</v>
      </c>
      <c r="G473" s="39" t="s">
        <v>1651</v>
      </c>
      <c r="H473" s="53" t="s">
        <v>3880</v>
      </c>
      <c r="I473" s="44" t="s">
        <v>1652</v>
      </c>
      <c r="J473" s="14" t="s">
        <v>3446</v>
      </c>
      <c r="K473" s="22" t="s">
        <v>3000</v>
      </c>
      <c r="L473" s="46">
        <v>44743</v>
      </c>
      <c r="M473" s="14"/>
      <c r="N473" s="45" t="s">
        <v>199</v>
      </c>
      <c r="O473" s="45" t="s">
        <v>199</v>
      </c>
      <c r="P473" s="45" t="s">
        <v>199</v>
      </c>
      <c r="Q473" s="45" t="s">
        <v>199</v>
      </c>
      <c r="R473" s="45" t="s">
        <v>199</v>
      </c>
      <c r="S473" s="45" t="s">
        <v>199</v>
      </c>
      <c r="T473" s="47" t="s">
        <v>4247</v>
      </c>
      <c r="U473" s="39" t="s">
        <v>3764</v>
      </c>
      <c r="V473" s="39" t="str">
        <f>CONCATENATE(U473, D473)</f>
        <v>https://example.websquare.kr/websquare/websquare.html?w2xPath=/guide/SearchBox/setRef_SearchBox.xml</v>
      </c>
      <c r="W473" s="39" t="s">
        <v>4512</v>
      </c>
      <c r="X473" s="39" t="str">
        <f>CONCATENATE(W473, D473)</f>
        <v>https://docs.inswave.com/websquare/websquare.html?w2xPath=/support/api/guide/SearchBox/setRef_SearchBox.xml</v>
      </c>
      <c r="Y473" s="48" t="str">
        <f>HYPERLINK(X473, H473)</f>
        <v>ref 속성을 통한 바인딩 설정</v>
      </c>
      <c r="Z473" s="4" t="str">
        <f>HYPERLINK(V473,H473)</f>
        <v>ref 속성을 통한 바인딩 설정</v>
      </c>
      <c r="AA473" s="4" t="str">
        <f>HYPERLINK(J473,H473)</f>
        <v>ref 속성을 통한 바인딩 설정</v>
      </c>
      <c r="AB473" s="39" t="str">
        <f t="shared" si="11"/>
        <v>https://docs.inswave.com/websquare/websquare.html?w2xPath=/support/api/guide/SearchBox/setRef_SearchBox.xml</v>
      </c>
      <c r="AC473" s="45"/>
      <c r="AD473" s="45"/>
    </row>
    <row r="474" spans="1:30" s="39" customFormat="1" ht="153" x14ac:dyDescent="0.45">
      <c r="A474" s="37">
        <f>SUBTOTAL(3, $T$2:T474)</f>
        <v>394</v>
      </c>
      <c r="B474" s="38" t="s">
        <v>35</v>
      </c>
      <c r="C474" s="39" t="s">
        <v>35</v>
      </c>
      <c r="D474" s="39" t="s">
        <v>1354</v>
      </c>
      <c r="E474" s="40" t="s">
        <v>2364</v>
      </c>
      <c r="F474" s="41" t="s">
        <v>2392</v>
      </c>
      <c r="G474" s="39" t="s">
        <v>1353</v>
      </c>
      <c r="H474" s="53" t="s">
        <v>3853</v>
      </c>
      <c r="I474" s="44" t="s">
        <v>1294</v>
      </c>
      <c r="J474" s="14" t="s">
        <v>2366</v>
      </c>
      <c r="K474" s="22" t="s">
        <v>3001</v>
      </c>
      <c r="L474" s="46">
        <v>43800</v>
      </c>
      <c r="M474" s="14"/>
      <c r="N474" s="45" t="s">
        <v>199</v>
      </c>
      <c r="O474" s="45" t="s">
        <v>199</v>
      </c>
      <c r="P474" s="45" t="s">
        <v>199</v>
      </c>
      <c r="Q474" s="45" t="s">
        <v>199</v>
      </c>
      <c r="R474" s="45" t="s">
        <v>199</v>
      </c>
      <c r="S474" s="45" t="s">
        <v>199</v>
      </c>
      <c r="T474" s="47" t="s">
        <v>4247</v>
      </c>
      <c r="U474" s="39" t="s">
        <v>3764</v>
      </c>
      <c r="V474" s="39" t="str">
        <f>CONCATENATE(U474, D474)</f>
        <v>https://example.websquare.kr/websquare/websquare.html?w2xPath=/guide/Secret/validate_displaymessage_invalidMessage_invalidMessageFunc_Secret.xml</v>
      </c>
      <c r="W474" s="39" t="s">
        <v>4512</v>
      </c>
      <c r="X474" s="39" t="str">
        <f>CONCATENATE(W474, D474)</f>
        <v>https://docs.inswave.com/websquare/websquare.html?w2xPath=/support/api/guide/Secret/validate_displaymessage_invalidMessage_invalidMessageFunc_Secret.xml</v>
      </c>
      <c r="Y474" s="48" t="str">
        <f>HYPERLINK(X474, H474)</f>
        <v>입력 검증 및 오류 메시지 표시</v>
      </c>
      <c r="Z474" s="4" t="str">
        <f>HYPERLINK(V474,H474)</f>
        <v>입력 검증 및 오류 메시지 표시</v>
      </c>
      <c r="AA474" s="4" t="str">
        <f>HYPERLINK(J474,H474)</f>
        <v>입력 검증 및 오류 메시지 표시</v>
      </c>
      <c r="AB474" s="39" t="str">
        <f t="shared" si="11"/>
        <v>https://docs.inswave.com/websquare/websquare.html?w2xPath=/support/api/guide/Secret/validate_displaymessage_invalidMessage_invalidMessageFunc_Secret.xml</v>
      </c>
    </row>
    <row r="475" spans="1:30" s="45" customFormat="1" ht="102" x14ac:dyDescent="0.45">
      <c r="A475" s="37">
        <f>SUBTOTAL(3, $T$2:T475)</f>
        <v>395</v>
      </c>
      <c r="B475" s="38" t="s">
        <v>2</v>
      </c>
      <c r="C475" s="39" t="s">
        <v>2</v>
      </c>
      <c r="D475" s="39" t="s">
        <v>1221</v>
      </c>
      <c r="E475" s="40" t="s">
        <v>2515</v>
      </c>
      <c r="F475" s="41" t="s">
        <v>2504</v>
      </c>
      <c r="G475" s="39" t="s">
        <v>1215</v>
      </c>
      <c r="H475" s="53" t="s">
        <v>3843</v>
      </c>
      <c r="I475" s="39" t="s">
        <v>29</v>
      </c>
      <c r="J475" s="14" t="s">
        <v>2516</v>
      </c>
      <c r="K475" s="22" t="s">
        <v>3002</v>
      </c>
      <c r="L475" s="46">
        <v>43709</v>
      </c>
      <c r="M475" s="14"/>
      <c r="N475" s="45" t="s">
        <v>199</v>
      </c>
      <c r="O475" s="45" t="s">
        <v>199</v>
      </c>
      <c r="P475" s="45" t="s">
        <v>199</v>
      </c>
      <c r="Q475" s="45" t="s">
        <v>199</v>
      </c>
      <c r="R475" s="45" t="s">
        <v>199</v>
      </c>
      <c r="S475" s="45" t="s">
        <v>199</v>
      </c>
      <c r="T475" s="47" t="s">
        <v>4247</v>
      </c>
      <c r="U475" s="39" t="s">
        <v>3764</v>
      </c>
      <c r="V475" s="39" t="str">
        <f>CONCATENATE(U475, D475)</f>
        <v>https://example.websquare.kr/websquare/websquare.html?w2xPath=/guide/SelectBox/BindItemSet_SelectBox.xml</v>
      </c>
      <c r="W475" s="39" t="s">
        <v>4512</v>
      </c>
      <c r="X475" s="39" t="str">
        <f>CONCATENATE(W475, D475)</f>
        <v>https://docs.inswave.com/websquare/websquare.html?w2xPath=/support/api/guide/SelectBox/BindItemSet_SelectBox.xml</v>
      </c>
      <c r="Y475" s="48" t="str">
        <f>HYPERLINK(X475, H475)</f>
        <v>DataList와 바인딩</v>
      </c>
      <c r="Z475" s="4" t="str">
        <f>HYPERLINK(V475,H475)</f>
        <v>DataList와 바인딩</v>
      </c>
      <c r="AA475" s="4" t="str">
        <f>HYPERLINK(J475,H475)</f>
        <v>DataList와 바인딩</v>
      </c>
      <c r="AB475" s="39" t="str">
        <f t="shared" si="11"/>
        <v>https://docs.inswave.com/websquare/websquare.html?w2xPath=/support/api/guide/SelectBox/BindItemSet_SelectBox.xml</v>
      </c>
      <c r="AC475" s="39"/>
      <c r="AD475" s="39"/>
    </row>
    <row r="476" spans="1:30" s="45" customFormat="1" ht="102" x14ac:dyDescent="0.45">
      <c r="A476" s="37">
        <f>SUBTOTAL(3, $T$2:T476)</f>
        <v>396</v>
      </c>
      <c r="B476" s="38" t="s">
        <v>1921</v>
      </c>
      <c r="C476" s="39" t="s">
        <v>1921</v>
      </c>
      <c r="D476" s="39" t="s">
        <v>2048</v>
      </c>
      <c r="E476" s="40" t="s">
        <v>1983</v>
      </c>
      <c r="F476" s="41" t="s">
        <v>1968</v>
      </c>
      <c r="G476" s="39" t="s">
        <v>1973</v>
      </c>
      <c r="H476" s="53" t="s">
        <v>3866</v>
      </c>
      <c r="I476" s="44" t="s">
        <v>1979</v>
      </c>
      <c r="J476" s="14" t="s">
        <v>2050</v>
      </c>
      <c r="K476" s="22" t="s">
        <v>3013</v>
      </c>
      <c r="L476" s="46">
        <v>44986</v>
      </c>
      <c r="M476" s="14"/>
      <c r="N476" s="45" t="s">
        <v>199</v>
      </c>
      <c r="O476" s="45" t="s">
        <v>199</v>
      </c>
      <c r="P476" s="45" t="s">
        <v>199</v>
      </c>
      <c r="Q476" s="45" t="s">
        <v>199</v>
      </c>
      <c r="R476" s="45" t="s">
        <v>199</v>
      </c>
      <c r="S476" s="45" t="s">
        <v>199</v>
      </c>
      <c r="T476" s="47" t="s">
        <v>4247</v>
      </c>
      <c r="U476" s="39" t="s">
        <v>3764</v>
      </c>
      <c r="V476" s="39" t="str">
        <f>CONCATENATE(U476, D476)</f>
        <v>https://example.websquare.kr/websquare/websquare.html?w2xPath=/guide/SelectBox/setDisplayMode_SelectBox.xml</v>
      </c>
      <c r="W476" s="39" t="s">
        <v>4512</v>
      </c>
      <c r="X476" s="39" t="str">
        <f>CONCATENATE(W476, D476)</f>
        <v>https://docs.inswave.com/websquare/websquare.html?w2xPath=/support/api/guide/SelectBox/setDisplayMode_SelectBox.xml</v>
      </c>
      <c r="Y476" s="48" t="str">
        <f>HYPERLINK(X476, H476)</f>
        <v>Label 및 Value 표시 방법 설정 (동적)</v>
      </c>
      <c r="Z476" s="4" t="str">
        <f>HYPERLINK(V476,H476)</f>
        <v>Label 및 Value 표시 방법 설정 (동적)</v>
      </c>
      <c r="AA476" s="4" t="str">
        <f>HYPERLINK(J476,H476)</f>
        <v>Label 및 Value 표시 방법 설정 (동적)</v>
      </c>
      <c r="AB476" s="39" t="str">
        <f t="shared" si="11"/>
        <v>https://docs.inswave.com/websquare/websquare.html?w2xPath=/support/api/guide/SelectBox/setDisplayMode_SelectBox.xml</v>
      </c>
      <c r="AC476" s="39"/>
      <c r="AD476" s="39"/>
    </row>
    <row r="477" spans="1:30" s="45" customFormat="1" ht="102" x14ac:dyDescent="0.45">
      <c r="A477" s="37">
        <f>SUBTOTAL(3, $T$2:T477)</f>
        <v>397</v>
      </c>
      <c r="B477" s="38" t="s">
        <v>2</v>
      </c>
      <c r="C477" s="39" t="s">
        <v>2</v>
      </c>
      <c r="D477" s="39" t="s">
        <v>1630</v>
      </c>
      <c r="E477" s="40" t="s">
        <v>2507</v>
      </c>
      <c r="F477" s="41" t="s">
        <v>2527</v>
      </c>
      <c r="G477" s="44" t="s">
        <v>2506</v>
      </c>
      <c r="H477" s="53" t="s">
        <v>3859</v>
      </c>
      <c r="I477" s="44" t="s">
        <v>3310</v>
      </c>
      <c r="J477" s="14" t="s">
        <v>2508</v>
      </c>
      <c r="K477" s="22" t="s">
        <v>3006</v>
      </c>
      <c r="L477" s="46">
        <v>43709</v>
      </c>
      <c r="M477" s="14"/>
      <c r="N477" s="45" t="s">
        <v>199</v>
      </c>
      <c r="O477" s="45" t="s">
        <v>199</v>
      </c>
      <c r="P477" s="45" t="s">
        <v>199</v>
      </c>
      <c r="Q477" s="45" t="s">
        <v>199</v>
      </c>
      <c r="R477" s="45" t="s">
        <v>199</v>
      </c>
      <c r="S477" s="45" t="s">
        <v>199</v>
      </c>
      <c r="T477" s="47" t="s">
        <v>4247</v>
      </c>
      <c r="U477" s="39" t="s">
        <v>3764</v>
      </c>
      <c r="V477" s="39" t="str">
        <f>CONCATENATE(U477, D477)</f>
        <v>https://example.websquare.kr/websquare/websquare.html?w2xPath=/guide/SelectBox/displayMode_delimiter_SelectBox.xml</v>
      </c>
      <c r="W477" s="39" t="s">
        <v>4512</v>
      </c>
      <c r="X477" s="39" t="str">
        <f>CONCATENATE(W477, D477)</f>
        <v>https://docs.inswave.com/websquare/websquare.html?w2xPath=/support/api/guide/SelectBox/displayMode_delimiter_SelectBox.xml</v>
      </c>
      <c r="Y477" s="48" t="str">
        <f>HYPERLINK(X477, H477)</f>
        <v>Label 및 Value 표시 방법 설정 (정적)</v>
      </c>
      <c r="Z477" s="4" t="str">
        <f>HYPERLINK(V477,H477)</f>
        <v>Label 및 Value 표시 방법 설정 (정적)</v>
      </c>
      <c r="AA477" s="4" t="str">
        <f>HYPERLINK(J477,H477)</f>
        <v>Label 및 Value 표시 방법 설정 (정적)</v>
      </c>
      <c r="AB477" s="39" t="str">
        <f t="shared" si="11"/>
        <v>https://docs.inswave.com/websquare/websquare.html?w2xPath=/support/api/guide/SelectBox/displayMode_delimiter_SelectBox.xml</v>
      </c>
      <c r="AC477" s="39"/>
      <c r="AD477" s="39"/>
    </row>
    <row r="478" spans="1:30" s="45" customFormat="1" ht="102" x14ac:dyDescent="0.45">
      <c r="A478" s="37">
        <f>SUBTOTAL(3, $T$2:T478)</f>
        <v>398</v>
      </c>
      <c r="B478" s="38" t="s">
        <v>2</v>
      </c>
      <c r="C478" s="39" t="s">
        <v>2</v>
      </c>
      <c r="D478" s="39" t="s">
        <v>1235</v>
      </c>
      <c r="E478" s="40" t="s">
        <v>2064</v>
      </c>
      <c r="F478" s="41" t="s">
        <v>1234</v>
      </c>
      <c r="G478" s="44" t="s">
        <v>1231</v>
      </c>
      <c r="H478" s="53" t="s">
        <v>3854</v>
      </c>
      <c r="I478" s="44" t="s">
        <v>1229</v>
      </c>
      <c r="J478" s="14" t="s">
        <v>1233</v>
      </c>
      <c r="K478" s="22" t="s">
        <v>3003</v>
      </c>
      <c r="L478" s="46">
        <v>44682</v>
      </c>
      <c r="M478" s="14"/>
      <c r="N478" s="45" t="s">
        <v>199</v>
      </c>
      <c r="O478" s="45" t="s">
        <v>199</v>
      </c>
      <c r="P478" s="45" t="s">
        <v>199</v>
      </c>
      <c r="Q478" s="45" t="s">
        <v>199</v>
      </c>
      <c r="R478" s="45" t="s">
        <v>199</v>
      </c>
      <c r="S478" s="45" t="s">
        <v>199</v>
      </c>
      <c r="T478" s="47" t="s">
        <v>4247</v>
      </c>
      <c r="U478" s="39" t="s">
        <v>3764</v>
      </c>
      <c r="V478" s="39" t="str">
        <f>CONCATENATE(U478, D478)</f>
        <v>https://example.websquare.kr/websquare/websquare.html?w2xPath=/guide/SelectBox/depthColumn_SelectBox.xml</v>
      </c>
      <c r="W478" s="39" t="s">
        <v>4512</v>
      </c>
      <c r="X478" s="39" t="str">
        <f>CONCATENATE(W478, D478)</f>
        <v>https://docs.inswave.com/websquare/websquare.html?w2xPath=/support/api/guide/SelectBox/depthColumn_SelectBox.xml</v>
      </c>
      <c r="Y478" s="48" t="str">
        <f>HYPERLINK(X478, H478)</f>
        <v>계층 구조의 데이터 설정</v>
      </c>
      <c r="Z478" s="4" t="str">
        <f>HYPERLINK(V478,H478)</f>
        <v>계층 구조의 데이터 설정</v>
      </c>
      <c r="AA478" s="4" t="str">
        <f>HYPERLINK(J478,H478)</f>
        <v>계층 구조의 데이터 설정</v>
      </c>
      <c r="AB478" s="39" t="str">
        <f t="shared" si="11"/>
        <v>https://docs.inswave.com/websquare/websquare.html?w2xPath=/support/api/guide/SelectBox/depthColumn_SelectBox.xml</v>
      </c>
      <c r="AC478" s="39"/>
      <c r="AD478" s="39"/>
    </row>
    <row r="479" spans="1:30" s="45" customFormat="1" ht="102" x14ac:dyDescent="0.45">
      <c r="A479" s="37">
        <f>SUBTOTAL(3, $T$2:T479)</f>
        <v>399</v>
      </c>
      <c r="B479" s="38" t="s">
        <v>2</v>
      </c>
      <c r="C479" s="39" t="s">
        <v>2</v>
      </c>
      <c r="D479" s="39" t="s">
        <v>1638</v>
      </c>
      <c r="E479" s="40" t="s">
        <v>1641</v>
      </c>
      <c r="F479" s="41" t="s">
        <v>1635</v>
      </c>
      <c r="G479" s="39" t="s">
        <v>1636</v>
      </c>
      <c r="H479" s="53" t="s">
        <v>3857</v>
      </c>
      <c r="I479" s="44" t="s">
        <v>1637</v>
      </c>
      <c r="J479" s="14" t="s">
        <v>1639</v>
      </c>
      <c r="K479" s="22" t="s">
        <v>3004</v>
      </c>
      <c r="L479" s="46">
        <v>44743</v>
      </c>
      <c r="M479" s="14"/>
      <c r="N479" s="45" t="s">
        <v>199</v>
      </c>
      <c r="O479" s="45" t="s">
        <v>199</v>
      </c>
      <c r="P479" s="45" t="s">
        <v>199</v>
      </c>
      <c r="Q479" s="45" t="s">
        <v>199</v>
      </c>
      <c r="R479" s="45" t="s">
        <v>199</v>
      </c>
      <c r="S479" s="45" t="s">
        <v>199</v>
      </c>
      <c r="T479" s="47" t="s">
        <v>4247</v>
      </c>
      <c r="U479" s="39" t="s">
        <v>3764</v>
      </c>
      <c r="V479" s="39" t="str">
        <f>CONCATENATE(U479, D479)</f>
        <v>https://example.websquare.kr/websquare/websquare.html?w2xPath=/guide/SelectBox/depthColumnHeight_depthColumnWidth_SelectBox.xml</v>
      </c>
      <c r="W479" s="39" t="s">
        <v>4512</v>
      </c>
      <c r="X479" s="39" t="str">
        <f>CONCATENATE(W479, D479)</f>
        <v>https://docs.inswave.com/websquare/websquare.html?w2xPath=/support/api/guide/SelectBox/depthColumnHeight_depthColumnWidth_SelectBox.xml</v>
      </c>
      <c r="Y479" s="48" t="str">
        <f>HYPERLINK(X479, H479)</f>
        <v>계층 구조의 선택 항목 목록 높이 및 너비 설정</v>
      </c>
      <c r="Z479" s="4" t="str">
        <f>HYPERLINK(V479,H479)</f>
        <v>계층 구조의 선택 항목 목록 높이 및 너비 설정</v>
      </c>
      <c r="AA479" s="4" t="str">
        <f>HYPERLINK(J479,H479)</f>
        <v>계층 구조의 선택 항목 목록 높이 및 너비 설정</v>
      </c>
      <c r="AB479" s="39" t="str">
        <f t="shared" si="11"/>
        <v>https://docs.inswave.com/websquare/websquare.html?w2xPath=/support/api/guide/SelectBox/depthColumnHeight_depthColumnWidth_SelectBox.xml</v>
      </c>
      <c r="AC479" s="39"/>
      <c r="AD479" s="39"/>
    </row>
    <row r="480" spans="1:30" s="45" customFormat="1" ht="102" x14ac:dyDescent="0.45">
      <c r="A480" s="37">
        <f>SUBTOTAL(3, $T$2:T480)</f>
        <v>400</v>
      </c>
      <c r="B480" s="38" t="s">
        <v>1921</v>
      </c>
      <c r="C480" s="39" t="s">
        <v>1921</v>
      </c>
      <c r="D480" s="39" t="s">
        <v>1937</v>
      </c>
      <c r="E480" s="40" t="s">
        <v>3856</v>
      </c>
      <c r="F480" s="41" t="s">
        <v>1920</v>
      </c>
      <c r="G480" s="39" t="s">
        <v>1931</v>
      </c>
      <c r="H480" s="53" t="s">
        <v>3855</v>
      </c>
      <c r="I480" s="44" t="s">
        <v>1926</v>
      </c>
      <c r="J480" s="14" t="s">
        <v>1943</v>
      </c>
      <c r="K480" s="22" t="s">
        <v>3005</v>
      </c>
      <c r="L480" s="46">
        <v>44927</v>
      </c>
      <c r="M480" s="50" t="s">
        <v>199</v>
      </c>
      <c r="N480" s="45" t="s">
        <v>199</v>
      </c>
      <c r="O480" s="45" t="s">
        <v>199</v>
      </c>
      <c r="P480" s="45" t="s">
        <v>199</v>
      </c>
      <c r="Q480" s="45" t="s">
        <v>199</v>
      </c>
      <c r="R480" s="45" t="s">
        <v>199</v>
      </c>
      <c r="S480" s="45" t="s">
        <v>199</v>
      </c>
      <c r="T480" s="47" t="s">
        <v>4247</v>
      </c>
      <c r="U480" s="39" t="s">
        <v>3764</v>
      </c>
      <c r="V480" s="39" t="str">
        <f>CONCATENATE(U480, D480)</f>
        <v>https://example.websquare.kr/websquare/websquare.html?w2xPath=/guide/SelectBox/depthColumnShowPath_depthColumnPathDelimiter_SelectBox.xml</v>
      </c>
      <c r="W480" s="39" t="s">
        <v>4512</v>
      </c>
      <c r="X480" s="39" t="str">
        <f>CONCATENATE(W480, D480)</f>
        <v>https://docs.inswave.com/websquare/websquare.html?w2xPath=/support/api/guide/SelectBox/depthColumnShowPath_depthColumnPathDelimiter_SelectBox.xml</v>
      </c>
      <c r="Y480" s="48" t="str">
        <f>HYPERLINK(X480, H480)</f>
        <v>계층 구조의 선택 항목을 부모와 함께 표시</v>
      </c>
      <c r="Z480" s="4" t="str">
        <f>HYPERLINK(V480,H480)</f>
        <v>계층 구조의 선택 항목을 부모와 함께 표시</v>
      </c>
      <c r="AA480" s="4" t="str">
        <f>HYPERLINK(J480,H480)</f>
        <v>계층 구조의 선택 항목을 부모와 함께 표시</v>
      </c>
      <c r="AB480" s="39" t="str">
        <f t="shared" si="11"/>
        <v>https://docs.inswave.com/websquare/websquare.html?w2xPath=/support/api/guide/SelectBox/depthColumnShowPath_depthColumnPathDelimiter_SelectBox.xml</v>
      </c>
      <c r="AC480" s="39"/>
      <c r="AD480" s="39"/>
    </row>
    <row r="481" spans="1:30" s="45" customFormat="1" ht="102" x14ac:dyDescent="0.45">
      <c r="A481" s="37">
        <f>SUBTOTAL(3, $T$2:T481)</f>
        <v>401</v>
      </c>
      <c r="B481" s="38" t="s">
        <v>1921</v>
      </c>
      <c r="C481" s="39" t="s">
        <v>1921</v>
      </c>
      <c r="D481" s="39" t="s">
        <v>2049</v>
      </c>
      <c r="E481" s="40" t="s">
        <v>1984</v>
      </c>
      <c r="F481" s="41" t="s">
        <v>1967</v>
      </c>
      <c r="G481" s="39" t="s">
        <v>1989</v>
      </c>
      <c r="H481" s="53" t="s">
        <v>3811</v>
      </c>
      <c r="I481" s="44" t="s">
        <v>1980</v>
      </c>
      <c r="J481" s="14" t="s">
        <v>2051</v>
      </c>
      <c r="K481" s="22" t="s">
        <v>3011</v>
      </c>
      <c r="L481" s="46">
        <v>44986</v>
      </c>
      <c r="M481" s="14"/>
      <c r="N481" s="45" t="s">
        <v>199</v>
      </c>
      <c r="O481" s="45" t="s">
        <v>199</v>
      </c>
      <c r="P481" s="45" t="s">
        <v>199</v>
      </c>
      <c r="Q481" s="45" t="s">
        <v>199</v>
      </c>
      <c r="R481" s="45" t="s">
        <v>199</v>
      </c>
      <c r="S481" s="45" t="s">
        <v>199</v>
      </c>
      <c r="T481" s="47" t="s">
        <v>4247</v>
      </c>
      <c r="U481" s="39" t="s">
        <v>3764</v>
      </c>
      <c r="V481" s="39" t="str">
        <f>CONCATENATE(U481, D481)</f>
        <v>https://example.websquare.kr/websquare/websquare.html?w2xPath=/guide/SelectBox/setDelimiter_SelectBox.xml</v>
      </c>
      <c r="W481" s="39" t="s">
        <v>4512</v>
      </c>
      <c r="X481" s="39" t="str">
        <f>CONCATENATE(W481, D481)</f>
        <v>https://docs.inswave.com/websquare/websquare.html?w2xPath=/support/api/guide/SelectBox/setDelimiter_SelectBox.xml</v>
      </c>
      <c r="Y481" s="48" t="str">
        <f>HYPERLINK(X481, H481)</f>
        <v>구분자 동적 설정</v>
      </c>
      <c r="Z481" s="4" t="str">
        <f>HYPERLINK(V481,H481)</f>
        <v>구분자 동적 설정</v>
      </c>
      <c r="AA481" s="4" t="str">
        <f>HYPERLINK(J481,H481)</f>
        <v>구분자 동적 설정</v>
      </c>
      <c r="AB481" s="39" t="str">
        <f t="shared" si="11"/>
        <v>https://docs.inswave.com/websquare/websquare.html?w2xPath=/support/api/guide/SelectBox/setDelimiter_SelectBox.xml</v>
      </c>
      <c r="AC481" s="39"/>
      <c r="AD481" s="39"/>
    </row>
    <row r="482" spans="1:30" s="45" customFormat="1" ht="102" x14ac:dyDescent="0.45">
      <c r="A482" s="37">
        <f>SUBTOTAL(3, $T$2:T482)</f>
        <v>402</v>
      </c>
      <c r="B482" s="38" t="s">
        <v>2</v>
      </c>
      <c r="C482" s="39" t="s">
        <v>2</v>
      </c>
      <c r="D482" s="39" t="s">
        <v>292</v>
      </c>
      <c r="E482" s="57" t="s">
        <v>3861</v>
      </c>
      <c r="F482" s="41" t="s">
        <v>155</v>
      </c>
      <c r="G482" s="39" t="s">
        <v>127</v>
      </c>
      <c r="H482" s="53" t="s">
        <v>3860</v>
      </c>
      <c r="I482" s="39" t="s">
        <v>123</v>
      </c>
      <c r="J482" s="14" t="s">
        <v>133</v>
      </c>
      <c r="K482" s="22" t="s">
        <v>3009</v>
      </c>
      <c r="L482" s="46">
        <v>44470</v>
      </c>
      <c r="M482" s="14"/>
      <c r="N482" s="45" t="s">
        <v>199</v>
      </c>
      <c r="O482" s="45" t="s">
        <v>199</v>
      </c>
      <c r="P482" s="45" t="s">
        <v>199</v>
      </c>
      <c r="Q482" s="45" t="s">
        <v>199</v>
      </c>
      <c r="R482" s="45" t="s">
        <v>199</v>
      </c>
      <c r="S482" s="45" t="s">
        <v>199</v>
      </c>
      <c r="T482" s="47" t="s">
        <v>4247</v>
      </c>
      <c r="U482" s="39" t="s">
        <v>3764</v>
      </c>
      <c r="V482" s="39" t="str">
        <f>CONCATENATE(U482, D482)</f>
        <v>https://example.websquare.kr/websquare/websquare.html?w2xPath=/guide/SelectBox/labelWidthAuto_SelectBox.xml</v>
      </c>
      <c r="W482" s="39" t="s">
        <v>4512</v>
      </c>
      <c r="X482" s="39" t="str">
        <f>CONCATENATE(W482, D482)</f>
        <v>https://docs.inswave.com/websquare/websquare.html?w2xPath=/support/api/guide/SelectBox/labelWidthAuto_SelectBox.xml</v>
      </c>
      <c r="Y482" s="48" t="str">
        <f>HYPERLINK(X482, H482)</f>
        <v>목록 너비 자동 조절</v>
      </c>
      <c r="Z482" s="4" t="str">
        <f>HYPERLINK(V482,H482)</f>
        <v>목록 너비 자동 조절</v>
      </c>
      <c r="AA482" s="4" t="str">
        <f>HYPERLINK(J482,H482)</f>
        <v>목록 너비 자동 조절</v>
      </c>
      <c r="AB482" s="39" t="str">
        <f t="shared" si="11"/>
        <v>https://docs.inswave.com/websquare/websquare.html?w2xPath=/support/api/guide/SelectBox/labelWidthAuto_SelectBox.xml</v>
      </c>
      <c r="AC482" s="39"/>
      <c r="AD482" s="39"/>
    </row>
    <row r="483" spans="1:30" s="45" customFormat="1" ht="102" x14ac:dyDescent="0.45">
      <c r="A483" s="37">
        <f>SUBTOTAL(3, $T$2:T483)</f>
        <v>403</v>
      </c>
      <c r="B483" s="38" t="s">
        <v>2</v>
      </c>
      <c r="C483" s="39" t="s">
        <v>2</v>
      </c>
      <c r="D483" s="39" t="s">
        <v>1686</v>
      </c>
      <c r="E483" s="39" t="s">
        <v>1683</v>
      </c>
      <c r="F483" s="61" t="s">
        <v>1887</v>
      </c>
      <c r="G483" s="39" t="s">
        <v>1684</v>
      </c>
      <c r="H483" s="53" t="s">
        <v>3867</v>
      </c>
      <c r="I483" s="44" t="s">
        <v>1688</v>
      </c>
      <c r="J483" s="14" t="s">
        <v>1682</v>
      </c>
      <c r="K483" s="22" t="s">
        <v>3017</v>
      </c>
      <c r="L483" s="46">
        <v>44774</v>
      </c>
      <c r="M483" s="14"/>
      <c r="N483" s="45" t="s">
        <v>199</v>
      </c>
      <c r="O483" s="45" t="s">
        <v>199</v>
      </c>
      <c r="P483" s="45" t="s">
        <v>199</v>
      </c>
      <c r="Q483" s="45" t="s">
        <v>199</v>
      </c>
      <c r="R483" s="45" t="s">
        <v>199</v>
      </c>
      <c r="S483" s="45" t="s">
        <v>199</v>
      </c>
      <c r="T483" s="47" t="s">
        <v>4247</v>
      </c>
      <c r="U483" s="39" t="s">
        <v>3764</v>
      </c>
      <c r="V483" s="39" t="str">
        <f>CONCATENATE(U483, D483)</f>
        <v>https://example.websquare.kr/websquare/websquare.html?w2xPath=/guide/SelectBox/valueNotInList_emptyItem_SelectBox.xml</v>
      </c>
      <c r="W483" s="39" t="s">
        <v>4512</v>
      </c>
      <c r="X483" s="39" t="str">
        <f>CONCATENATE(W483, D483)</f>
        <v>https://docs.inswave.com/websquare/websquare.html?w2xPath=/support/api/guide/SelectBox/valueNotInList_emptyItem_SelectBox.xml</v>
      </c>
      <c r="Y483" s="48" t="str">
        <f>HYPERLINK(X483, H483)</f>
        <v>목록에 없는 값의 처리</v>
      </c>
      <c r="Z483" s="4" t="str">
        <f>HYPERLINK(V483,H483)</f>
        <v>목록에 없는 값의 처리</v>
      </c>
      <c r="AA483" s="4" t="str">
        <f>HYPERLINK(J483,H483)</f>
        <v>목록에 없는 값의 처리</v>
      </c>
      <c r="AB483" s="39" t="str">
        <f t="shared" si="11"/>
        <v>https://docs.inswave.com/websquare/websquare.html?w2xPath=/support/api/guide/SelectBox/valueNotInList_emptyItem_SelectBox.xml</v>
      </c>
      <c r="AC483" s="39"/>
      <c r="AD483" s="39"/>
    </row>
    <row r="484" spans="1:30" s="45" customFormat="1" ht="102" x14ac:dyDescent="0.45">
      <c r="A484" s="37">
        <f>SUBTOTAL(3, $T$2:T484)</f>
        <v>404</v>
      </c>
      <c r="B484" s="38" t="s">
        <v>2</v>
      </c>
      <c r="C484" s="39" t="s">
        <v>2</v>
      </c>
      <c r="D484" s="39" t="s">
        <v>1066</v>
      </c>
      <c r="E484" s="40" t="s">
        <v>1062</v>
      </c>
      <c r="F484" s="41" t="s">
        <v>1083</v>
      </c>
      <c r="G484" s="39" t="s">
        <v>1077</v>
      </c>
      <c r="H484" s="53" t="s">
        <v>3865</v>
      </c>
      <c r="I484" s="44" t="s">
        <v>1079</v>
      </c>
      <c r="J484" s="14" t="s">
        <v>1082</v>
      </c>
      <c r="K484" s="22" t="s">
        <v>3015</v>
      </c>
      <c r="L484" s="46">
        <v>44652</v>
      </c>
      <c r="M484" s="45" t="s">
        <v>200</v>
      </c>
      <c r="N484" s="45" t="s">
        <v>199</v>
      </c>
      <c r="O484" s="45" t="s">
        <v>199</v>
      </c>
      <c r="P484" s="47" t="s">
        <v>199</v>
      </c>
      <c r="Q484" s="45" t="s">
        <v>199</v>
      </c>
      <c r="R484" s="45" t="s">
        <v>199</v>
      </c>
      <c r="S484" s="45" t="s">
        <v>199</v>
      </c>
      <c r="T484" s="47" t="s">
        <v>4247</v>
      </c>
      <c r="U484" s="39" t="s">
        <v>3764</v>
      </c>
      <c r="V484" s="39" t="str">
        <f>CONCATENATE(U484, D484)</f>
        <v>https://example.websquare.kr/websquare/websquare.html?w2xPath=/guide/SelectBox/tooltipDisplay_itemToolTipDisplay_SelectBox.xml</v>
      </c>
      <c r="W484" s="39" t="s">
        <v>4512</v>
      </c>
      <c r="X484" s="39" t="str">
        <f>CONCATENATE(W484, D484)</f>
        <v>https://docs.inswave.com/websquare/websquare.html?w2xPath=/support/api/guide/SelectBox/tooltipDisplay_itemToolTipDisplay_SelectBox.xml</v>
      </c>
      <c r="Y484" s="48" t="str">
        <f>HYPERLINK(X484, H484)</f>
        <v>선택 목록 혹은 항목 위에 툴팁 표시</v>
      </c>
      <c r="Z484" s="4" t="str">
        <f>HYPERLINK(V484,H484)</f>
        <v>선택 목록 혹은 항목 위에 툴팁 표시</v>
      </c>
      <c r="AA484" s="4" t="str">
        <f>HYPERLINK(J484,H484)</f>
        <v>선택 목록 혹은 항목 위에 툴팁 표시</v>
      </c>
      <c r="AB484" s="39" t="str">
        <f t="shared" si="11"/>
        <v>https://docs.inswave.com/websquare/websquare.html?w2xPath=/support/api/guide/SelectBox/tooltipDisplay_itemToolTipDisplay_SelectBox.xml</v>
      </c>
      <c r="AC484" s="39"/>
      <c r="AD484" s="39"/>
    </row>
    <row r="485" spans="1:30" s="45" customFormat="1" ht="102" x14ac:dyDescent="0.45">
      <c r="A485" s="37">
        <f>SUBTOTAL(3, $T$2:T485)</f>
        <v>405</v>
      </c>
      <c r="B485" s="38" t="s">
        <v>1921</v>
      </c>
      <c r="C485" s="38" t="s">
        <v>1921</v>
      </c>
      <c r="D485" s="41" t="s">
        <v>3465</v>
      </c>
      <c r="E485" s="41" t="s">
        <v>3459</v>
      </c>
      <c r="F485" s="41" t="s">
        <v>3461</v>
      </c>
      <c r="G485" s="39" t="s">
        <v>3403</v>
      </c>
      <c r="H485" s="53" t="s">
        <v>3805</v>
      </c>
      <c r="I485" s="44" t="s">
        <v>3395</v>
      </c>
      <c r="J485" s="45" t="s">
        <v>2304</v>
      </c>
      <c r="K485" s="45" t="s">
        <v>2304</v>
      </c>
      <c r="L485" s="46">
        <v>45689</v>
      </c>
      <c r="M485" s="14"/>
      <c r="T485" s="47" t="s">
        <v>4249</v>
      </c>
      <c r="U485" s="39" t="s">
        <v>3764</v>
      </c>
      <c r="V485" s="39" t="str">
        <f>CONCATENATE(U485, D485)</f>
        <v>https://example.websquare.kr/websquare/websquare.html?w2xPath=/guide/SelectBox/onbeforeselect_SelectBox.xml</v>
      </c>
      <c r="W485" s="39" t="s">
        <v>4512</v>
      </c>
      <c r="X485" s="39" t="str">
        <f>CONCATENATE(W485, D485)</f>
        <v>https://docs.inswave.com/websquare/websquare.html?w2xPath=/support/api/guide/SelectBox/onbeforeselect_SelectBox.xml</v>
      </c>
      <c r="Y485" s="48" t="str">
        <f>HYPERLINK(X485, H485)</f>
        <v>이벤트 - onbeforeselect</v>
      </c>
      <c r="Z485" s="4" t="str">
        <f>HYPERLINK(V485,H485)</f>
        <v>이벤트 - onbeforeselect</v>
      </c>
      <c r="AA485" s="45" t="s">
        <v>2304</v>
      </c>
      <c r="AB485" s="39" t="str">
        <f t="shared" si="11"/>
        <v>https://docs.inswave.com/websquare/websquare.html?w2xPath=/support/api/guide/SelectBox/onbeforeselect_SelectBox.xml</v>
      </c>
      <c r="AC485" s="39"/>
      <c r="AD485" s="39"/>
    </row>
    <row r="486" spans="1:30" s="45" customFormat="1" ht="102" x14ac:dyDescent="0.45">
      <c r="A486" s="37">
        <f>SUBTOTAL(3, $T$2:T486)</f>
        <v>406</v>
      </c>
      <c r="B486" s="38" t="s">
        <v>2</v>
      </c>
      <c r="C486" s="39" t="s">
        <v>2</v>
      </c>
      <c r="D486" s="39" t="s">
        <v>282</v>
      </c>
      <c r="E486" s="57" t="s">
        <v>223</v>
      </c>
      <c r="F486" s="41" t="s">
        <v>174</v>
      </c>
      <c r="G486" s="39" t="s">
        <v>3858</v>
      </c>
      <c r="H486" s="53" t="s">
        <v>3800</v>
      </c>
      <c r="I486" s="39" t="s">
        <v>76</v>
      </c>
      <c r="J486" s="14" t="s">
        <v>344</v>
      </c>
      <c r="K486" s="22" t="s">
        <v>3010</v>
      </c>
      <c r="L486" s="46">
        <v>44348</v>
      </c>
      <c r="M486" s="14"/>
      <c r="N486" s="45" t="s">
        <v>199</v>
      </c>
      <c r="O486" s="45" t="s">
        <v>199</v>
      </c>
      <c r="P486" s="45" t="s">
        <v>199</v>
      </c>
      <c r="Q486" s="45" t="s">
        <v>199</v>
      </c>
      <c r="R486" s="45" t="s">
        <v>199</v>
      </c>
      <c r="S486" s="45" t="s">
        <v>199</v>
      </c>
      <c r="T486" s="47" t="s">
        <v>4247</v>
      </c>
      <c r="U486" s="39" t="s">
        <v>3764</v>
      </c>
      <c r="V486" s="39" t="str">
        <f>CONCATENATE(U486, D486)</f>
        <v>https://example.websquare.kr/websquare/websquare.html?w2xPath=/guide/SelectBox/onselected_SelectBox.xml</v>
      </c>
      <c r="W486" s="39" t="s">
        <v>4512</v>
      </c>
      <c r="X486" s="39" t="str">
        <f>CONCATENATE(W486, D486)</f>
        <v>https://docs.inswave.com/websquare/websquare.html?w2xPath=/support/api/guide/SelectBox/onselected_SelectBox.xml</v>
      </c>
      <c r="Y486" s="48" t="str">
        <f>HYPERLINK(X486, H486)</f>
        <v>이벤트 - onselected</v>
      </c>
      <c r="Z486" s="4" t="str">
        <f>HYPERLINK(V486,H486)</f>
        <v>이벤트 - onselected</v>
      </c>
      <c r="AA486" s="4" t="str">
        <f>HYPERLINK(J486,H486)</f>
        <v>이벤트 - onselected</v>
      </c>
      <c r="AB486" s="39" t="str">
        <f t="shared" si="11"/>
        <v>https://docs.inswave.com/websquare/websquare.html?w2xPath=/support/api/guide/SelectBox/onselected_SelectBox.xml</v>
      </c>
      <c r="AC486" s="39"/>
      <c r="AD486" s="39"/>
    </row>
    <row r="487" spans="1:30" s="45" customFormat="1" ht="102" x14ac:dyDescent="0.45">
      <c r="A487" s="37">
        <f>SUBTOTAL(3, $T$2:T487)</f>
        <v>407</v>
      </c>
      <c r="B487" s="38" t="s">
        <v>2</v>
      </c>
      <c r="C487" s="39" t="s">
        <v>2</v>
      </c>
      <c r="D487" s="39" t="s">
        <v>637</v>
      </c>
      <c r="E487" s="40" t="s">
        <v>3232</v>
      </c>
      <c r="F487" s="41" t="s">
        <v>645</v>
      </c>
      <c r="G487" s="39" t="s">
        <v>576</v>
      </c>
      <c r="H487" s="53" t="s">
        <v>3807</v>
      </c>
      <c r="I487" s="44" t="s">
        <v>574</v>
      </c>
      <c r="J487" s="14" t="s">
        <v>644</v>
      </c>
      <c r="K487" s="22" t="s">
        <v>3014</v>
      </c>
      <c r="L487" s="46">
        <v>44593</v>
      </c>
      <c r="M487" s="14"/>
      <c r="N487" s="45" t="s">
        <v>199</v>
      </c>
      <c r="O487" s="45" t="s">
        <v>199</v>
      </c>
      <c r="P487" s="47" t="s">
        <v>199</v>
      </c>
      <c r="Q487" s="45" t="s">
        <v>199</v>
      </c>
      <c r="R487" s="45" t="s">
        <v>199</v>
      </c>
      <c r="S487" s="45" t="s">
        <v>199</v>
      </c>
      <c r="T487" s="47" t="s">
        <v>4247</v>
      </c>
      <c r="U487" s="39" t="s">
        <v>3764</v>
      </c>
      <c r="V487" s="39" t="str">
        <f>CONCATENATE(U487, D487)</f>
        <v>https://example.websquare.kr/websquare/websquare.html?w2xPath=/guide/SelectBox/setEnableColumn_SelectBox.xml</v>
      </c>
      <c r="W487" s="39" t="s">
        <v>4512</v>
      </c>
      <c r="X487" s="39" t="str">
        <f>CONCATENATE(W487, D487)</f>
        <v>https://docs.inswave.com/websquare/websquare.html?w2xPath=/support/api/guide/SelectBox/setEnableColumn_SelectBox.xml</v>
      </c>
      <c r="Y487" s="48" t="str">
        <f>HYPERLINK(X487, H487)</f>
        <v>일부 선택 항목 (동적으로) 비활성화</v>
      </c>
      <c r="Z487" s="4" t="str">
        <f>HYPERLINK(V487,H487)</f>
        <v>일부 선택 항목 (동적으로) 비활성화</v>
      </c>
      <c r="AA487" s="4" t="str">
        <f>HYPERLINK(J487,H487)</f>
        <v>일부 선택 항목 (동적으로) 비활성화</v>
      </c>
      <c r="AB487" s="39" t="str">
        <f t="shared" si="11"/>
        <v>https://docs.inswave.com/websquare/websquare.html?w2xPath=/support/api/guide/SelectBox/setEnableColumn_SelectBox.xml</v>
      </c>
      <c r="AC487" s="39"/>
      <c r="AD487" s="39"/>
    </row>
    <row r="488" spans="1:30" s="45" customFormat="1" ht="102" x14ac:dyDescent="0.45">
      <c r="A488" s="37">
        <f>SUBTOTAL(3, $T$2:T488)</f>
        <v>408</v>
      </c>
      <c r="B488" s="38" t="s">
        <v>2</v>
      </c>
      <c r="C488" s="39" t="s">
        <v>2</v>
      </c>
      <c r="D488" s="39" t="s">
        <v>604</v>
      </c>
      <c r="E488" s="40" t="s">
        <v>603</v>
      </c>
      <c r="F488" s="41" t="s">
        <v>616</v>
      </c>
      <c r="G488" s="39" t="s">
        <v>564</v>
      </c>
      <c r="H488" s="53" t="s">
        <v>3844</v>
      </c>
      <c r="I488" s="44" t="s">
        <v>567</v>
      </c>
      <c r="J488" s="14" t="s">
        <v>615</v>
      </c>
      <c r="K488" s="22" t="s">
        <v>3007</v>
      </c>
      <c r="L488" s="46">
        <v>44593</v>
      </c>
      <c r="M488" s="14"/>
      <c r="N488" s="45" t="s">
        <v>199</v>
      </c>
      <c r="O488" s="45" t="s">
        <v>199</v>
      </c>
      <c r="P488" s="47" t="s">
        <v>199</v>
      </c>
      <c r="Q488" s="45" t="s">
        <v>199</v>
      </c>
      <c r="R488" s="45" t="s">
        <v>199</v>
      </c>
      <c r="S488" s="45" t="s">
        <v>199</v>
      </c>
      <c r="T488" s="47" t="s">
        <v>4247</v>
      </c>
      <c r="U488" s="39" t="s">
        <v>3764</v>
      </c>
      <c r="V488" s="39" t="str">
        <f>CONCATENATE(U488, D488)</f>
        <v>https://example.websquare.kr/websquare/websquare.html?w2xPath=/guide/SelectBox/enableColumn_enableColumnFalseValue_SelectBox.xml</v>
      </c>
      <c r="W488" s="39" t="s">
        <v>4512</v>
      </c>
      <c r="X488" s="39" t="str">
        <f>CONCATENATE(W488, D488)</f>
        <v>https://docs.inswave.com/websquare/websquare.html?w2xPath=/support/api/guide/SelectBox/enableColumn_enableColumnFalseValue_SelectBox.xml</v>
      </c>
      <c r="Y488" s="48" t="str">
        <f>HYPERLINK(X488, H488)</f>
        <v>일부 선택 항목 (정적으로) 비활성화</v>
      </c>
      <c r="Z488" s="4" t="str">
        <f>HYPERLINK(V488,H488)</f>
        <v>일부 선택 항목 (정적으로) 비활성화</v>
      </c>
      <c r="AA488" s="4" t="str">
        <f>HYPERLINK(J488,H488)</f>
        <v>일부 선택 항목 (정적으로) 비활성화</v>
      </c>
      <c r="AB488" s="39" t="str">
        <f t="shared" si="11"/>
        <v>https://docs.inswave.com/websquare/websquare.html?w2xPath=/support/api/guide/SelectBox/enableColumn_enableColumnFalseValue_SelectBox.xml</v>
      </c>
      <c r="AC488" s="39"/>
      <c r="AD488" s="39"/>
    </row>
    <row r="489" spans="1:30" s="45" customFormat="1" ht="102" x14ac:dyDescent="0.45">
      <c r="A489" s="37">
        <f>SUBTOTAL(3, $T$2:T489)</f>
        <v>409</v>
      </c>
      <c r="B489" s="38" t="s">
        <v>2</v>
      </c>
      <c r="C489" s="39" t="s">
        <v>2</v>
      </c>
      <c r="D489" s="39" t="s">
        <v>623</v>
      </c>
      <c r="E489" s="40" t="s">
        <v>570</v>
      </c>
      <c r="F489" s="41" t="s">
        <v>610</v>
      </c>
      <c r="G489" s="39" t="s">
        <v>584</v>
      </c>
      <c r="H489" s="53" t="s">
        <v>3862</v>
      </c>
      <c r="I489" s="44" t="s">
        <v>607</v>
      </c>
      <c r="J489" s="14" t="s">
        <v>3421</v>
      </c>
      <c r="K489" s="22" t="s">
        <v>3018</v>
      </c>
      <c r="L489" s="46">
        <v>43770</v>
      </c>
      <c r="M489" s="14"/>
      <c r="N489" s="45" t="s">
        <v>199</v>
      </c>
      <c r="O489" s="45" t="s">
        <v>199</v>
      </c>
      <c r="P489" s="47" t="s">
        <v>199</v>
      </c>
      <c r="Q489" s="45" t="s">
        <v>199</v>
      </c>
      <c r="R489" s="45" t="s">
        <v>199</v>
      </c>
      <c r="S489" s="45" t="s">
        <v>199</v>
      </c>
      <c r="T489" s="47" t="s">
        <v>4247</v>
      </c>
      <c r="U489" s="39" t="s">
        <v>3764</v>
      </c>
      <c r="V489" s="39" t="str">
        <f>CONCATENATE(U489, D489)</f>
        <v>https://example.websquare.kr/websquare/websquare.html?w2xPath=/guide/SelectBox/visibleColumn_visibleColumnFalseValue_setVisibleColumn_SelectBox.xml</v>
      </c>
      <c r="W489" s="39" t="s">
        <v>4512</v>
      </c>
      <c r="X489" s="39" t="str">
        <f>CONCATENATE(W489, D489)</f>
        <v>https://docs.inswave.com/websquare/websquare.html?w2xPath=/support/api/guide/SelectBox/visibleColumn_visibleColumnFalseValue_setVisibleColumn_SelectBox.xml</v>
      </c>
      <c r="Y489" s="48" t="str">
        <f>HYPERLINK(X489, H489)</f>
        <v>일부 선택 항목 숨기기</v>
      </c>
      <c r="Z489" s="4" t="str">
        <f>HYPERLINK(V489,H489)</f>
        <v>일부 선택 항목 숨기기</v>
      </c>
      <c r="AA489" s="4" t="str">
        <f>HYPERLINK(J489,H489)</f>
        <v>일부 선택 항목 숨기기</v>
      </c>
      <c r="AB489" s="39" t="str">
        <f t="shared" si="11"/>
        <v>https://docs.inswave.com/websquare/websquare.html?w2xPath=/support/api/guide/SelectBox/visibleColumn_visibleColumnFalseValue_setVisibleColumn_SelectBox.xml</v>
      </c>
      <c r="AC489" s="39"/>
      <c r="AD489" s="39"/>
    </row>
    <row r="490" spans="1:30" s="45" customFormat="1" ht="102" x14ac:dyDescent="0.45">
      <c r="A490" s="37">
        <f>SUBTOTAL(3, $T$2:T490)</f>
        <v>410</v>
      </c>
      <c r="B490" s="38" t="s">
        <v>2</v>
      </c>
      <c r="C490" s="39" t="s">
        <v>2</v>
      </c>
      <c r="D490" s="39" t="s">
        <v>1356</v>
      </c>
      <c r="E490" s="40" t="s">
        <v>1357</v>
      </c>
      <c r="F490" s="41" t="s">
        <v>2351</v>
      </c>
      <c r="G490" s="39" t="s">
        <v>1349</v>
      </c>
      <c r="H490" s="53" t="s">
        <v>3853</v>
      </c>
      <c r="I490" s="44" t="s">
        <v>1293</v>
      </c>
      <c r="J490" s="14" t="s">
        <v>2335</v>
      </c>
      <c r="K490" s="22" t="s">
        <v>3016</v>
      </c>
      <c r="L490" s="46">
        <v>43800</v>
      </c>
      <c r="M490" s="14"/>
      <c r="N490" s="45" t="s">
        <v>199</v>
      </c>
      <c r="O490" s="45" t="s">
        <v>199</v>
      </c>
      <c r="P490" s="45" t="s">
        <v>199</v>
      </c>
      <c r="Q490" s="45" t="s">
        <v>199</v>
      </c>
      <c r="R490" s="45" t="s">
        <v>199</v>
      </c>
      <c r="S490" s="45" t="s">
        <v>199</v>
      </c>
      <c r="T490" s="47" t="s">
        <v>4247</v>
      </c>
      <c r="U490" s="39" t="s">
        <v>3764</v>
      </c>
      <c r="V490" s="39" t="str">
        <f>CONCATENATE(U490, D490)</f>
        <v>https://example.websquare.kr/websquare/websquare.html?w2xPath=/guide/SelectBox/validate_displaymessage_invalidMessage_invalidMessageFunc_SelectBox.xml</v>
      </c>
      <c r="W490" s="39" t="s">
        <v>4512</v>
      </c>
      <c r="X490" s="39" t="str">
        <f>CONCATENATE(W490, D490)</f>
        <v>https://docs.inswave.com/websquare/websquare.html?w2xPath=/support/api/guide/SelectBox/validate_displaymessage_invalidMessage_invalidMessageFunc_SelectBox.xml</v>
      </c>
      <c r="Y490" s="48" t="str">
        <f>HYPERLINK(X490, H490)</f>
        <v>입력 검증 및 오류 메시지 표시</v>
      </c>
      <c r="Z490" s="4" t="str">
        <f>HYPERLINK(V490,H490)</f>
        <v>입력 검증 및 오류 메시지 표시</v>
      </c>
      <c r="AA490" s="4" t="str">
        <f>HYPERLINK(J490,H490)</f>
        <v>입력 검증 및 오류 메시지 표시</v>
      </c>
      <c r="AB490" s="39" t="str">
        <f t="shared" si="11"/>
        <v>https://docs.inswave.com/websquare/websquare.html?w2xPath=/support/api/guide/SelectBox/validate_displaymessage_invalidMessage_invalidMessageFunc_SelectBox.xml</v>
      </c>
      <c r="AC490" s="39"/>
      <c r="AD490" s="39"/>
    </row>
    <row r="491" spans="1:30" s="39" customFormat="1" ht="102" hidden="1" x14ac:dyDescent="0.45">
      <c r="A491" s="37">
        <f>SUBTOTAL(3, $T$2:T491)</f>
        <v>410</v>
      </c>
      <c r="B491" s="38" t="s">
        <v>4</v>
      </c>
      <c r="C491" s="39" t="s">
        <v>1133</v>
      </c>
      <c r="D491" s="39" t="s">
        <v>1450</v>
      </c>
      <c r="E491" s="40" t="s">
        <v>2664</v>
      </c>
      <c r="F491" s="41" t="s">
        <v>1054</v>
      </c>
      <c r="G491" s="44" t="s">
        <v>1055</v>
      </c>
      <c r="H491" s="43" t="s">
        <v>3630</v>
      </c>
      <c r="I491" s="39" t="s">
        <v>305</v>
      </c>
      <c r="J491" s="14" t="s">
        <v>2665</v>
      </c>
      <c r="K491" s="45" t="s">
        <v>2304</v>
      </c>
      <c r="L491" s="46">
        <v>43647</v>
      </c>
      <c r="M491" s="14"/>
      <c r="N491" s="47" t="s">
        <v>2265</v>
      </c>
      <c r="O491" s="45" t="s">
        <v>199</v>
      </c>
      <c r="P491" s="45" t="s">
        <v>199</v>
      </c>
      <c r="Q491" s="45" t="s">
        <v>2304</v>
      </c>
      <c r="R491" s="45" t="s">
        <v>199</v>
      </c>
      <c r="S491" s="45" t="s">
        <v>199</v>
      </c>
      <c r="T491" s="47" t="s">
        <v>4248</v>
      </c>
      <c r="U491" s="39" t="s">
        <v>3764</v>
      </c>
      <c r="V491" s="39" t="str">
        <f>CONCATENATE(U491, D491)</f>
        <v>https://example.websquare.kr/websquare/websquare.html?w2xPath=/guide/_Studio/Common/getting_started_Studio.pdf</v>
      </c>
      <c r="W491" s="39" t="s">
        <v>4220</v>
      </c>
      <c r="X491" s="39" t="str">
        <f>CONCATENATE(W491, D491)</f>
        <v>https://docs.inswave.com/websquare/websquare.html?w2xPath=/support/api/samples/_Studio/Common/getting_started_Studio.pdf</v>
      </c>
      <c r="Y491" s="48"/>
      <c r="Z491" s="4"/>
      <c r="AA491" s="4" t="str">
        <f>HYPERLINK(J491,H491)</f>
        <v>프로젝트/페이지 생성</v>
      </c>
      <c r="AB491" s="39" t="str">
        <f t="shared" si="11"/>
        <v>https://docs.inswave.com/websquare/websquare.html?w2xPath=/support/api/samples/_Studio/Common/getting_started_Studio.pdf</v>
      </c>
    </row>
    <row r="492" spans="1:30" s="39" customFormat="1" ht="102" hidden="1" x14ac:dyDescent="0.45">
      <c r="A492" s="37">
        <f>SUBTOTAL(3, $T$2:T492)</f>
        <v>410</v>
      </c>
      <c r="B492" s="38" t="s">
        <v>4</v>
      </c>
      <c r="C492" s="39" t="s">
        <v>2754</v>
      </c>
      <c r="E492" s="40" t="s">
        <v>2679</v>
      </c>
      <c r="F492" s="41" t="s">
        <v>2678</v>
      </c>
      <c r="G492" s="39" t="s">
        <v>2681</v>
      </c>
      <c r="H492" s="55" t="s">
        <v>3635</v>
      </c>
      <c r="J492" s="14" t="s">
        <v>2680</v>
      </c>
      <c r="K492" s="45" t="s">
        <v>2304</v>
      </c>
      <c r="L492" s="46">
        <v>45383</v>
      </c>
      <c r="M492" s="14"/>
      <c r="N492" s="45" t="s">
        <v>2265</v>
      </c>
      <c r="O492" s="45" t="s">
        <v>199</v>
      </c>
      <c r="P492" s="45" t="s">
        <v>199</v>
      </c>
      <c r="Q492" s="45" t="s">
        <v>2304</v>
      </c>
      <c r="R492" s="45" t="s">
        <v>199</v>
      </c>
      <c r="S492" s="45" t="s">
        <v>199</v>
      </c>
      <c r="T492" s="47" t="s">
        <v>4248</v>
      </c>
      <c r="U492" s="39" t="s">
        <v>3764</v>
      </c>
      <c r="V492" s="39" t="str">
        <f>CONCATENATE(U492, D492)</f>
        <v>https://example.websquare.kr/websquare/websquare.html?w2xPath=/guide</v>
      </c>
      <c r="W492" s="39" t="s">
        <v>4220</v>
      </c>
      <c r="X492" s="39" t="str">
        <f>CONCATENATE(W492, D492)</f>
        <v>https://docs.inswave.com/websquare/websquare.html?w2xPath=/support/api/samples</v>
      </c>
      <c r="Y492" s="48"/>
      <c r="Z492" s="4"/>
      <c r="AA492" s="4" t="str">
        <f>HYPERLINK(J492,H492)</f>
        <v>WebSquare AI 스튜디오 설치 설명</v>
      </c>
      <c r="AB492" s="39" t="str">
        <f t="shared" si="11"/>
        <v>https://docs.inswave.com/websquare/websquare.html?w2xPath=/support/api/samples</v>
      </c>
    </row>
    <row r="493" spans="1:30" s="39" customFormat="1" ht="102" hidden="1" x14ac:dyDescent="0.25">
      <c r="A493" s="37">
        <f>SUBTOTAL(3, $T$2:T493)</f>
        <v>410</v>
      </c>
      <c r="B493" s="38" t="s">
        <v>2110</v>
      </c>
      <c r="C493" s="39" t="s">
        <v>2755</v>
      </c>
      <c r="E493" s="40" t="s">
        <v>2683</v>
      </c>
      <c r="F493" s="41" t="s">
        <v>2682</v>
      </c>
      <c r="G493" s="44" t="s">
        <v>2685</v>
      </c>
      <c r="H493" s="54" t="s">
        <v>3636</v>
      </c>
      <c r="J493" s="14" t="s">
        <v>2686</v>
      </c>
      <c r="K493" s="45" t="s">
        <v>2304</v>
      </c>
      <c r="L493" s="46">
        <v>45383</v>
      </c>
      <c r="M493" s="14"/>
      <c r="N493" s="45" t="s">
        <v>2265</v>
      </c>
      <c r="O493" s="45" t="s">
        <v>199</v>
      </c>
      <c r="P493" s="45" t="s">
        <v>199</v>
      </c>
      <c r="Q493" s="45" t="s">
        <v>2304</v>
      </c>
      <c r="R493" s="45" t="s">
        <v>199</v>
      </c>
      <c r="S493" s="45" t="s">
        <v>199</v>
      </c>
      <c r="T493" s="47" t="s">
        <v>4248</v>
      </c>
      <c r="U493" s="39" t="s">
        <v>3764</v>
      </c>
      <c r="V493" s="39" t="str">
        <f>CONCATENATE(U493, D493)</f>
        <v>https://example.websquare.kr/websquare/websquare.html?w2xPath=/guide</v>
      </c>
      <c r="W493" s="39" t="s">
        <v>4220</v>
      </c>
      <c r="X493" s="39" t="str">
        <f>CONCATENATE(W493, D493)</f>
        <v>https://docs.inswave.com/websquare/websquare.html?w2xPath=/support/api/samples</v>
      </c>
      <c r="Y493" s="48"/>
      <c r="Z493" s="4"/>
      <c r="AA493" s="4" t="str">
        <f>HYPERLINK(J493,H493)</f>
        <v>프로젝트 및 페이지 생성</v>
      </c>
      <c r="AB493" s="39" t="str">
        <f t="shared" si="11"/>
        <v>https://docs.inswave.com/websquare/websquare.html?w2xPath=/support/api/samples</v>
      </c>
    </row>
    <row r="494" spans="1:30" s="39" customFormat="1" ht="102" hidden="1" x14ac:dyDescent="0.45">
      <c r="A494" s="37">
        <f>SUBTOTAL(3, $T$2:T494)</f>
        <v>410</v>
      </c>
      <c r="B494" s="38" t="s">
        <v>4</v>
      </c>
      <c r="C494" s="39" t="s">
        <v>2636</v>
      </c>
      <c r="D494" s="39" t="s">
        <v>1483</v>
      </c>
      <c r="E494" s="40" t="s">
        <v>2618</v>
      </c>
      <c r="F494" s="41" t="s">
        <v>2619</v>
      </c>
      <c r="G494" s="39" t="s">
        <v>1482</v>
      </c>
      <c r="H494" s="43" t="s">
        <v>3628</v>
      </c>
      <c r="I494" s="39" t="s">
        <v>32</v>
      </c>
      <c r="J494" s="14" t="s">
        <v>2620</v>
      </c>
      <c r="K494" s="45" t="s">
        <v>2304</v>
      </c>
      <c r="L494" s="46">
        <v>43922</v>
      </c>
      <c r="M494" s="14"/>
      <c r="N494" s="45" t="s">
        <v>2265</v>
      </c>
      <c r="O494" s="45" t="s">
        <v>199</v>
      </c>
      <c r="P494" s="45" t="s">
        <v>199</v>
      </c>
      <c r="Q494" s="39" t="s">
        <v>2304</v>
      </c>
      <c r="R494" s="45" t="s">
        <v>199</v>
      </c>
      <c r="S494" s="45" t="s">
        <v>199</v>
      </c>
      <c r="T494" s="47" t="s">
        <v>4248</v>
      </c>
      <c r="U494" s="39" t="s">
        <v>3764</v>
      </c>
      <c r="V494" s="39" t="str">
        <f>CONCATENATE(U494, D494)</f>
        <v>https://example.websquare.kr/websquare/websquare.html?w2xPath=/guide/_Studio/Common/Outline_Studio.pdf</v>
      </c>
      <c r="W494" s="39" t="s">
        <v>4220</v>
      </c>
      <c r="X494" s="39" t="str">
        <f>CONCATENATE(W494, D494)</f>
        <v>https://docs.inswave.com/websquare/websquare.html?w2xPath=/support/api/samples/_Studio/Common/Outline_Studio.pdf</v>
      </c>
      <c r="Y494" s="48"/>
      <c r="Z494" s="4"/>
      <c r="AA494" s="4" t="str">
        <f>HYPERLINK(J494,H494)</f>
        <v>Outline 뷰 설명</v>
      </c>
      <c r="AB494" s="39" t="str">
        <f t="shared" si="11"/>
        <v>https://docs.inswave.com/websquare/websquare.html?w2xPath=/support/api/samples/_Studio/Common/Outline_Studio.pdf</v>
      </c>
    </row>
    <row r="495" spans="1:30" s="39" customFormat="1" ht="102" hidden="1" x14ac:dyDescent="0.45">
      <c r="A495" s="37">
        <f>SUBTOTAL(3, $T$2:T495)</f>
        <v>410</v>
      </c>
      <c r="B495" s="38" t="s">
        <v>4</v>
      </c>
      <c r="C495" s="39" t="s">
        <v>2636</v>
      </c>
      <c r="D495" s="39" t="s">
        <v>1457</v>
      </c>
      <c r="E495" s="40" t="s">
        <v>2601</v>
      </c>
      <c r="F495" s="41" t="s">
        <v>2637</v>
      </c>
      <c r="G495" s="39" t="s">
        <v>2603</v>
      </c>
      <c r="H495" s="43" t="s">
        <v>3623</v>
      </c>
      <c r="I495" s="39" t="s">
        <v>32</v>
      </c>
      <c r="J495" s="14" t="s">
        <v>2602</v>
      </c>
      <c r="K495" s="45" t="s">
        <v>2304</v>
      </c>
      <c r="L495" s="46">
        <v>43739</v>
      </c>
      <c r="M495" s="14"/>
      <c r="N495" s="45" t="s">
        <v>2265</v>
      </c>
      <c r="O495" s="45" t="s">
        <v>199</v>
      </c>
      <c r="P495" s="45" t="s">
        <v>199</v>
      </c>
      <c r="Q495" s="39" t="s">
        <v>2304</v>
      </c>
      <c r="R495" s="45" t="s">
        <v>199</v>
      </c>
      <c r="S495" s="45" t="s">
        <v>199</v>
      </c>
      <c r="T495" s="47" t="s">
        <v>4248</v>
      </c>
      <c r="U495" s="39" t="s">
        <v>3764</v>
      </c>
      <c r="V495" s="39" t="str">
        <f>CONCATENATE(U495, D495)</f>
        <v>https://example.websquare.kr/websquare/websquare.html?w2xPath=/guide/_Studio/Common/drag_n_drop_Studio.pdf</v>
      </c>
      <c r="W495" s="39" t="s">
        <v>4220</v>
      </c>
      <c r="X495" s="39" t="str">
        <f>CONCATENATE(W495, D495)</f>
        <v>https://docs.inswave.com/websquare/websquare.html?w2xPath=/support/api/samples/_Studio/Common/drag_n_drop_Studio.pdf</v>
      </c>
      <c r="Y495" s="48"/>
      <c r="Z495" s="4"/>
      <c r="AA495" s="4" t="str">
        <f>HYPERLINK(J495,H495)</f>
        <v>컴포넌트 이동/리사이즈</v>
      </c>
      <c r="AB495" s="39" t="str">
        <f t="shared" si="11"/>
        <v>https://docs.inswave.com/websquare/websquare.html?w2xPath=/support/api/samples/_Studio/Common/drag_n_drop_Studio.pdf</v>
      </c>
    </row>
    <row r="496" spans="1:30" s="39" customFormat="1" ht="102" hidden="1" x14ac:dyDescent="0.45">
      <c r="A496" s="37">
        <f>SUBTOTAL(3, $T$2:T496)</f>
        <v>410</v>
      </c>
      <c r="B496" s="38" t="s">
        <v>4</v>
      </c>
      <c r="C496" s="39" t="s">
        <v>1448</v>
      </c>
      <c r="D496" s="39" t="s">
        <v>1480</v>
      </c>
      <c r="E496" s="40" t="s">
        <v>2609</v>
      </c>
      <c r="F496" s="41" t="s">
        <v>2613</v>
      </c>
      <c r="G496" s="39" t="s">
        <v>2610</v>
      </c>
      <c r="H496" s="43" t="s">
        <v>3626</v>
      </c>
      <c r="I496" s="39" t="s">
        <v>32</v>
      </c>
      <c r="J496" s="14" t="s">
        <v>2614</v>
      </c>
      <c r="K496" s="45" t="s">
        <v>2304</v>
      </c>
      <c r="L496" s="46">
        <v>43922</v>
      </c>
      <c r="M496" s="14"/>
      <c r="N496" s="45" t="s">
        <v>2265</v>
      </c>
      <c r="O496" s="45" t="s">
        <v>199</v>
      </c>
      <c r="P496" s="45" t="s">
        <v>199</v>
      </c>
      <c r="Q496" s="39" t="s">
        <v>2304</v>
      </c>
      <c r="R496" s="45" t="s">
        <v>199</v>
      </c>
      <c r="S496" s="45" t="s">
        <v>199</v>
      </c>
      <c r="T496" s="47" t="s">
        <v>4248</v>
      </c>
      <c r="U496" s="39" t="s">
        <v>3764</v>
      </c>
      <c r="V496" s="39" t="str">
        <f>CONCATENATE(U496, D496)</f>
        <v>https://example.websquare.kr/websquare/websquare.html?w2xPath=/guide/_Studio/SP4/Palette_Upgrade_SP4_Studio.pdf</v>
      </c>
      <c r="W496" s="39" t="s">
        <v>4220</v>
      </c>
      <c r="X496" s="39" t="str">
        <f>CONCATENATE(W496, D496)</f>
        <v>https://docs.inswave.com/websquare/websquare.html?w2xPath=/support/api/samples/_Studio/SP4/Palette_Upgrade_SP4_Studio.pdf</v>
      </c>
      <c r="Y496" s="48"/>
      <c r="Z496" s="4"/>
      <c r="AA496" s="4" t="str">
        <f>HYPERLINK(J496,H496)</f>
        <v>Palette 뷰 설명</v>
      </c>
      <c r="AB496" s="39" t="str">
        <f t="shared" si="11"/>
        <v>https://docs.inswave.com/websquare/websquare.html?w2xPath=/support/api/samples/_Studio/SP4/Palette_Upgrade_SP4_Studio.pdf</v>
      </c>
    </row>
    <row r="497" spans="1:28" s="39" customFormat="1" ht="102" hidden="1" x14ac:dyDescent="0.45">
      <c r="A497" s="37">
        <f>SUBTOTAL(3, $T$2:T497)</f>
        <v>410</v>
      </c>
      <c r="B497" s="38" t="s">
        <v>4</v>
      </c>
      <c r="C497" s="39" t="s">
        <v>2635</v>
      </c>
      <c r="D497" s="39" t="s">
        <v>1485</v>
      </c>
      <c r="E497" s="40" t="s">
        <v>2617</v>
      </c>
      <c r="F497" s="41" t="s">
        <v>2235</v>
      </c>
      <c r="G497" s="39" t="s">
        <v>2612</v>
      </c>
      <c r="H497" s="43" t="s">
        <v>3629</v>
      </c>
      <c r="I497" s="39" t="s">
        <v>32</v>
      </c>
      <c r="J497" s="14" t="s">
        <v>2621</v>
      </c>
      <c r="K497" s="45" t="s">
        <v>2304</v>
      </c>
      <c r="L497" s="46">
        <v>43922</v>
      </c>
      <c r="M497" s="14"/>
      <c r="N497" s="45" t="s">
        <v>2265</v>
      </c>
      <c r="O497" s="45" t="s">
        <v>199</v>
      </c>
      <c r="P497" s="45" t="s">
        <v>199</v>
      </c>
      <c r="Q497" s="39" t="s">
        <v>2304</v>
      </c>
      <c r="R497" s="45" t="s">
        <v>199</v>
      </c>
      <c r="S497" s="45" t="s">
        <v>199</v>
      </c>
      <c r="T497" s="47" t="s">
        <v>4248</v>
      </c>
      <c r="U497" s="39" t="s">
        <v>3764</v>
      </c>
      <c r="V497" s="39" t="str">
        <f>CONCATENATE(U497, D497)</f>
        <v>https://example.websquare.kr/websquare/websquare.html?w2xPath=/guide/_Studio/SP4/Perspective_Upgrade_SP4_Studio.pdf</v>
      </c>
      <c r="W497" s="39" t="s">
        <v>4220</v>
      </c>
      <c r="X497" s="39" t="str">
        <f>CONCATENATE(W497, D497)</f>
        <v>https://docs.inswave.com/websquare/websquare.html?w2xPath=/support/api/samples/_Studio/SP4/Perspective_Upgrade_SP4_Studio.pdf</v>
      </c>
      <c r="Y497" s="48"/>
      <c r="Z497" s="4"/>
      <c r="AA497" s="4" t="str">
        <f>HYPERLINK(J497,H497)</f>
        <v>Perspective 설명</v>
      </c>
      <c r="AB497" s="39" t="str">
        <f t="shared" si="11"/>
        <v>https://docs.inswave.com/websquare/websquare.html?w2xPath=/support/api/samples/_Studio/SP4/Perspective_Upgrade_SP4_Studio.pdf</v>
      </c>
    </row>
    <row r="498" spans="1:28" s="39" customFormat="1" ht="102" x14ac:dyDescent="0.45">
      <c r="A498" s="37">
        <f>SUBTOTAL(3, $T$2:T498)</f>
        <v>411</v>
      </c>
      <c r="B498" s="38" t="s">
        <v>2</v>
      </c>
      <c r="C498" s="39" t="s">
        <v>2</v>
      </c>
      <c r="D498" s="39" t="s">
        <v>1065</v>
      </c>
      <c r="E498" s="40" t="s">
        <v>1068</v>
      </c>
      <c r="F498" s="41" t="s">
        <v>1067</v>
      </c>
      <c r="G498" s="39" t="s">
        <v>1064</v>
      </c>
      <c r="H498" s="53" t="s">
        <v>3864</v>
      </c>
      <c r="I498" s="44" t="s">
        <v>1080</v>
      </c>
      <c r="J498" s="14" t="s">
        <v>1078</v>
      </c>
      <c r="K498" s="22" t="s">
        <v>3008</v>
      </c>
      <c r="L498" s="46">
        <v>44652</v>
      </c>
      <c r="M498" s="45" t="s">
        <v>200</v>
      </c>
      <c r="N498" s="45" t="s">
        <v>199</v>
      </c>
      <c r="O498" s="45" t="s">
        <v>199</v>
      </c>
      <c r="P498" s="47" t="s">
        <v>199</v>
      </c>
      <c r="Q498" s="45" t="s">
        <v>199</v>
      </c>
      <c r="R498" s="45" t="s">
        <v>199</v>
      </c>
      <c r="S498" s="45" t="s">
        <v>199</v>
      </c>
      <c r="T498" s="47" t="s">
        <v>4247</v>
      </c>
      <c r="U498" s="39" t="s">
        <v>3764</v>
      </c>
      <c r="V498" s="39" t="str">
        <f>CONCATENATE(U498, D498)</f>
        <v>https://example.websquare.kr/websquare/websquare.html?w2xPath=/guide/SelectBox/itemTooltipFormatter_SelectBox.xml</v>
      </c>
      <c r="W498" s="39" t="s">
        <v>4512</v>
      </c>
      <c r="X498" s="39" t="str">
        <f>CONCATENATE(W498, D498)</f>
        <v>https://docs.inswave.com/websquare/websquare.html?w2xPath=/support/api/guide/SelectBox/itemTooltipFormatter_SelectBox.xml</v>
      </c>
      <c r="Y498" s="48" t="str">
        <f>HYPERLINK(X498, H498)</f>
        <v>툴팁 커스터마이징</v>
      </c>
      <c r="Z498" s="4" t="str">
        <f>HYPERLINK(V498,H498)</f>
        <v>툴팁 커스터마이징</v>
      </c>
      <c r="AA498" s="4" t="str">
        <f>HYPERLINK(J498,H498)</f>
        <v>툴팁 커스터마이징</v>
      </c>
      <c r="AB498" s="39" t="str">
        <f t="shared" si="11"/>
        <v>https://docs.inswave.com/websquare/websquare.html?w2xPath=/support/api/guide/SelectBox/itemTooltipFormatter_SelectBox.xml</v>
      </c>
    </row>
    <row r="499" spans="1:28" s="39" customFormat="1" ht="102" x14ac:dyDescent="0.45">
      <c r="A499" s="37">
        <f>SUBTOTAL(3, $T$2:T499)</f>
        <v>412</v>
      </c>
      <c r="B499" s="38" t="s">
        <v>2</v>
      </c>
      <c r="C499" s="39" t="s">
        <v>2</v>
      </c>
      <c r="D499" s="39" t="s">
        <v>480</v>
      </c>
      <c r="E499" s="40" t="s">
        <v>479</v>
      </c>
      <c r="F499" s="41" t="s">
        <v>482</v>
      </c>
      <c r="G499" s="39" t="s">
        <v>473</v>
      </c>
      <c r="H499" s="53" t="s">
        <v>3602</v>
      </c>
      <c r="I499" s="44" t="s">
        <v>472</v>
      </c>
      <c r="J499" s="14" t="s">
        <v>481</v>
      </c>
      <c r="K499" s="22" t="s">
        <v>3012</v>
      </c>
      <c r="L499" s="46">
        <v>44531</v>
      </c>
      <c r="M499" s="14"/>
      <c r="N499" s="45" t="s">
        <v>199</v>
      </c>
      <c r="O499" s="45" t="s">
        <v>199</v>
      </c>
      <c r="P499" s="45" t="s">
        <v>199</v>
      </c>
      <c r="Q499" s="45" t="s">
        <v>199</v>
      </c>
      <c r="R499" s="45" t="s">
        <v>199</v>
      </c>
      <c r="S499" s="45" t="s">
        <v>199</v>
      </c>
      <c r="T499" s="47" t="s">
        <v>4247</v>
      </c>
      <c r="U499" s="39" t="s">
        <v>3764</v>
      </c>
      <c r="V499" s="39" t="str">
        <f>CONCATENATE(U499, D499)</f>
        <v>https://example.websquare.kr/websquare/websquare.html?w2xPath=/guide/SelectBox/preventKeyList_SelectBox.xml</v>
      </c>
      <c r="W499" s="39" t="s">
        <v>4512</v>
      </c>
      <c r="X499" s="39" t="str">
        <f>CONCATENATE(W499, D499)</f>
        <v>https://docs.inswave.com/websquare/websquare.html?w2xPath=/support/api/guide/SelectBox/preventKeyList_SelectBox.xml</v>
      </c>
      <c r="Y499" s="48" t="str">
        <f>HYPERLINK(X499, H499)</f>
        <v>특정 키 동작 방지</v>
      </c>
      <c r="Z499" s="4" t="str">
        <f>HYPERLINK(V499,H499)</f>
        <v>특정 키 동작 방지</v>
      </c>
      <c r="AA499" s="4" t="str">
        <f>HYPERLINK(J499,H499)</f>
        <v>특정 키 동작 방지</v>
      </c>
      <c r="AB499" s="39" t="str">
        <f t="shared" si="11"/>
        <v>https://docs.inswave.com/websquare/websquare.html?w2xPath=/support/api/guide/SelectBox/preventKeyList_SelectBox.xml</v>
      </c>
    </row>
    <row r="500" spans="1:28" s="39" customFormat="1" ht="102" x14ac:dyDescent="0.45">
      <c r="A500" s="37">
        <f>SUBTOTAL(3, $T$2:T500)</f>
        <v>413</v>
      </c>
      <c r="B500" s="38" t="s">
        <v>1921</v>
      </c>
      <c r="C500" s="38" t="s">
        <v>1921</v>
      </c>
      <c r="D500" s="39" t="s">
        <v>2746</v>
      </c>
      <c r="E500" s="40" t="s">
        <v>2742</v>
      </c>
      <c r="F500" s="41" t="s">
        <v>2743</v>
      </c>
      <c r="G500" s="39" t="s">
        <v>3767</v>
      </c>
      <c r="H500" s="49" t="s">
        <v>3833</v>
      </c>
      <c r="I500" s="44" t="s">
        <v>2714</v>
      </c>
      <c r="J500" s="14" t="s">
        <v>2747</v>
      </c>
      <c r="K500" s="22" t="s">
        <v>3019</v>
      </c>
      <c r="L500" s="46">
        <v>45444</v>
      </c>
      <c r="M500" s="45" t="s">
        <v>200</v>
      </c>
      <c r="N500" s="45"/>
      <c r="O500" s="45"/>
      <c r="P500" s="45"/>
      <c r="Q500" s="45" t="s">
        <v>199</v>
      </c>
      <c r="R500" s="45" t="s">
        <v>199</v>
      </c>
      <c r="S500" s="45" t="s">
        <v>199</v>
      </c>
      <c r="T500" s="47" t="s">
        <v>4247</v>
      </c>
      <c r="U500" s="39" t="s">
        <v>3764</v>
      </c>
      <c r="V500" s="39" t="str">
        <f>CONCATENATE(U500, D500)</f>
        <v>https://example.websquare.kr/websquare/websquare.html?w2xPath=/guide/SelectBox/visibleRowNum_setVisibleRowNum_SelectBox.xml</v>
      </c>
      <c r="W500" s="39" t="s">
        <v>4512</v>
      </c>
      <c r="X500" s="39" t="str">
        <f>CONCATENATE(W500, D500)</f>
        <v>https://docs.inswave.com/websquare/websquare.html?w2xPath=/support/api/guide/SelectBox/visibleRowNum_setVisibleRowNum_SelectBox.xml</v>
      </c>
      <c r="Y500" s="48" t="str">
        <f>HYPERLINK(X500, H500)</f>
        <v>표시할 행의 개수 설정</v>
      </c>
      <c r="Z500" s="4" t="str">
        <f>HYPERLINK(V500,H500)</f>
        <v>표시할 행의 개수 설정</v>
      </c>
      <c r="AA500" s="4" t="str">
        <f>HYPERLINK(J500,H500)</f>
        <v>표시할 행의 개수 설정</v>
      </c>
      <c r="AB500" s="39" t="str">
        <f t="shared" si="11"/>
        <v>https://docs.inswave.com/websquare/websquare.html?w2xPath=/support/api/guide/SelectBox/visibleRowNum_setVisibleRowNum_SelectBox.xml</v>
      </c>
    </row>
    <row r="501" spans="1:28" s="39" customFormat="1" ht="102" x14ac:dyDescent="0.45">
      <c r="A501" s="37">
        <f>SUBTOTAL(3, $T$2:T501)</f>
        <v>414</v>
      </c>
      <c r="B501" s="38" t="s">
        <v>3454</v>
      </c>
      <c r="C501" s="38" t="s">
        <v>3454</v>
      </c>
      <c r="D501" s="41" t="s">
        <v>3527</v>
      </c>
      <c r="E501" s="41" t="s">
        <v>3456</v>
      </c>
      <c r="F501" s="41" t="s">
        <v>3455</v>
      </c>
      <c r="G501" s="39" t="s">
        <v>3457</v>
      </c>
      <c r="H501" s="58" t="s">
        <v>4445</v>
      </c>
      <c r="I501" s="44" t="s">
        <v>3464</v>
      </c>
      <c r="J501" s="45" t="s">
        <v>2304</v>
      </c>
      <c r="K501" s="45" t="s">
        <v>2304</v>
      </c>
      <c r="L501" s="46">
        <v>45689</v>
      </c>
      <c r="M501" s="14"/>
      <c r="N501" s="45"/>
      <c r="O501" s="45"/>
      <c r="P501" s="45"/>
      <c r="Q501" s="45"/>
      <c r="R501" s="45"/>
      <c r="S501" s="45"/>
      <c r="T501" s="47" t="s">
        <v>4249</v>
      </c>
      <c r="U501" s="39" t="s">
        <v>3764</v>
      </c>
      <c r="V501" s="39" t="str">
        <f>CONCATENATE(U501, D501)</f>
        <v>https://example.websquare.kr/websquare/websquare.html?w2xPath=/guide/Slider/responsive_vertical_Slider.xml</v>
      </c>
      <c r="W501" s="39" t="s">
        <v>4512</v>
      </c>
      <c r="X501" s="39" t="str">
        <f>CONCATENATE(W501, D501)</f>
        <v>https://docs.inswave.com/websquare/websquare.html?w2xPath=/support/api/guide/Slider/responsive_vertical_Slider.xml</v>
      </c>
      <c r="Y501" s="48" t="str">
        <f>HYPERLINK(X501, H501)</f>
        <v>반응형 디자인 지원</v>
      </c>
      <c r="Z501" s="4" t="str">
        <f>HYPERLINK(V501,H501)</f>
        <v>반응형 디자인 지원</v>
      </c>
      <c r="AA501" s="45" t="s">
        <v>2304</v>
      </c>
      <c r="AB501" s="39" t="str">
        <f t="shared" si="11"/>
        <v>https://docs.inswave.com/websquare/websquare.html?w2xPath=/support/api/guide/Slider/responsive_vertical_Slider.xml</v>
      </c>
    </row>
    <row r="502" spans="1:28" s="39" customFormat="1" ht="102" x14ac:dyDescent="0.45">
      <c r="A502" s="37">
        <f>SUBTOTAL(3, $T$2:T502)</f>
        <v>415</v>
      </c>
      <c r="B502" s="38" t="s">
        <v>47</v>
      </c>
      <c r="C502" s="39" t="s">
        <v>47</v>
      </c>
      <c r="D502" s="39" t="s">
        <v>1685</v>
      </c>
      <c r="E502" s="40" t="s">
        <v>1911</v>
      </c>
      <c r="F502" s="41" t="s">
        <v>1677</v>
      </c>
      <c r="G502" s="39" t="s">
        <v>1678</v>
      </c>
      <c r="H502" s="53" t="s">
        <v>4518</v>
      </c>
      <c r="I502" s="39" t="s">
        <v>1666</v>
      </c>
      <c r="J502" s="14" t="s">
        <v>3432</v>
      </c>
      <c r="K502" s="22" t="s">
        <v>3024</v>
      </c>
      <c r="L502" s="46">
        <v>44774</v>
      </c>
      <c r="M502" s="14"/>
      <c r="N502" s="45" t="s">
        <v>199</v>
      </c>
      <c r="O502" s="45" t="s">
        <v>199</v>
      </c>
      <c r="P502" s="45" t="s">
        <v>199</v>
      </c>
      <c r="Q502" s="45" t="s">
        <v>199</v>
      </c>
      <c r="R502" s="45" t="s">
        <v>199</v>
      </c>
      <c r="S502" s="45" t="s">
        <v>199</v>
      </c>
      <c r="T502" s="47" t="s">
        <v>4247</v>
      </c>
      <c r="U502" s="39" t="s">
        <v>3764</v>
      </c>
      <c r="V502" s="39" t="str">
        <f>CONCATENATE(U502, D502)</f>
        <v>https://example.websquare.kr/websquare/websquare.html?w2xPath=/guide/Spinner/title_Spinner.xml</v>
      </c>
      <c r="W502" s="39" t="s">
        <v>4512</v>
      </c>
      <c r="X502" s="39" t="str">
        <f>CONCATENATE(W502, D502)</f>
        <v>https://docs.inswave.com/websquare/websquare.html?w2xPath=/support/api/guide/Spinner/title_Spinner.xml</v>
      </c>
      <c r="Y502" s="48" t="str">
        <f>HYPERLINK(X502, H502)</f>
        <v>HTML의 title 태그 지원</v>
      </c>
      <c r="Z502" s="4" t="str">
        <f>HYPERLINK(V502,H502)</f>
        <v>HTML의 title 태그 지원</v>
      </c>
      <c r="AA502" s="4" t="str">
        <f>HYPERLINK(J502,H502)</f>
        <v>HTML의 title 태그 지원</v>
      </c>
      <c r="AB502" s="39" t="str">
        <f t="shared" si="11"/>
        <v>https://docs.inswave.com/websquare/websquare.html?w2xPath=/support/api/guide/Spinner/title_Spinner.xml</v>
      </c>
    </row>
    <row r="503" spans="1:28" s="39" customFormat="1" ht="102" x14ac:dyDescent="0.45">
      <c r="A503" s="37">
        <f>SUBTOTAL(3, $T$2:T503)</f>
        <v>416</v>
      </c>
      <c r="B503" s="38" t="s">
        <v>47</v>
      </c>
      <c r="C503" s="39" t="s">
        <v>47</v>
      </c>
      <c r="D503" s="39" t="s">
        <v>697</v>
      </c>
      <c r="E503" s="40" t="s">
        <v>3230</v>
      </c>
      <c r="F503" s="41" t="s">
        <v>696</v>
      </c>
      <c r="G503" s="39" t="s">
        <v>689</v>
      </c>
      <c r="H503" s="53" t="s">
        <v>3868</v>
      </c>
      <c r="I503" s="44" t="s">
        <v>722</v>
      </c>
      <c r="J503" s="14" t="s">
        <v>702</v>
      </c>
      <c r="K503" s="22" t="s">
        <v>3021</v>
      </c>
      <c r="L503" s="46">
        <v>44166</v>
      </c>
      <c r="M503" s="14"/>
      <c r="N503" s="45" t="s">
        <v>199</v>
      </c>
      <c r="O503" s="45" t="s">
        <v>199</v>
      </c>
      <c r="P503" s="47" t="s">
        <v>199</v>
      </c>
      <c r="Q503" s="45" t="s">
        <v>199</v>
      </c>
      <c r="R503" s="45" t="s">
        <v>199</v>
      </c>
      <c r="S503" s="45" t="s">
        <v>199</v>
      </c>
      <c r="T503" s="47" t="s">
        <v>4247</v>
      </c>
      <c r="U503" s="39" t="s">
        <v>3764</v>
      </c>
      <c r="V503" s="39" t="str">
        <f>CONCATENATE(U503, D503)</f>
        <v>https://example.websquare.kr/websquare/websquare.html?w2xPath=/guide/Spinner/dateIncrementType_dataType_date_Spinner.xml</v>
      </c>
      <c r="W503" s="39" t="s">
        <v>4512</v>
      </c>
      <c r="X503" s="39" t="str">
        <f>CONCATENATE(W503, D503)</f>
        <v>https://docs.inswave.com/websquare/websquare.html?w2xPath=/support/api/guide/Spinner/dateIncrementType_dataType_date_Spinner.xml</v>
      </c>
      <c r="Y503" s="48" t="str">
        <f>HYPERLINK(X503, H503)</f>
        <v>날짜 증가 단위 설정</v>
      </c>
      <c r="Z503" s="4" t="str">
        <f>HYPERLINK(V503,H503)</f>
        <v>날짜 증가 단위 설정</v>
      </c>
      <c r="AA503" s="4" t="str">
        <f>HYPERLINK(J503,H503)</f>
        <v>날짜 증가 단위 설정</v>
      </c>
      <c r="AB503" s="39" t="str">
        <f t="shared" si="11"/>
        <v>https://docs.inswave.com/websquare/websquare.html?w2xPath=/support/api/guide/Spinner/dateIncrementType_dataType_date_Spinner.xml</v>
      </c>
    </row>
    <row r="504" spans="1:28" s="39" customFormat="1" ht="102" hidden="1" x14ac:dyDescent="0.45">
      <c r="A504" s="37">
        <f>SUBTOTAL(3, $T$2:T504)</f>
        <v>416</v>
      </c>
      <c r="B504" s="38" t="s">
        <v>4</v>
      </c>
      <c r="C504" s="39" t="s">
        <v>2635</v>
      </c>
      <c r="D504" s="39" t="s">
        <v>1481</v>
      </c>
      <c r="E504" s="40" t="s">
        <v>2616</v>
      </c>
      <c r="F504" s="41" t="s">
        <v>2639</v>
      </c>
      <c r="G504" s="39" t="s">
        <v>2611</v>
      </c>
      <c r="H504" s="43" t="s">
        <v>3627</v>
      </c>
      <c r="I504" s="39" t="s">
        <v>32</v>
      </c>
      <c r="J504" s="14" t="s">
        <v>2615</v>
      </c>
      <c r="K504" s="45" t="s">
        <v>2304</v>
      </c>
      <c r="L504" s="46">
        <v>43922</v>
      </c>
      <c r="M504" s="45" t="s">
        <v>199</v>
      </c>
      <c r="N504" s="45" t="s">
        <v>2265</v>
      </c>
      <c r="O504" s="45" t="s">
        <v>199</v>
      </c>
      <c r="P504" s="45" t="s">
        <v>199</v>
      </c>
      <c r="Q504" s="39" t="s">
        <v>2304</v>
      </c>
      <c r="R504" s="45" t="s">
        <v>199</v>
      </c>
      <c r="S504" s="45" t="s">
        <v>199</v>
      </c>
      <c r="T504" s="47" t="s">
        <v>4248</v>
      </c>
      <c r="U504" s="39" t="s">
        <v>3764</v>
      </c>
      <c r="V504" s="39" t="str">
        <f>CONCATENATE(U504, D504)</f>
        <v>https://example.websquare.kr/websquare/websquare.html?w2xPath=/guide/_Studio/SP4/Property_Upgrade_SP4_Studio.pdf</v>
      </c>
      <c r="W504" s="39" t="s">
        <v>4220</v>
      </c>
      <c r="X504" s="39" t="str">
        <f>CONCATENATE(W504, D504)</f>
        <v>https://docs.inswave.com/websquare/websquare.html?w2xPath=/support/api/samples/_Studio/SP4/Property_Upgrade_SP4_Studio.pdf</v>
      </c>
      <c r="Y504" s="48"/>
      <c r="Z504" s="4"/>
      <c r="AA504" s="4" t="str">
        <f>HYPERLINK(J504,H504)</f>
        <v>Property 뷰 설명</v>
      </c>
      <c r="AB504" s="39" t="str">
        <f t="shared" si="11"/>
        <v>https://docs.inswave.com/websquare/websquare.html?w2xPath=/support/api/samples/_Studio/SP4/Property_Upgrade_SP4_Studio.pdf</v>
      </c>
    </row>
    <row r="505" spans="1:28" s="39" customFormat="1" ht="102" hidden="1" x14ac:dyDescent="0.45">
      <c r="A505" s="37">
        <f>SUBTOTAL(3, $T$2:T505)</f>
        <v>416</v>
      </c>
      <c r="B505" s="38" t="s">
        <v>4</v>
      </c>
      <c r="C505" s="39" t="s">
        <v>4</v>
      </c>
      <c r="D505" s="39" t="s">
        <v>1458</v>
      </c>
      <c r="E505" s="40" t="s">
        <v>2604</v>
      </c>
      <c r="F505" s="41" t="s">
        <v>2638</v>
      </c>
      <c r="G505" s="39" t="s">
        <v>2608</v>
      </c>
      <c r="H505" s="43" t="s">
        <v>3624</v>
      </c>
      <c r="I505" s="39" t="s">
        <v>32</v>
      </c>
      <c r="J505" s="14" t="s">
        <v>2605</v>
      </c>
      <c r="K505" s="45" t="s">
        <v>2304</v>
      </c>
      <c r="L505" s="46">
        <v>43739</v>
      </c>
      <c r="M505" s="14"/>
      <c r="N505" s="45" t="s">
        <v>2265</v>
      </c>
      <c r="O505" s="45" t="s">
        <v>199</v>
      </c>
      <c r="P505" s="45" t="s">
        <v>199</v>
      </c>
      <c r="Q505" s="39" t="s">
        <v>2304</v>
      </c>
      <c r="R505" s="45" t="s">
        <v>199</v>
      </c>
      <c r="S505" s="45" t="s">
        <v>199</v>
      </c>
      <c r="T505" s="47" t="s">
        <v>4248</v>
      </c>
      <c r="U505" s="39" t="s">
        <v>3764</v>
      </c>
      <c r="V505" s="39" t="str">
        <f>CONCATENATE(U505, D505)</f>
        <v>https://example.websquare.kr/websquare/websquare.html?w2xPath=/guide/_Studio/Common/gridlines_ruler_guides_Studio.pdf</v>
      </c>
      <c r="W505" s="39" t="s">
        <v>4220</v>
      </c>
      <c r="X505" s="39" t="str">
        <f>CONCATENATE(W505, D505)</f>
        <v>https://docs.inswave.com/websquare/websquare.html?w2xPath=/support/api/samples/_Studio/Common/gridlines_ruler_guides_Studio.pdf</v>
      </c>
      <c r="Y505" s="48"/>
      <c r="Z505" s="4"/>
      <c r="AA505" s="4" t="str">
        <f>HYPERLINK(J505,H505)</f>
        <v>눈금선/눈금자/안내선</v>
      </c>
      <c r="AB505" s="39" t="str">
        <f t="shared" si="11"/>
        <v>https://docs.inswave.com/websquare/websquare.html?w2xPath=/support/api/samples/_Studio/Common/gridlines_ruler_guides_Studio.pdf</v>
      </c>
    </row>
    <row r="506" spans="1:28" s="39" customFormat="1" ht="102" hidden="1" x14ac:dyDescent="0.45">
      <c r="A506" s="37">
        <f>SUBTOTAL(3, $T$2:T506)</f>
        <v>416</v>
      </c>
      <c r="B506" s="38" t="s">
        <v>4</v>
      </c>
      <c r="C506" s="39" t="s">
        <v>4</v>
      </c>
      <c r="D506" s="39" t="s">
        <v>1449</v>
      </c>
      <c r="E506" s="40" t="s">
        <v>889</v>
      </c>
      <c r="F506" s="41" t="s">
        <v>797</v>
      </c>
      <c r="G506" s="44" t="s">
        <v>798</v>
      </c>
      <c r="H506" s="43" t="s">
        <v>3557</v>
      </c>
      <c r="J506" s="14" t="s">
        <v>3451</v>
      </c>
      <c r="K506" s="45" t="s">
        <v>3550</v>
      </c>
      <c r="L506" s="46">
        <v>43556</v>
      </c>
      <c r="M506" s="14"/>
      <c r="N506" s="45"/>
      <c r="O506" s="45"/>
      <c r="P506" s="45"/>
      <c r="Q506" s="45"/>
      <c r="R506" s="45"/>
      <c r="S506" s="45"/>
      <c r="T506" s="47" t="s">
        <v>4248</v>
      </c>
      <c r="U506" s="39" t="s">
        <v>3764</v>
      </c>
      <c r="V506" s="39" t="str">
        <f>CONCATENATE(U506, D506)</f>
        <v>https://example.websquare.kr/websquare/websquare.html?w2xPath=/guide/_Studio/Common/page_template_Studio.pdf</v>
      </c>
      <c r="W506" s="39" t="s">
        <v>4220</v>
      </c>
      <c r="X506" s="39" t="str">
        <f>CONCATENATE(W506, D506)</f>
        <v>https://docs.inswave.com/websquare/websquare.html?w2xPath=/support/api/samples/_Studio/Common/page_template_Studio.pdf</v>
      </c>
      <c r="Y506" s="48"/>
      <c r="Z506" s="4"/>
      <c r="AA506" s="4" t="str">
        <f>HYPERLINK(J506,H506)</f>
        <v>디자인 썸네일</v>
      </c>
      <c r="AB506" s="39" t="str">
        <f t="shared" si="11"/>
        <v>https://docs.inswave.com/websquare/websquare.html?w2xPath=/support/api/samples/_Studio/Common/page_template_Studio.pdf</v>
      </c>
    </row>
    <row r="507" spans="1:28" s="39" customFormat="1" ht="102" hidden="1" x14ac:dyDescent="0.45">
      <c r="A507" s="37">
        <f>SUBTOTAL(3, $T$2:T507)</f>
        <v>416</v>
      </c>
      <c r="B507" s="38" t="s">
        <v>4</v>
      </c>
      <c r="C507" s="39" t="s">
        <v>4</v>
      </c>
      <c r="D507" s="39" t="s">
        <v>1484</v>
      </c>
      <c r="E507" s="40" t="s">
        <v>1139</v>
      </c>
      <c r="F507" s="41" t="s">
        <v>1138</v>
      </c>
      <c r="G507" s="39" t="s">
        <v>1136</v>
      </c>
      <c r="H507" s="43" t="s">
        <v>3590</v>
      </c>
      <c r="J507" s="14" t="s">
        <v>1137</v>
      </c>
      <c r="K507" s="45" t="s">
        <v>3550</v>
      </c>
      <c r="L507" s="46">
        <v>43678</v>
      </c>
      <c r="M507" s="14"/>
      <c r="N507" s="45"/>
      <c r="O507" s="45"/>
      <c r="P507" s="45"/>
      <c r="Q507" s="45"/>
      <c r="R507" s="45"/>
      <c r="S507" s="45"/>
      <c r="T507" s="47" t="s">
        <v>4248</v>
      </c>
      <c r="U507" s="39" t="s">
        <v>3764</v>
      </c>
      <c r="V507" s="39" t="str">
        <f>CONCATENATE(U507, D507)</f>
        <v>https://example.websquare.kr/websquare/websquare.html?w2xPath=/guide/_Studio/Common/adding_snippets_Studio.pdf</v>
      </c>
      <c r="W507" s="39" t="s">
        <v>4220</v>
      </c>
      <c r="X507" s="39" t="str">
        <f>CONCATENATE(W507, D507)</f>
        <v>https://docs.inswave.com/websquare/websquare.html?w2xPath=/support/api/samples/_Studio/Common/adding_snippets_Studio.pdf</v>
      </c>
      <c r="Y507" s="48"/>
      <c r="Z507" s="4"/>
      <c r="AA507" s="4" t="str">
        <f>HYPERLINK(J507,H507)</f>
        <v>스니핏 추가</v>
      </c>
      <c r="AB507" s="39" t="str">
        <f t="shared" si="11"/>
        <v>https://docs.inswave.com/websquare/websquare.html?w2xPath=/support/api/samples/_Studio/Common/adding_snippets_Studio.pdf</v>
      </c>
    </row>
    <row r="508" spans="1:28" s="39" customFormat="1" ht="102" hidden="1" x14ac:dyDescent="0.45">
      <c r="A508" s="37">
        <f>SUBTOTAL(3, $T$2:T508)</f>
        <v>416</v>
      </c>
      <c r="B508" s="38" t="s">
        <v>4</v>
      </c>
      <c r="C508" s="39" t="s">
        <v>4</v>
      </c>
      <c r="D508" s="39" t="s">
        <v>1456</v>
      </c>
      <c r="E508" s="40" t="s">
        <v>1146</v>
      </c>
      <c r="F508" s="41" t="s">
        <v>1135</v>
      </c>
      <c r="G508" s="39" t="s">
        <v>1147</v>
      </c>
      <c r="H508" s="43" t="s">
        <v>3589</v>
      </c>
      <c r="J508" s="14" t="s">
        <v>1634</v>
      </c>
      <c r="K508" s="45" t="s">
        <v>3550</v>
      </c>
      <c r="L508" s="46">
        <v>43678</v>
      </c>
      <c r="M508" s="14"/>
      <c r="N508" s="45"/>
      <c r="O508" s="45"/>
      <c r="P508" s="45"/>
      <c r="Q508" s="45"/>
      <c r="R508" s="45"/>
      <c r="S508" s="45"/>
      <c r="T508" s="47" t="s">
        <v>4248</v>
      </c>
      <c r="U508" s="39" t="s">
        <v>3764</v>
      </c>
      <c r="V508" s="39" t="str">
        <f>CONCATENATE(U508, D508)</f>
        <v>https://example.websquare.kr/websquare/websquare.html?w2xPath=/guide/_Studio/Common/adding_events_Studio.pdf</v>
      </c>
      <c r="W508" s="39" t="s">
        <v>4220</v>
      </c>
      <c r="X508" s="39" t="str">
        <f>CONCATENATE(W508, D508)</f>
        <v>https://docs.inswave.com/websquare/websquare.html?w2xPath=/support/api/samples/_Studio/Common/adding_events_Studio.pdf</v>
      </c>
      <c r="Y508" s="48"/>
      <c r="Z508" s="4"/>
      <c r="AA508" s="4" t="str">
        <f>HYPERLINK(J508,H508)</f>
        <v>이벤트 추가</v>
      </c>
      <c r="AB508" s="39" t="str">
        <f t="shared" si="11"/>
        <v>https://docs.inswave.com/websquare/websquare.html?w2xPath=/support/api/samples/_Studio/Common/adding_events_Studio.pdf</v>
      </c>
    </row>
    <row r="509" spans="1:28" s="39" customFormat="1" ht="102" hidden="1" x14ac:dyDescent="0.45">
      <c r="A509" s="37">
        <f>SUBTOTAL(3, $T$2:T509)</f>
        <v>416</v>
      </c>
      <c r="B509" s="38" t="s">
        <v>4</v>
      </c>
      <c r="C509" s="39" t="s">
        <v>4</v>
      </c>
      <c r="D509" s="39" t="s">
        <v>1455</v>
      </c>
      <c r="E509" s="40" t="s">
        <v>1131</v>
      </c>
      <c r="F509" s="41" t="s">
        <v>1129</v>
      </c>
      <c r="G509" s="39" t="s">
        <v>1130</v>
      </c>
      <c r="H509" s="43" t="s">
        <v>3588</v>
      </c>
      <c r="I509" s="44" t="s">
        <v>305</v>
      </c>
      <c r="J509" s="14" t="s">
        <v>1132</v>
      </c>
      <c r="K509" s="45" t="s">
        <v>3550</v>
      </c>
      <c r="L509" s="46">
        <v>43647</v>
      </c>
      <c r="M509" s="14"/>
      <c r="N509" s="45"/>
      <c r="O509" s="45"/>
      <c r="P509" s="45"/>
      <c r="Q509" s="45"/>
      <c r="R509" s="45"/>
      <c r="S509" s="45"/>
      <c r="T509" s="47" t="s">
        <v>4248</v>
      </c>
      <c r="U509" s="39" t="s">
        <v>3764</v>
      </c>
      <c r="V509" s="39" t="str">
        <f>CONCATENATE(U509, D509)</f>
        <v>https://example.websquare.kr/websquare/websquare.html?w2xPath=/guide/_Studio/Common/component_property_search_Studio.pdf</v>
      </c>
      <c r="W509" s="39" t="s">
        <v>4220</v>
      </c>
      <c r="X509" s="39" t="str">
        <f>CONCATENATE(W509, D509)</f>
        <v>https://docs.inswave.com/websquare/websquare.html?w2xPath=/support/api/samples/_Studio/Common/component_property_search_Studio.pdf</v>
      </c>
      <c r="Y509" s="48"/>
      <c r="Z509" s="4"/>
      <c r="AA509" s="4" t="str">
        <f>HYPERLINK(J509,H509)</f>
        <v>컴포넌트 검색</v>
      </c>
      <c r="AB509" s="39" t="str">
        <f t="shared" si="11"/>
        <v>https://docs.inswave.com/websquare/websquare.html?w2xPath=/support/api/samples/_Studio/Common/component_property_search_Studio.pdf</v>
      </c>
    </row>
    <row r="510" spans="1:28" s="39" customFormat="1" ht="102" hidden="1" x14ac:dyDescent="0.45">
      <c r="A510" s="37">
        <f>SUBTOTAL(3, $T$2:T510)</f>
        <v>416</v>
      </c>
      <c r="B510" s="38" t="s">
        <v>4</v>
      </c>
      <c r="C510" s="39" t="s">
        <v>4</v>
      </c>
      <c r="D510" s="39" t="s">
        <v>1459</v>
      </c>
      <c r="E510" s="40" t="s">
        <v>2606</v>
      </c>
      <c r="F510" s="41" t="s">
        <v>2640</v>
      </c>
      <c r="G510" s="44" t="s">
        <v>1203</v>
      </c>
      <c r="H510" s="43" t="s">
        <v>3625</v>
      </c>
      <c r="I510" s="39" t="s">
        <v>32</v>
      </c>
      <c r="J510" s="14" t="s">
        <v>2607</v>
      </c>
      <c r="K510" s="45" t="s">
        <v>2304</v>
      </c>
      <c r="L510" s="46">
        <v>43739</v>
      </c>
      <c r="M510" s="14"/>
      <c r="N510" s="45" t="s">
        <v>2265</v>
      </c>
      <c r="O510" s="45" t="s">
        <v>199</v>
      </c>
      <c r="P510" s="45" t="s">
        <v>199</v>
      </c>
      <c r="Q510" s="39" t="s">
        <v>2304</v>
      </c>
      <c r="R510" s="45" t="s">
        <v>199</v>
      </c>
      <c r="S510" s="45" t="s">
        <v>199</v>
      </c>
      <c r="T510" s="47" t="s">
        <v>4248</v>
      </c>
      <c r="U510" s="39" t="s">
        <v>3764</v>
      </c>
      <c r="V510" s="39" t="str">
        <f>CONCATENATE(U510, D510)</f>
        <v>https://example.websquare.kr/websquare/websquare.html?w2xPath=/guide/_Studio/Common/search_Studio.pdf</v>
      </c>
      <c r="W510" s="39" t="s">
        <v>4220</v>
      </c>
      <c r="X510" s="39" t="str">
        <f>CONCATENATE(W510, D510)</f>
        <v>https://docs.inswave.com/websquare/websquare.html?w2xPath=/support/api/samples/_Studio/Common/search_Studio.pdf</v>
      </c>
      <c r="Y510" s="48"/>
      <c r="Z510" s="4"/>
      <c r="AA510" s="4" t="str">
        <f>HYPERLINK(J510,H510)</f>
        <v>페이지 파일 검색</v>
      </c>
      <c r="AB510" s="39" t="str">
        <f t="shared" si="11"/>
        <v>https://docs.inswave.com/websquare/websquare.html?w2xPath=/support/api/samples/_Studio/Common/search_Studio.pdf</v>
      </c>
    </row>
    <row r="511" spans="1:28" s="39" customFormat="1" ht="102" hidden="1" x14ac:dyDescent="0.45">
      <c r="A511" s="37">
        <f>SUBTOTAL(3, $T$2:T511)</f>
        <v>416</v>
      </c>
      <c r="B511" s="38" t="s">
        <v>21</v>
      </c>
      <c r="C511" s="39" t="s">
        <v>1125</v>
      </c>
      <c r="D511" s="39" t="s">
        <v>2694</v>
      </c>
      <c r="E511" s="40" t="s">
        <v>2689</v>
      </c>
      <c r="F511" s="41" t="s">
        <v>2688</v>
      </c>
      <c r="G511" s="39" t="s">
        <v>2691</v>
      </c>
      <c r="H511" s="67" t="s">
        <v>3637</v>
      </c>
      <c r="J511" s="14" t="s">
        <v>2690</v>
      </c>
      <c r="K511" s="22" t="s">
        <v>3105</v>
      </c>
      <c r="L511" s="46">
        <v>43647</v>
      </c>
      <c r="M511" s="14"/>
      <c r="N511" s="45"/>
      <c r="O511" s="45"/>
      <c r="P511" s="45"/>
      <c r="Q511" s="45" t="s">
        <v>199</v>
      </c>
      <c r="R511" s="45" t="s">
        <v>199</v>
      </c>
      <c r="S511" s="45" t="s">
        <v>199</v>
      </c>
      <c r="T511" s="47" t="s">
        <v>4515</v>
      </c>
      <c r="U511" s="39" t="s">
        <v>3764</v>
      </c>
      <c r="V511" s="39" t="str">
        <f>CONCATENATE(U511, D511)</f>
        <v>https://example.websquare.kr/websquare/websquare.html?w2xPath=/guide/_Design/adding_CSS_Design/</v>
      </c>
      <c r="W511" s="39" t="s">
        <v>4220</v>
      </c>
      <c r="X511" s="39" t="str">
        <f>CONCATENATE(W511, D511)</f>
        <v>https://docs.inswave.com/websquare/websquare.html?w2xPath=/support/api/samples/_Design/adding_CSS_Design/</v>
      </c>
      <c r="Y511" s="48"/>
      <c r="Z511" s="4"/>
      <c r="AA511" s="4" t="str">
        <f>HYPERLINK(J511,H511)</f>
        <v>CSS 적용 3가지 방법</v>
      </c>
      <c r="AB511" s="39" t="str">
        <f t="shared" ref="AB511:AB543" si="12">CONCATENATE(W511, D511)</f>
        <v>https://docs.inswave.com/websquare/websquare.html?w2xPath=/support/api/samples/_Design/adding_CSS_Design/</v>
      </c>
    </row>
    <row r="512" spans="1:28" s="39" customFormat="1" ht="102" hidden="1" x14ac:dyDescent="0.45">
      <c r="A512" s="37">
        <f>SUBTOTAL(3, $T$2:T512)</f>
        <v>416</v>
      </c>
      <c r="B512" s="38" t="s">
        <v>21</v>
      </c>
      <c r="C512" s="39" t="s">
        <v>1125</v>
      </c>
      <c r="D512" s="39" t="s">
        <v>2693</v>
      </c>
      <c r="E512" s="40" t="s">
        <v>2695</v>
      </c>
      <c r="F512" s="41" t="s">
        <v>2692</v>
      </c>
      <c r="G512" s="39" t="s">
        <v>2697</v>
      </c>
      <c r="H512" s="67" t="s">
        <v>3638</v>
      </c>
      <c r="I512" s="39" t="s">
        <v>1057</v>
      </c>
      <c r="J512" s="14" t="s">
        <v>2696</v>
      </c>
      <c r="K512" s="22" t="s">
        <v>3106</v>
      </c>
      <c r="L512" s="46">
        <v>43647</v>
      </c>
      <c r="M512" s="14"/>
      <c r="N512" s="45"/>
      <c r="O512" s="45"/>
      <c r="P512" s="45"/>
      <c r="Q512" s="45" t="s">
        <v>199</v>
      </c>
      <c r="R512" s="45" t="s">
        <v>199</v>
      </c>
      <c r="S512" s="45" t="s">
        <v>199</v>
      </c>
      <c r="T512" s="47" t="s">
        <v>4515</v>
      </c>
      <c r="U512" s="39" t="s">
        <v>3764</v>
      </c>
      <c r="V512" s="39" t="str">
        <f>CONCATENATE(U512, D512)</f>
        <v>https://example.websquare.kr/websquare/websquare.html?w2xPath=/guide/_Design/block_styling_Design.xml</v>
      </c>
      <c r="W512" s="39" t="s">
        <v>4220</v>
      </c>
      <c r="X512" s="39" t="str">
        <f>CONCATENATE(W512, D512)</f>
        <v>https://docs.inswave.com/websquare/websquare.html?w2xPath=/support/api/samples/_Design/block_styling_Design.xml</v>
      </c>
      <c r="Y512" s="48"/>
      <c r="Z512" s="4"/>
      <c r="AA512" s="4" t="str">
        <f>HYPERLINK(J512,H512)</f>
        <v>블록 레벨 스타일링 팁</v>
      </c>
      <c r="AB512" s="39" t="str">
        <f t="shared" si="12"/>
        <v>https://docs.inswave.com/websquare/websquare.html?w2xPath=/support/api/samples/_Design/block_styling_Design.xml</v>
      </c>
    </row>
    <row r="513" spans="1:30" s="39" customFormat="1" ht="102" hidden="1" x14ac:dyDescent="0.45">
      <c r="A513" s="37">
        <f>SUBTOTAL(3, $T$2:T513)</f>
        <v>416</v>
      </c>
      <c r="B513" s="38" t="s">
        <v>21</v>
      </c>
      <c r="C513" s="39" t="s">
        <v>1125</v>
      </c>
      <c r="D513" s="39" t="s">
        <v>2705</v>
      </c>
      <c r="E513" s="40" t="s">
        <v>2698</v>
      </c>
      <c r="F513" s="41" t="s">
        <v>1126</v>
      </c>
      <c r="G513" s="39" t="s">
        <v>1127</v>
      </c>
      <c r="H513" s="67" t="s">
        <v>3639</v>
      </c>
      <c r="I513" s="39" t="s">
        <v>1057</v>
      </c>
      <c r="J513" s="14" t="s">
        <v>2699</v>
      </c>
      <c r="K513" s="22" t="s">
        <v>3108</v>
      </c>
      <c r="L513" s="46">
        <v>43647</v>
      </c>
      <c r="M513" s="14"/>
      <c r="N513" s="45"/>
      <c r="O513" s="45"/>
      <c r="P513" s="45"/>
      <c r="Q513" s="45" t="s">
        <v>199</v>
      </c>
      <c r="R513" s="45" t="s">
        <v>199</v>
      </c>
      <c r="S513" s="45" t="s">
        <v>199</v>
      </c>
      <c r="T513" s="47" t="s">
        <v>4515</v>
      </c>
      <c r="U513" s="39" t="s">
        <v>3764</v>
      </c>
      <c r="V513" s="39" t="str">
        <f>CONCATENATE(U513, D513)</f>
        <v>https://example.websquare.kr/websquare/websquare.html?w2xPath=/guide/_Design/margin_padding_Design.xml</v>
      </c>
      <c r="W513" s="39" t="s">
        <v>4220</v>
      </c>
      <c r="X513" s="39" t="str">
        <f>CONCATENATE(W513, D513)</f>
        <v>https://docs.inswave.com/websquare/websquare.html?w2xPath=/support/api/samples/_Design/margin_padding_Design.xml</v>
      </c>
      <c r="Y513" s="48"/>
      <c r="Z513" s="4"/>
      <c r="AA513" s="4" t="str">
        <f>HYPERLINK(J513,H513)</f>
        <v>margin과 padding 비교</v>
      </c>
      <c r="AB513" s="39" t="str">
        <f t="shared" si="12"/>
        <v>https://docs.inswave.com/websquare/websquare.html?w2xPath=/support/api/samples/_Design/margin_padding_Design.xml</v>
      </c>
    </row>
    <row r="514" spans="1:30" s="39" customFormat="1" ht="102" hidden="1" x14ac:dyDescent="0.45">
      <c r="A514" s="37">
        <f>SUBTOTAL(3, $T$2:T514)</f>
        <v>416</v>
      </c>
      <c r="B514" s="38" t="s">
        <v>21</v>
      </c>
      <c r="C514" s="39" t="s">
        <v>1125</v>
      </c>
      <c r="D514" s="39" t="s">
        <v>2704</v>
      </c>
      <c r="E514" s="40" t="s">
        <v>2701</v>
      </c>
      <c r="F514" s="41" t="s">
        <v>2700</v>
      </c>
      <c r="G514" s="39" t="s">
        <v>2703</v>
      </c>
      <c r="H514" s="67" t="s">
        <v>3640</v>
      </c>
      <c r="I514" s="39" t="s">
        <v>305</v>
      </c>
      <c r="J514" s="14" t="s">
        <v>2702</v>
      </c>
      <c r="K514" s="22" t="s">
        <v>3107</v>
      </c>
      <c r="L514" s="46">
        <v>43647</v>
      </c>
      <c r="M514" s="14"/>
      <c r="N514" s="45"/>
      <c r="O514" s="45"/>
      <c r="P514" s="45"/>
      <c r="Q514" s="45" t="s">
        <v>199</v>
      </c>
      <c r="R514" s="45" t="s">
        <v>199</v>
      </c>
      <c r="S514" s="45" t="s">
        <v>199</v>
      </c>
      <c r="T514" s="47" t="s">
        <v>4515</v>
      </c>
      <c r="U514" s="39" t="s">
        <v>3764</v>
      </c>
      <c r="V514" s="39" t="str">
        <f>CONCATENATE(U514, D514)</f>
        <v>https://example.websquare.kr/websquare/websquare.html?w2xPath=/guide/_Design/float_overflow_Design.xml</v>
      </c>
      <c r="W514" s="39" t="s">
        <v>4220</v>
      </c>
      <c r="X514" s="39" t="str">
        <f>CONCATENATE(W514, D514)</f>
        <v>https://docs.inswave.com/websquare/websquare.html?w2xPath=/support/api/samples/_Design/float_overflow_Design.xml</v>
      </c>
      <c r="Y514" s="48"/>
      <c r="Z514" s="4"/>
      <c r="AA514" s="4" t="str">
        <f>HYPERLINK(J514,H514)</f>
        <v>float 및 overflow 설명</v>
      </c>
      <c r="AB514" s="39" t="str">
        <f t="shared" si="12"/>
        <v>https://docs.inswave.com/websquare/websquare.html?w2xPath=/support/api/samples/_Design/float_overflow_Design.xml</v>
      </c>
    </row>
    <row r="515" spans="1:30" s="39" customFormat="1" ht="102" x14ac:dyDescent="0.45">
      <c r="A515" s="37">
        <f>SUBTOTAL(3, $T$2:T515)</f>
        <v>417</v>
      </c>
      <c r="B515" s="38" t="s">
        <v>47</v>
      </c>
      <c r="C515" s="39" t="s">
        <v>47</v>
      </c>
      <c r="D515" s="39" t="s">
        <v>698</v>
      </c>
      <c r="E515" s="40" t="s">
        <v>719</v>
      </c>
      <c r="F515" s="41" t="s">
        <v>695</v>
      </c>
      <c r="G515" s="39" t="s">
        <v>690</v>
      </c>
      <c r="H515" s="53" t="s">
        <v>3869</v>
      </c>
      <c r="I515" s="44" t="s">
        <v>720</v>
      </c>
      <c r="J515" s="14" t="s">
        <v>699</v>
      </c>
      <c r="K515" s="22" t="s">
        <v>3022</v>
      </c>
      <c r="L515" s="46">
        <v>44166</v>
      </c>
      <c r="M515" s="14"/>
      <c r="N515" s="45" t="s">
        <v>199</v>
      </c>
      <c r="O515" s="45" t="s">
        <v>199</v>
      </c>
      <c r="P515" s="47" t="s">
        <v>199</v>
      </c>
      <c r="Q515" s="45" t="s">
        <v>199</v>
      </c>
      <c r="R515" s="45" t="s">
        <v>199</v>
      </c>
      <c r="S515" s="45" t="s">
        <v>199</v>
      </c>
      <c r="T515" s="47" t="s">
        <v>4247</v>
      </c>
      <c r="U515" s="39" t="s">
        <v>3764</v>
      </c>
      <c r="V515" s="39" t="str">
        <f>CONCATENATE(U515, D515)</f>
        <v>https://example.websquare.kr/websquare/websquare.html?w2xPath=/guide/Spinner/dateIncrementType_dataType_time_Spinner.xml</v>
      </c>
      <c r="W515" s="39" t="s">
        <v>4512</v>
      </c>
      <c r="X515" s="39" t="str">
        <f>CONCATENATE(W515, D515)</f>
        <v>https://docs.inswave.com/websquare/websquare.html?w2xPath=/support/api/guide/Spinner/dateIncrementType_dataType_time_Spinner.xml</v>
      </c>
      <c r="Y515" s="48" t="str">
        <f>HYPERLINK(X515, H515)</f>
        <v>시간 증가 단위 설정</v>
      </c>
      <c r="Z515" s="4" t="str">
        <f>HYPERLINK(V515,H515)</f>
        <v>시간 증가 단위 설정</v>
      </c>
      <c r="AA515" s="4" t="str">
        <f>HYPERLINK(J515,H515)</f>
        <v>시간 증가 단위 설정</v>
      </c>
      <c r="AB515" s="39" t="str">
        <f t="shared" si="12"/>
        <v>https://docs.inswave.com/websquare/websquare.html?w2xPath=/support/api/guide/Spinner/dateIncrementType_dataType_time_Spinner.xml</v>
      </c>
    </row>
    <row r="516" spans="1:30" s="39" customFormat="1" ht="102" x14ac:dyDescent="0.45">
      <c r="A516" s="37">
        <f>SUBTOTAL(3, $T$2:T516)</f>
        <v>418</v>
      </c>
      <c r="B516" s="38" t="s">
        <v>47</v>
      </c>
      <c r="C516" s="39" t="s">
        <v>47</v>
      </c>
      <c r="D516" s="39" t="s">
        <v>1340</v>
      </c>
      <c r="E516" s="40" t="s">
        <v>2060</v>
      </c>
      <c r="F516" s="41" t="s">
        <v>1338</v>
      </c>
      <c r="G516" s="39" t="s">
        <v>1339</v>
      </c>
      <c r="H516" s="53" t="s">
        <v>3870</v>
      </c>
      <c r="I516" s="44" t="s">
        <v>1346</v>
      </c>
      <c r="J516" s="14" t="s">
        <v>1352</v>
      </c>
      <c r="K516" s="22" t="s">
        <v>3020</v>
      </c>
      <c r="L516" s="46">
        <v>44166</v>
      </c>
      <c r="M516" s="14"/>
      <c r="N516" s="45" t="s">
        <v>199</v>
      </c>
      <c r="O516" s="45" t="s">
        <v>199</v>
      </c>
      <c r="P516" s="45" t="s">
        <v>199</v>
      </c>
      <c r="Q516" s="45" t="s">
        <v>199</v>
      </c>
      <c r="R516" s="45" t="s">
        <v>199</v>
      </c>
      <c r="S516" s="45" t="s">
        <v>199</v>
      </c>
      <c r="T516" s="47" t="s">
        <v>4247</v>
      </c>
      <c r="U516" s="39" t="s">
        <v>3764</v>
      </c>
      <c r="V516" s="39" t="str">
        <f>CONCATENATE(U516, D516)</f>
        <v>https://example.websquare.kr/websquare/websquare.html?w2xPath=/guide/Spinner/autoFocus_nextTabID_dataType_dateIncrementType_Spinner.xml</v>
      </c>
      <c r="W516" s="39" t="s">
        <v>4512</v>
      </c>
      <c r="X516" s="39" t="str">
        <f>CONCATENATE(W516, D516)</f>
        <v>https://docs.inswave.com/websquare/websquare.html?w2xPath=/support/api/guide/Spinner/autoFocus_nextTabID_dataType_dateIncrementType_Spinner.xml</v>
      </c>
      <c r="Y516" s="48" t="str">
        <f>HYPERLINK(X516, H516)</f>
        <v>자동 포커스 이동</v>
      </c>
      <c r="Z516" s="4" t="str">
        <f>HYPERLINK(V516,H516)</f>
        <v>자동 포커스 이동</v>
      </c>
      <c r="AA516" s="4" t="str">
        <f>HYPERLINK(J516,H516)</f>
        <v>자동 포커스 이동</v>
      </c>
      <c r="AB516" s="39" t="str">
        <f t="shared" si="12"/>
        <v>https://docs.inswave.com/websquare/websquare.html?w2xPath=/support/api/guide/Spinner/autoFocus_nextTabID_dataType_dateIncrementType_Spinner.xml</v>
      </c>
    </row>
    <row r="517" spans="1:30" s="39" customFormat="1" ht="102" x14ac:dyDescent="0.45">
      <c r="A517" s="37">
        <f>SUBTOTAL(3, $T$2:T517)</f>
        <v>419</v>
      </c>
      <c r="B517" s="38" t="s">
        <v>47</v>
      </c>
      <c r="C517" s="39" t="s">
        <v>47</v>
      </c>
      <c r="D517" s="39" t="s">
        <v>1624</v>
      </c>
      <c r="E517" s="40" t="s">
        <v>670</v>
      </c>
      <c r="F517" s="41" t="s">
        <v>684</v>
      </c>
      <c r="G517" s="39" t="s">
        <v>686</v>
      </c>
      <c r="H517" s="53" t="s">
        <v>3872</v>
      </c>
      <c r="I517" s="44" t="s">
        <v>685</v>
      </c>
      <c r="J517" s="14" t="s">
        <v>683</v>
      </c>
      <c r="K517" s="22" t="s">
        <v>3025</v>
      </c>
      <c r="L517" s="46">
        <v>44228</v>
      </c>
      <c r="M517" s="14"/>
      <c r="N517" s="45" t="s">
        <v>199</v>
      </c>
      <c r="O517" s="45" t="s">
        <v>199</v>
      </c>
      <c r="P517" s="47" t="s">
        <v>199</v>
      </c>
      <c r="Q517" s="45" t="s">
        <v>199</v>
      </c>
      <c r="R517" s="45" t="s">
        <v>199</v>
      </c>
      <c r="S517" s="45" t="s">
        <v>199</v>
      </c>
      <c r="T517" s="47" t="s">
        <v>4247</v>
      </c>
      <c r="U517" s="39" t="s">
        <v>3764</v>
      </c>
      <c r="V517" s="39" t="str">
        <f>CONCATENATE(U517, D517)</f>
        <v>https://example.websquare.kr/websquare/websquare.html?w2xPath=/guide/Spinner/useAlert_Spinner.xml</v>
      </c>
      <c r="W517" s="39" t="s">
        <v>4512</v>
      </c>
      <c r="X517" s="39" t="str">
        <f>CONCATENATE(W517, D517)</f>
        <v>https://docs.inswave.com/websquare/websquare.html?w2xPath=/support/api/guide/Spinner/useAlert_Spinner.xml</v>
      </c>
      <c r="Y517" s="48" t="str">
        <f>HYPERLINK(X517, H517)</f>
        <v>잘못 입력한 날짜에 대한 경고 출력</v>
      </c>
      <c r="Z517" s="4" t="str">
        <f>HYPERLINK(V517,H517)</f>
        <v>잘못 입력한 날짜에 대한 경고 출력</v>
      </c>
      <c r="AA517" s="4" t="str">
        <f>HYPERLINK(J517,H517)</f>
        <v>잘못 입력한 날짜에 대한 경고 출력</v>
      </c>
      <c r="AB517" s="39" t="str">
        <f t="shared" si="12"/>
        <v>https://docs.inswave.com/websquare/websquare.html?w2xPath=/support/api/guide/Spinner/useAlert_Spinner.xml</v>
      </c>
    </row>
    <row r="518" spans="1:30" s="39" customFormat="1" ht="102" x14ac:dyDescent="0.45">
      <c r="A518" s="37">
        <f>SUBTOTAL(3, $T$2:T518)</f>
        <v>420</v>
      </c>
      <c r="B518" s="38" t="s">
        <v>47</v>
      </c>
      <c r="C518" s="39" t="s">
        <v>47</v>
      </c>
      <c r="D518" s="39" t="s">
        <v>423</v>
      </c>
      <c r="E518" s="40" t="s">
        <v>408</v>
      </c>
      <c r="F518" s="41" t="s">
        <v>421</v>
      </c>
      <c r="G518" s="39" t="s">
        <v>422</v>
      </c>
      <c r="H518" s="53" t="s">
        <v>3871</v>
      </c>
      <c r="I518" s="44" t="s">
        <v>59</v>
      </c>
      <c r="J518" s="14" t="s">
        <v>420</v>
      </c>
      <c r="K518" s="22" t="s">
        <v>3023</v>
      </c>
      <c r="L518" s="46">
        <v>44228</v>
      </c>
      <c r="M518" s="45" t="s">
        <v>199</v>
      </c>
      <c r="N518" s="45" t="s">
        <v>199</v>
      </c>
      <c r="O518" s="45" t="s">
        <v>199</v>
      </c>
      <c r="P518" s="45" t="s">
        <v>199</v>
      </c>
      <c r="Q518" s="45" t="s">
        <v>199</v>
      </c>
      <c r="R518" s="45" t="s">
        <v>199</v>
      </c>
      <c r="S518" s="45" t="s">
        <v>199</v>
      </c>
      <c r="T518" s="47" t="s">
        <v>4247</v>
      </c>
      <c r="U518" s="39" t="s">
        <v>3764</v>
      </c>
      <c r="V518" s="39" t="str">
        <f>CONCATENATE(U518, D518)</f>
        <v>https://example.websquare.kr/websquare/websquare.html?w2xPath=/guide/Spinner/initValue_Spinner.xml</v>
      </c>
      <c r="W518" s="39" t="s">
        <v>4512</v>
      </c>
      <c r="X518" s="39" t="str">
        <f>CONCATENATE(W518, D518)</f>
        <v>https://docs.inswave.com/websquare/websquare.html?w2xPath=/support/api/guide/Spinner/initValue_Spinner.xml</v>
      </c>
      <c r="Y518" s="48" t="str">
        <f>HYPERLINK(X518, H518)</f>
        <v>초기 값 지정</v>
      </c>
      <c r="Z518" s="4" t="str">
        <f>HYPERLINK(V518,H518)</f>
        <v>초기 값 지정</v>
      </c>
      <c r="AA518" s="4" t="str">
        <f>HYPERLINK(J518,H518)</f>
        <v>초기 값 지정</v>
      </c>
      <c r="AB518" s="39" t="str">
        <f t="shared" si="12"/>
        <v>https://docs.inswave.com/websquare/websquare.html?w2xPath=/support/api/guide/Spinner/initValue_Spinner.xml</v>
      </c>
    </row>
    <row r="519" spans="1:30" s="39" customFormat="1" ht="102" x14ac:dyDescent="0.45">
      <c r="A519" s="37">
        <f>SUBTOTAL(3, $T$2:T519)</f>
        <v>421</v>
      </c>
      <c r="B519" s="38" t="s">
        <v>2084</v>
      </c>
      <c r="C519" s="39" t="s">
        <v>2084</v>
      </c>
      <c r="D519" s="39" t="s">
        <v>3663</v>
      </c>
      <c r="E519" s="40" t="s">
        <v>2720</v>
      </c>
      <c r="F519" s="41" t="s">
        <v>2728</v>
      </c>
      <c r="G519" s="39" t="s">
        <v>2729</v>
      </c>
      <c r="H519" s="58" t="s">
        <v>4446</v>
      </c>
      <c r="I519" s="44" t="s">
        <v>2727</v>
      </c>
      <c r="J519" s="14" t="s">
        <v>2730</v>
      </c>
      <c r="K519" s="22" t="s">
        <v>3031</v>
      </c>
      <c r="L519" s="46">
        <v>45413</v>
      </c>
      <c r="M519" s="14"/>
      <c r="N519" s="45"/>
      <c r="O519" s="45"/>
      <c r="P519" s="45"/>
      <c r="Q519" s="45" t="s">
        <v>199</v>
      </c>
      <c r="R519" s="45" t="s">
        <v>199</v>
      </c>
      <c r="S519" s="45" t="s">
        <v>199</v>
      </c>
      <c r="T519" s="47" t="s">
        <v>4247</v>
      </c>
      <c r="U519" s="39" t="s">
        <v>3764</v>
      </c>
      <c r="V519" s="39" t="str">
        <f>CONCATENATE(U519, D519)</f>
        <v>https://example.websquare.kr/websquare/websquare.html?w2xPath=/guide/TabControl/pageFrame_addTab_TabControl/pageFrame_addTab_TabControl.xml</v>
      </c>
      <c r="W519" s="39" t="s">
        <v>4512</v>
      </c>
      <c r="X519" s="39" t="str">
        <f>CONCATENATE(W519, D519)</f>
        <v>https://docs.inswave.com/websquare/websquare.html?w2xPath=/support/api/guide/TabControl/pageFrame_addTab_TabControl/pageFrame_addTab_TabControl.xml</v>
      </c>
      <c r="Y519" s="48" t="str">
        <f>HYPERLINK(X519, H519)</f>
        <v>PageFrame 탭 생성</v>
      </c>
      <c r="Z519" s="4" t="str">
        <f>HYPERLINK(V519,H519)</f>
        <v>PageFrame 탭 생성</v>
      </c>
      <c r="AA519" s="4" t="str">
        <f>HYPERLINK(J519,H519)</f>
        <v>PageFrame 탭 생성</v>
      </c>
      <c r="AB519" s="39" t="str">
        <f t="shared" si="12"/>
        <v>https://docs.inswave.com/websquare/websquare.html?w2xPath=/support/api/guide/TabControl/pageFrame_addTab_TabControl/pageFrame_addTab_TabControl.xml</v>
      </c>
      <c r="AC519" s="45"/>
      <c r="AD519" s="45"/>
    </row>
    <row r="520" spans="1:30" s="39" customFormat="1" ht="102" x14ac:dyDescent="0.45">
      <c r="A520" s="37">
        <f>SUBTOTAL(3, $T$2:T520)</f>
        <v>422</v>
      </c>
      <c r="B520" s="38" t="s">
        <v>2084</v>
      </c>
      <c r="C520" s="38" t="s">
        <v>2084</v>
      </c>
      <c r="D520" s="41" t="s">
        <v>3659</v>
      </c>
      <c r="E520" s="41" t="s">
        <v>4190</v>
      </c>
      <c r="F520" s="41" t="s">
        <v>3422</v>
      </c>
      <c r="G520" s="39" t="s">
        <v>3428</v>
      </c>
      <c r="H520" s="58" t="s">
        <v>4420</v>
      </c>
      <c r="I520" s="44" t="s">
        <v>4191</v>
      </c>
      <c r="J520" s="45" t="s">
        <v>2304</v>
      </c>
      <c r="K520" s="45" t="s">
        <v>2304</v>
      </c>
      <c r="L520" s="46">
        <v>45658</v>
      </c>
      <c r="M520" s="14"/>
      <c r="N520" s="45"/>
      <c r="O520" s="45"/>
      <c r="P520" s="45"/>
      <c r="Q520" s="45"/>
      <c r="R520" s="45"/>
      <c r="S520" s="45"/>
      <c r="T520" s="47" t="s">
        <v>4249</v>
      </c>
      <c r="U520" s="39" t="s">
        <v>3764</v>
      </c>
      <c r="V520" s="39" t="str">
        <f>CONCATENATE(U520, D520)</f>
        <v>https://example.websquare.kr/websquare/websquare.html?w2xPath=/guide/TabControl/addTab_scopeInherit_TabControl/addTab_scopeInherit_TabControl.xml</v>
      </c>
      <c r="W520" s="39" t="s">
        <v>4512</v>
      </c>
      <c r="X520" s="39" t="str">
        <f>CONCATENATE(W520, D520)</f>
        <v>https://docs.inswave.com/websquare/websquare.html?w2xPath=/support/api/guide/TabControl/addTab_scopeInherit_TabControl/addTab_scopeInherit_TabControl.xml</v>
      </c>
      <c r="Y520" s="48" t="str">
        <f>HYPERLINK(X520, H520)</f>
        <v>부모의 Scope 상속</v>
      </c>
      <c r="Z520" s="4" t="str">
        <f>HYPERLINK(V520,H520)</f>
        <v>부모의 Scope 상속</v>
      </c>
      <c r="AA520" s="45" t="s">
        <v>2304</v>
      </c>
      <c r="AB520" s="39" t="str">
        <f t="shared" si="12"/>
        <v>https://docs.inswave.com/websquare/websquare.html?w2xPath=/support/api/guide/TabControl/addTab_scopeInherit_TabControl/addTab_scopeInherit_TabControl.xml</v>
      </c>
    </row>
    <row r="521" spans="1:30" s="39" customFormat="1" ht="102" x14ac:dyDescent="0.45">
      <c r="A521" s="37">
        <f>SUBTOTAL(3, $T$2:T521)</f>
        <v>423</v>
      </c>
      <c r="B521" s="38" t="s">
        <v>17</v>
      </c>
      <c r="C521" s="39" t="s">
        <v>17</v>
      </c>
      <c r="D521" s="39" t="s">
        <v>3664</v>
      </c>
      <c r="E521" s="40" t="s">
        <v>4206</v>
      </c>
      <c r="F521" s="41" t="s">
        <v>2121</v>
      </c>
      <c r="G521" s="39" t="s">
        <v>1421</v>
      </c>
      <c r="H521" s="53" t="s">
        <v>4207</v>
      </c>
      <c r="I521" s="44" t="s">
        <v>2124</v>
      </c>
      <c r="J521" s="14" t="s">
        <v>2123</v>
      </c>
      <c r="K521" s="22" t="s">
        <v>3032</v>
      </c>
      <c r="L521" s="46">
        <v>43891</v>
      </c>
      <c r="M521" s="14"/>
      <c r="N521" s="45" t="s">
        <v>199</v>
      </c>
      <c r="O521" s="45" t="s">
        <v>199</v>
      </c>
      <c r="P521" s="45" t="s">
        <v>199</v>
      </c>
      <c r="Q521" s="45" t="s">
        <v>199</v>
      </c>
      <c r="R521" s="45" t="s">
        <v>199</v>
      </c>
      <c r="S521" s="45" t="s">
        <v>199</v>
      </c>
      <c r="T521" s="47" t="s">
        <v>4247</v>
      </c>
      <c r="U521" s="39" t="s">
        <v>3764</v>
      </c>
      <c r="V521" s="39" t="str">
        <f>CONCATENATE(U521, D521)</f>
        <v>https://example.websquare.kr/websquare/websquare.html?w2xPath=/guide/TabControl/processMsgFrame_TabControl/processMsgFrame_TabControl.xml</v>
      </c>
      <c r="W521" s="39" t="s">
        <v>4512</v>
      </c>
      <c r="X521" s="39" t="str">
        <f>CONCATENATE(W521, D521)</f>
        <v>https://docs.inswave.com/websquare/websquare.html?w2xPath=/support/api/guide/TabControl/processMsgFrame_TabControl/processMsgFrame_TabControl.xml</v>
      </c>
      <c r="Y521" s="48" t="str">
        <f>HYPERLINK(X521, H521)</f>
        <v>서브미션 상태창을 탭 태부에만 표시 (기본 상태창)</v>
      </c>
      <c r="Z521" s="4" t="str">
        <f>HYPERLINK(V521,H521)</f>
        <v>서브미션 상태창을 탭 태부에만 표시 (기본 상태창)</v>
      </c>
      <c r="AA521" s="4" t="str">
        <f>HYPERLINK(J521,H521)</f>
        <v>서브미션 상태창을 탭 태부에만 표시 (기본 상태창)</v>
      </c>
      <c r="AB521" s="39" t="str">
        <f t="shared" si="12"/>
        <v>https://docs.inswave.com/websquare/websquare.html?w2xPath=/support/api/guide/TabControl/processMsgFrame_TabControl/processMsgFrame_TabControl.xml</v>
      </c>
    </row>
    <row r="522" spans="1:30" s="39" customFormat="1" ht="119" x14ac:dyDescent="0.45">
      <c r="A522" s="37">
        <f>SUBTOTAL(3, $T$2:T522)</f>
        <v>424</v>
      </c>
      <c r="B522" s="38" t="s">
        <v>17</v>
      </c>
      <c r="C522" s="39" t="s">
        <v>17</v>
      </c>
      <c r="D522" s="39" t="s">
        <v>3665</v>
      </c>
      <c r="E522" s="40" t="s">
        <v>4205</v>
      </c>
      <c r="F522" s="41" t="s">
        <v>2119</v>
      </c>
      <c r="G522" s="39" t="s">
        <v>1423</v>
      </c>
      <c r="H522" s="53" t="s">
        <v>4208</v>
      </c>
      <c r="I522" s="44" t="s">
        <v>2112</v>
      </c>
      <c r="J522" s="14" t="s">
        <v>2125</v>
      </c>
      <c r="K522" s="22" t="s">
        <v>3033</v>
      </c>
      <c r="L522" s="46">
        <v>43891</v>
      </c>
      <c r="M522" s="14"/>
      <c r="N522" s="45" t="s">
        <v>199</v>
      </c>
      <c r="O522" s="45" t="s">
        <v>199</v>
      </c>
      <c r="P522" s="45" t="s">
        <v>199</v>
      </c>
      <c r="Q522" s="45" t="s">
        <v>199</v>
      </c>
      <c r="R522" s="45" t="s">
        <v>199</v>
      </c>
      <c r="S522" s="45" t="s">
        <v>199</v>
      </c>
      <c r="T522" s="47" t="s">
        <v>4247</v>
      </c>
      <c r="U522" s="39" t="s">
        <v>3764</v>
      </c>
      <c r="V522" s="39" t="str">
        <f>CONCATENATE(U522, D522)</f>
        <v>https://example.websquare.kr/websquare/websquare.html?w2xPath=/guide/TabControl/processMsgFrameURL_config_processMsgFrame_TabControl/processMsgFrameURL_config_processMsgFrame_TabControl.xml</v>
      </c>
      <c r="W522" s="39" t="s">
        <v>4512</v>
      </c>
      <c r="X522" s="39" t="str">
        <f>CONCATENATE(W522, D522)</f>
        <v>https://docs.inswave.com/websquare/websquare.html?w2xPath=/support/api/guide/TabControl/processMsgFrameURL_config_processMsgFrame_TabControl/processMsgFrameURL_config_processMsgFrame_TabControl.xml</v>
      </c>
      <c r="Y522" s="48" t="str">
        <f>HYPERLINK(X522, H522)</f>
        <v>서브미션 상태창을 탭 태부에만 표시 (커스텀 상태창)</v>
      </c>
      <c r="Z522" s="4" t="str">
        <f>HYPERLINK(V522,H522)</f>
        <v>서브미션 상태창을 탭 태부에만 표시 (커스텀 상태창)</v>
      </c>
      <c r="AA522" s="4" t="str">
        <f>HYPERLINK(J522,H522)</f>
        <v>서브미션 상태창을 탭 태부에만 표시 (커스텀 상태창)</v>
      </c>
      <c r="AB522" s="39" t="str">
        <f t="shared" si="12"/>
        <v>https://docs.inswave.com/websquare/websquare.html?w2xPath=/support/api/guide/TabControl/processMsgFrameURL_config_processMsgFrame_TabControl/processMsgFrameURL_config_processMsgFrame_TabControl.xml</v>
      </c>
      <c r="AC522" s="45"/>
      <c r="AD522" s="45"/>
    </row>
    <row r="523" spans="1:30" s="39" customFormat="1" ht="102" x14ac:dyDescent="0.45">
      <c r="A523" s="37">
        <f>SUBTOTAL(3, $T$2:T523)</f>
        <v>425</v>
      </c>
      <c r="B523" s="38" t="s">
        <v>17</v>
      </c>
      <c r="C523" s="39" t="s">
        <v>17</v>
      </c>
      <c r="D523" s="39" t="s">
        <v>3666</v>
      </c>
      <c r="E523" s="57" t="s">
        <v>4195</v>
      </c>
      <c r="F523" s="41" t="s">
        <v>171</v>
      </c>
      <c r="G523" s="39" t="s">
        <v>74</v>
      </c>
      <c r="H523" s="53" t="s">
        <v>4196</v>
      </c>
      <c r="I523" s="44" t="s">
        <v>72</v>
      </c>
      <c r="J523" s="14" t="s">
        <v>336</v>
      </c>
      <c r="K523" s="22" t="s">
        <v>3035</v>
      </c>
      <c r="L523" s="46">
        <v>44348</v>
      </c>
      <c r="M523" s="14"/>
      <c r="N523" s="45" t="s">
        <v>199</v>
      </c>
      <c r="O523" s="45" t="s">
        <v>199</v>
      </c>
      <c r="P523" s="45" t="s">
        <v>199</v>
      </c>
      <c r="Q523" s="45" t="s">
        <v>199</v>
      </c>
      <c r="R523" s="45" t="s">
        <v>199</v>
      </c>
      <c r="S523" s="45" t="s">
        <v>199</v>
      </c>
      <c r="T523" s="47" t="s">
        <v>4247</v>
      </c>
      <c r="U523" s="39" t="s">
        <v>3764</v>
      </c>
      <c r="V523" s="39" t="str">
        <f>CONCATENATE(U523, D523)</f>
        <v>https://example.websquare.kr/websquare/websquare.html?w2xPath=/guide/TabControl/tabScroll_changeActiveTab_TabControl/tabScroll_changeActiveTab_TabControl.xml</v>
      </c>
      <c r="W523" s="39" t="s">
        <v>4512</v>
      </c>
      <c r="X523" s="39" t="str">
        <f>CONCATENATE(W523, D523)</f>
        <v>https://docs.inswave.com/websquare/websquare.html?w2xPath=/support/api/guide/TabControl/tabScroll_changeActiveTab_TabControl/tabScroll_changeActiveTab_TabControl.xml</v>
      </c>
      <c r="Y523" s="48" t="str">
        <f>HYPERLINK(X523, H523)</f>
        <v>스크롤 버튼으로 탭 선택</v>
      </c>
      <c r="Z523" s="4" t="str">
        <f>HYPERLINK(V523,H523)</f>
        <v>스크롤 버튼으로 탭 선택</v>
      </c>
      <c r="AA523" s="4" t="str">
        <f>HYPERLINK(J523,H523)</f>
        <v>스크롤 버튼으로 탭 선택</v>
      </c>
      <c r="AB523" s="39" t="str">
        <f t="shared" si="12"/>
        <v>https://docs.inswave.com/websquare/websquare.html?w2xPath=/support/api/guide/TabControl/tabScroll_changeActiveTab_TabControl/tabScroll_changeActiveTab_TabControl.xml</v>
      </c>
    </row>
    <row r="524" spans="1:30" s="39" customFormat="1" ht="102" x14ac:dyDescent="0.45">
      <c r="A524" s="37">
        <f>SUBTOTAL(3, $T$2:T524)</f>
        <v>426</v>
      </c>
      <c r="B524" s="38" t="s">
        <v>17</v>
      </c>
      <c r="C524" s="39" t="s">
        <v>17</v>
      </c>
      <c r="D524" s="39" t="s">
        <v>1416</v>
      </c>
      <c r="E524" s="40" t="s">
        <v>4199</v>
      </c>
      <c r="F524" s="41" t="s">
        <v>1415</v>
      </c>
      <c r="G524" s="39" t="s">
        <v>1413</v>
      </c>
      <c r="H524" s="53" t="s">
        <v>4200</v>
      </c>
      <c r="I524" s="44" t="s">
        <v>1417</v>
      </c>
      <c r="J524" s="14" t="s">
        <v>1414</v>
      </c>
      <c r="K524" s="22" t="s">
        <v>3030</v>
      </c>
      <c r="L524" s="46">
        <v>44713</v>
      </c>
      <c r="M524" s="14"/>
      <c r="N524" s="45" t="s">
        <v>199</v>
      </c>
      <c r="O524" s="45" t="s">
        <v>199</v>
      </c>
      <c r="P524" s="45" t="s">
        <v>199</v>
      </c>
      <c r="Q524" s="45" t="s">
        <v>199</v>
      </c>
      <c r="R524" s="45" t="s">
        <v>199</v>
      </c>
      <c r="S524" s="45" t="s">
        <v>199</v>
      </c>
      <c r="T524" s="47" t="s">
        <v>4247</v>
      </c>
      <c r="U524" s="39" t="s">
        <v>3764</v>
      </c>
      <c r="V524" s="39" t="str">
        <f>CONCATENATE(U524, D524)</f>
        <v>https://example.websquare.kr/websquare/websquare.html?w2xPath=/guide/TabControl/onscrollleftbtnclick_onscrollrightbtnclick_onsubmenubtnclick_TabControl.xml</v>
      </c>
      <c r="W524" s="39" t="s">
        <v>4512</v>
      </c>
      <c r="X524" s="39" t="str">
        <f>CONCATENATE(W524, D524)</f>
        <v>https://docs.inswave.com/websquare/websquare.html?w2xPath=/support/api/guide/TabControl/onscrollleftbtnclick_onscrollrightbtnclick_onsubmenubtnclick_TabControl.xml</v>
      </c>
      <c r="Y524" s="48" t="str">
        <f>HYPERLINK(X524, H524)</f>
        <v>이벤트 - onscrollleftbtnclick &amp; onscrollrightbtnclick &amp; onsubmenubtnclick</v>
      </c>
      <c r="Z524" s="4" t="str">
        <f>HYPERLINK(V524,H524)</f>
        <v>이벤트 - onscrollleftbtnclick &amp; onscrollrightbtnclick &amp; onsubmenubtnclick</v>
      </c>
      <c r="AA524" s="4" t="str">
        <f>HYPERLINK(J524,H524)</f>
        <v>이벤트 - onscrollleftbtnclick &amp; onscrollrightbtnclick &amp; onsubmenubtnclick</v>
      </c>
      <c r="AB524" s="39" t="str">
        <f t="shared" si="12"/>
        <v>https://docs.inswave.com/websquare/websquare.html?w2xPath=/support/api/guide/TabControl/onscrollleftbtnclick_onscrollrightbtnclick_onsubmenubtnclick_TabControl.xml</v>
      </c>
    </row>
    <row r="525" spans="1:30" s="39" customFormat="1" ht="102" x14ac:dyDescent="0.45">
      <c r="A525" s="37">
        <f>SUBTOTAL(3, $T$2:T525)</f>
        <v>427</v>
      </c>
      <c r="B525" s="38" t="s">
        <v>17</v>
      </c>
      <c r="C525" s="39" t="s">
        <v>17</v>
      </c>
      <c r="D525" s="39" t="s">
        <v>3662</v>
      </c>
      <c r="E525" s="40" t="s">
        <v>4209</v>
      </c>
      <c r="F525" s="41" t="s">
        <v>2347</v>
      </c>
      <c r="G525" s="39" t="s">
        <v>501</v>
      </c>
      <c r="H525" s="53" t="s">
        <v>4210</v>
      </c>
      <c r="I525" s="44" t="s">
        <v>500</v>
      </c>
      <c r="J525" s="14" t="s">
        <v>502</v>
      </c>
      <c r="K525" s="22" t="s">
        <v>3029</v>
      </c>
      <c r="L525" s="46">
        <v>44531</v>
      </c>
      <c r="M525" s="14"/>
      <c r="N525" s="45" t="s">
        <v>199</v>
      </c>
      <c r="O525" s="45" t="s">
        <v>199</v>
      </c>
      <c r="P525" s="45" t="s">
        <v>199</v>
      </c>
      <c r="Q525" s="45" t="s">
        <v>199</v>
      </c>
      <c r="R525" s="45" t="s">
        <v>199</v>
      </c>
      <c r="S525" s="45" t="s">
        <v>199</v>
      </c>
      <c r="T525" s="47" t="s">
        <v>4247</v>
      </c>
      <c r="U525" s="39" t="s">
        <v>3764</v>
      </c>
      <c r="V525" s="39" t="str">
        <f>CONCATENATE(U525, D525)</f>
        <v>https://example.websquare.kr/websquare/websquare.html?w2xPath=/guide/TabControl/keepDisabledTab_TabControl/keepDisabledTab_TabControl.xml</v>
      </c>
      <c r="W525" s="39" t="s">
        <v>4512</v>
      </c>
      <c r="X525" s="39" t="str">
        <f>CONCATENATE(W525, D525)</f>
        <v>https://docs.inswave.com/websquare/websquare.html?w2xPath=/support/api/guide/TabControl/keepDisabledTab_TabControl/keepDisabledTab_TabControl.xml</v>
      </c>
      <c r="Y525" s="48" t="str">
        <f>HYPERLINK(X525, H525)</f>
        <v>자식 탭의 비활성화 상태 유지</v>
      </c>
      <c r="Z525" s="4" t="str">
        <f>HYPERLINK(V525,H525)</f>
        <v>자식 탭의 비활성화 상태 유지</v>
      </c>
      <c r="AA525" s="4" t="str">
        <f>HYPERLINK(J525,H525)</f>
        <v>자식 탭의 비활성화 상태 유지</v>
      </c>
      <c r="AB525" s="39" t="str">
        <f t="shared" si="12"/>
        <v>https://docs.inswave.com/websquare/websquare.html?w2xPath=/support/api/guide/TabControl/keepDisabledTab_TabControl/keepDisabledTab_TabControl.xml</v>
      </c>
    </row>
    <row r="526" spans="1:30" s="39" customFormat="1" ht="102" x14ac:dyDescent="0.45">
      <c r="A526" s="37">
        <f>SUBTOTAL(3, $T$2:T526)</f>
        <v>428</v>
      </c>
      <c r="B526" s="38" t="s">
        <v>2084</v>
      </c>
      <c r="C526" s="38" t="s">
        <v>2084</v>
      </c>
      <c r="D526" s="41" t="s">
        <v>3658</v>
      </c>
      <c r="E526" s="41" t="s">
        <v>3481</v>
      </c>
      <c r="F526" s="41" t="s">
        <v>3480</v>
      </c>
      <c r="G526" s="39" t="s">
        <v>3482</v>
      </c>
      <c r="H526" s="58" t="s">
        <v>4447</v>
      </c>
      <c r="I526" s="41" t="s">
        <v>3641</v>
      </c>
      <c r="J526" s="45" t="s">
        <v>2304</v>
      </c>
      <c r="K526" s="45" t="s">
        <v>2304</v>
      </c>
      <c r="L526" s="46">
        <v>45689</v>
      </c>
      <c r="M526" s="14"/>
      <c r="N526" s="45"/>
      <c r="O526" s="45"/>
      <c r="P526" s="45"/>
      <c r="Q526" s="45"/>
      <c r="R526" s="45"/>
      <c r="S526" s="45"/>
      <c r="T526" s="47" t="s">
        <v>4249</v>
      </c>
      <c r="U526" s="39" t="s">
        <v>3764</v>
      </c>
      <c r="V526" s="39" t="str">
        <f>CONCATENATE(U526, D526)</f>
        <v>https://example.websquare.kr/websquare/websquare.html?w2xPath=/guide/TabControl/addTab_adaptiveFrame_TabControl/addTab_adaptiveFrame_TabControl.xml</v>
      </c>
      <c r="W526" s="39" t="s">
        <v>4512</v>
      </c>
      <c r="X526" s="39" t="str">
        <f>CONCATENATE(W526, D526)</f>
        <v>https://docs.inswave.com/websquare/websquare.html?w2xPath=/support/api/guide/TabControl/addTab_adaptiveFrame_TabControl/addTab_adaptiveFrame_TabControl.xml</v>
      </c>
      <c r="Y526" s="48" t="str">
        <f>HYPERLINK(X526, H526)</f>
        <v>적응형 디자인 적용</v>
      </c>
      <c r="Z526" s="4" t="str">
        <f>HYPERLINK(V526,H526)</f>
        <v>적응형 디자인 적용</v>
      </c>
      <c r="AA526" s="45" t="s">
        <v>2304</v>
      </c>
      <c r="AB526" s="39" t="str">
        <f t="shared" si="12"/>
        <v>https://docs.inswave.com/websquare/websquare.html?w2xPath=/support/api/guide/TabControl/addTab_adaptiveFrame_TabControl/addTab_adaptiveFrame_TabControl.xml</v>
      </c>
    </row>
    <row r="527" spans="1:30" s="39" customFormat="1" ht="136" x14ac:dyDescent="0.45">
      <c r="A527" s="37">
        <f>SUBTOTAL(3, $T$2:T527)</f>
        <v>429</v>
      </c>
      <c r="B527" s="38" t="s">
        <v>17</v>
      </c>
      <c r="C527" s="39" t="s">
        <v>17</v>
      </c>
      <c r="D527" s="39" t="s">
        <v>4473</v>
      </c>
      <c r="E527" s="40" t="s">
        <v>317</v>
      </c>
      <c r="F527" s="41" t="s">
        <v>4267</v>
      </c>
      <c r="G527" s="39" t="s">
        <v>319</v>
      </c>
      <c r="H527" s="53" t="s">
        <v>4478</v>
      </c>
      <c r="I527" s="44" t="s">
        <v>318</v>
      </c>
      <c r="J527" s="14" t="s">
        <v>338</v>
      </c>
      <c r="K527" s="22" t="s">
        <v>3027</v>
      </c>
      <c r="L527" s="46">
        <v>44501</v>
      </c>
      <c r="M527" s="14"/>
      <c r="N527" s="45" t="s">
        <v>199</v>
      </c>
      <c r="O527" s="45" t="s">
        <v>199</v>
      </c>
      <c r="P527" s="45" t="s">
        <v>199</v>
      </c>
      <c r="Q527" s="45" t="s">
        <v>199</v>
      </c>
      <c r="R527" s="45" t="s">
        <v>199</v>
      </c>
      <c r="S527" s="45" t="s">
        <v>199</v>
      </c>
      <c r="T527" s="47" t="s">
        <v>4247</v>
      </c>
      <c r="U527" s="39" t="s">
        <v>3764</v>
      </c>
      <c r="V527" s="39" t="str">
        <f>CONCATENATE(U527, D527)</f>
        <v>https://example.websquare.kr/websquare/websquare.html?w2xPath=/guide/TabControl/frameMode_tabControl_content_openPopup_frameModal_p/frameMode_tabControl_content_openPopup_frameModal_p.xml</v>
      </c>
      <c r="W527" s="39" t="s">
        <v>4512</v>
      </c>
      <c r="X527" s="39" t="str">
        <f>CONCATENATE(W527, D527)</f>
        <v>https://docs.inswave.com/websquare/websquare.html?w2xPath=/support/api/guide/TabControl/frameMode_tabControl_content_openPopup_frameModal_p/frameMode_tabControl_content_openPopup_frameModal_p.xml</v>
      </c>
      <c r="Y527" s="48" t="str">
        <f>HYPERLINK(X527, H527)</f>
        <v>탭 내부에서 프레임 기반 모달 팝업 생성</v>
      </c>
      <c r="Z527" s="4" t="str">
        <f>HYPERLINK(V527,H527)</f>
        <v>탭 내부에서 프레임 기반 모달 팝업 생성</v>
      </c>
      <c r="AA527" s="4" t="str">
        <f>HYPERLINK(J527,H527)</f>
        <v>탭 내부에서 프레임 기반 모달 팝업 생성</v>
      </c>
      <c r="AB527" s="39" t="str">
        <f t="shared" si="12"/>
        <v>https://docs.inswave.com/websquare/websquare.html?w2xPath=/support/api/guide/TabControl/frameMode_tabControl_content_openPopup_frameModal_p/frameMode_tabControl_content_openPopup_frameModal_p.xml</v>
      </c>
    </row>
    <row r="528" spans="1:30" s="39" customFormat="1" ht="102" x14ac:dyDescent="0.45">
      <c r="A528" s="37">
        <f>SUBTOTAL(3, $T$2:T528)</f>
        <v>430</v>
      </c>
      <c r="B528" s="39" t="s">
        <v>2084</v>
      </c>
      <c r="C528" s="39" t="s">
        <v>2084</v>
      </c>
      <c r="D528" s="39" t="s">
        <v>3661</v>
      </c>
      <c r="E528" s="40" t="s">
        <v>4201</v>
      </c>
      <c r="F528" s="40" t="s">
        <v>3388</v>
      </c>
      <c r="G528" s="39" t="s">
        <v>3391</v>
      </c>
      <c r="H528" s="70" t="s">
        <v>4448</v>
      </c>
      <c r="I528" s="40" t="s">
        <v>3390</v>
      </c>
      <c r="J528" s="14" t="s">
        <v>3402</v>
      </c>
      <c r="K528" s="23" t="s">
        <v>3392</v>
      </c>
      <c r="L528" s="46">
        <v>45627</v>
      </c>
      <c r="M528" s="45" t="s">
        <v>200</v>
      </c>
      <c r="N528" s="45"/>
      <c r="O528" s="45"/>
      <c r="P528" s="45"/>
      <c r="Q528" s="45"/>
      <c r="R528" s="45"/>
      <c r="S528" s="45"/>
      <c r="T528" s="47" t="s">
        <v>4247</v>
      </c>
      <c r="U528" s="39" t="s">
        <v>3764</v>
      </c>
      <c r="V528" s="39" t="str">
        <f>CONCATENATE(U528, D528)</f>
        <v>https://example.websquare.kr/websquare/websquare.html?w2xPath=/guide/TabControl/closable_alwaysShowCloseBtn_TabControl.xml</v>
      </c>
      <c r="W528" s="39" t="s">
        <v>4512</v>
      </c>
      <c r="X528" s="39" t="str">
        <f>CONCATENATE(W528, D528)</f>
        <v>https://docs.inswave.com/websquare/websquare.html?w2xPath=/support/api/guide/TabControl/closable_alwaysShowCloseBtn_TabControl.xml</v>
      </c>
      <c r="Y528" s="48" t="str">
        <f>HYPERLINK(X528, H528)</f>
        <v>탭 닫기 버튼 표시</v>
      </c>
      <c r="Z528" s="4" t="str">
        <f>HYPERLINK(V528,H528)</f>
        <v>탭 닫기 버튼 표시</v>
      </c>
      <c r="AA528" s="4" t="str">
        <f>HYPERLINK(J528,H528)</f>
        <v>탭 닫기 버튼 표시</v>
      </c>
      <c r="AB528" s="39" t="str">
        <f t="shared" si="12"/>
        <v>https://docs.inswave.com/websquare/websquare.html?w2xPath=/support/api/guide/TabControl/closable_alwaysShowCloseBtn_TabControl.xml</v>
      </c>
    </row>
    <row r="529" spans="1:30" s="39" customFormat="1" ht="102" x14ac:dyDescent="0.45">
      <c r="A529" s="37">
        <f>SUBTOTAL(3, $T$2:T529)</f>
        <v>431</v>
      </c>
      <c r="B529" s="38" t="s">
        <v>17</v>
      </c>
      <c r="C529" s="39" t="s">
        <v>17</v>
      </c>
      <c r="D529" s="39" t="s">
        <v>4472</v>
      </c>
      <c r="E529" s="40" t="s">
        <v>4310</v>
      </c>
      <c r="F529" s="41" t="s">
        <v>4311</v>
      </c>
      <c r="G529" s="39" t="s">
        <v>1012</v>
      </c>
      <c r="H529" s="53" t="s">
        <v>4194</v>
      </c>
      <c r="I529" s="44" t="s">
        <v>2536</v>
      </c>
      <c r="J529" s="14" t="s">
        <v>2537</v>
      </c>
      <c r="K529" s="22" t="s">
        <v>3028</v>
      </c>
      <c r="L529" s="46">
        <v>43617</v>
      </c>
      <c r="M529" s="14"/>
      <c r="N529" s="45" t="s">
        <v>199</v>
      </c>
      <c r="O529" s="45" t="s">
        <v>199</v>
      </c>
      <c r="P529" s="45" t="s">
        <v>199</v>
      </c>
      <c r="Q529" s="45" t="s">
        <v>199</v>
      </c>
      <c r="R529" s="45" t="s">
        <v>199</v>
      </c>
      <c r="S529" s="45" t="s">
        <v>199</v>
      </c>
      <c r="T529" s="47" t="s">
        <v>4247</v>
      </c>
      <c r="U529" s="39" t="s">
        <v>3764</v>
      </c>
      <c r="V529" s="39" t="str">
        <f>CONCATENATE(U529, D529)</f>
        <v>https://example.websquare.kr/websquare/websquare.html?w2xPath=/guide/TabControl/getParameter_p_addTab_TabControl/getParameter_p_addTab_TabControl.xml</v>
      </c>
      <c r="W529" s="39" t="s">
        <v>4512</v>
      </c>
      <c r="X529" s="39" t="str">
        <f>CONCATENATE(W529, D529)</f>
        <v>https://docs.inswave.com/websquare/websquare.html?w2xPath=/support/api/guide/TabControl/getParameter_p_addTab_TabControl/getParameter_p_addTab_TabControl.xml</v>
      </c>
      <c r="Y529" s="48" t="str">
        <f>HYPERLINK(X529, H529)</f>
        <v>탭 생성 시 파라미터 전달</v>
      </c>
      <c r="Z529" s="4" t="str">
        <f>HYPERLINK(V529,H529)</f>
        <v>탭 생성 시 파라미터 전달</v>
      </c>
      <c r="AA529" s="4" t="str">
        <f>HYPERLINK(J529,H529)</f>
        <v>탭 생성 시 파라미터 전달</v>
      </c>
      <c r="AB529" s="39" t="str">
        <f t="shared" si="12"/>
        <v>https://docs.inswave.com/websquare/websquare.html?w2xPath=/support/api/guide/TabControl/getParameter_p_addTab_TabControl/getParameter_p_addTab_TabControl.xml</v>
      </c>
    </row>
    <row r="530" spans="1:30" s="39" customFormat="1" ht="102" x14ac:dyDescent="0.45">
      <c r="A530" s="37">
        <f>SUBTOTAL(3, $T$2:T530)</f>
        <v>432</v>
      </c>
      <c r="B530" s="51" t="s">
        <v>2084</v>
      </c>
      <c r="C530" s="51" t="s">
        <v>2084</v>
      </c>
      <c r="D530" s="39" t="s">
        <v>2278</v>
      </c>
      <c r="E530" s="40" t="s">
        <v>4198</v>
      </c>
      <c r="F530" s="41" t="s">
        <v>2271</v>
      </c>
      <c r="G530" s="39" t="s">
        <v>2283</v>
      </c>
      <c r="H530" s="53" t="s">
        <v>4197</v>
      </c>
      <c r="I530" s="39" t="s">
        <v>2269</v>
      </c>
      <c r="J530" s="14" t="s">
        <v>2285</v>
      </c>
      <c r="K530" s="22" t="s">
        <v>3036</v>
      </c>
      <c r="L530" s="46">
        <v>45108</v>
      </c>
      <c r="M530" s="14"/>
      <c r="N530" s="45" t="s">
        <v>199</v>
      </c>
      <c r="O530" s="45" t="s">
        <v>199</v>
      </c>
      <c r="P530" s="45" t="s">
        <v>199</v>
      </c>
      <c r="Q530" s="45" t="s">
        <v>199</v>
      </c>
      <c r="R530" s="45" t="s">
        <v>199</v>
      </c>
      <c r="S530" s="45" t="s">
        <v>199</v>
      </c>
      <c r="T530" s="47" t="s">
        <v>4247</v>
      </c>
      <c r="U530" s="39" t="s">
        <v>3764</v>
      </c>
      <c r="V530" s="39" t="str">
        <f>CONCATENATE(U530, D530)</f>
        <v>https://example.websquare.kr/websquare/websquare.html?w2xPath=/guide/TabControl/useTabTitleSelected_TabControl.xml</v>
      </c>
      <c r="W530" s="39" t="s">
        <v>4512</v>
      </c>
      <c r="X530" s="39" t="str">
        <f>CONCATENATE(W530, D530)</f>
        <v>https://docs.inswave.com/websquare/websquare.html?w2xPath=/support/api/guide/TabControl/useTabTitleSelected_TabControl.xml</v>
      </c>
      <c r="Y530" s="48" t="str">
        <f>HYPERLINK(X530, H530)</f>
        <v>탭 선택 상태를 툴팁으로 표시</v>
      </c>
      <c r="Z530" s="4" t="str">
        <f>HYPERLINK(V530,H530)</f>
        <v>탭 선택 상태를 툴팁으로 표시</v>
      </c>
      <c r="AA530" s="4" t="str">
        <f>HYPERLINK(J530,H530)</f>
        <v>탭 선택 상태를 툴팁으로 표시</v>
      </c>
      <c r="AB530" s="39" t="str">
        <f t="shared" si="12"/>
        <v>https://docs.inswave.com/websquare/websquare.html?w2xPath=/support/api/guide/TabControl/useTabTitleSelected_TabControl.xml</v>
      </c>
    </row>
    <row r="531" spans="1:30" s="39" customFormat="1" ht="102" x14ac:dyDescent="0.45">
      <c r="A531" s="37">
        <f>SUBTOTAL(3, $T$2:T531)</f>
        <v>433</v>
      </c>
      <c r="B531" s="38" t="s">
        <v>17</v>
      </c>
      <c r="C531" s="39" t="s">
        <v>17</v>
      </c>
      <c r="D531" s="39" t="s">
        <v>3667</v>
      </c>
      <c r="E531" s="40" t="s">
        <v>533</v>
      </c>
      <c r="F531" s="41" t="s">
        <v>558</v>
      </c>
      <c r="G531" s="39" t="s">
        <v>536</v>
      </c>
      <c r="H531" s="53" t="s">
        <v>4203</v>
      </c>
      <c r="I531" s="44" t="s">
        <v>538</v>
      </c>
      <c r="J531" s="14" t="s">
        <v>537</v>
      </c>
      <c r="K531" s="22" t="s">
        <v>3643</v>
      </c>
      <c r="L531" s="46">
        <v>44562</v>
      </c>
      <c r="M531" s="14"/>
      <c r="N531" s="45" t="s">
        <v>199</v>
      </c>
      <c r="O531" s="45" t="s">
        <v>199</v>
      </c>
      <c r="P531" s="45" t="s">
        <v>199</v>
      </c>
      <c r="Q531" s="45" t="s">
        <v>199</v>
      </c>
      <c r="R531" s="45" t="s">
        <v>199</v>
      </c>
      <c r="S531" s="45" t="s">
        <v>199</v>
      </c>
      <c r="T531" s="47" t="s">
        <v>4247</v>
      </c>
      <c r="U531" s="39" t="s">
        <v>3764</v>
      </c>
      <c r="V531" s="39" t="str">
        <f>CONCATENATE(U531, D531)</f>
        <v>https://example.websquare.kr/websquare/websquare.html?w2xPath=/guide/TabControl/tabScroll_tabPosition_TabControl/tabScroll_tabPosition_TabControl.xml</v>
      </c>
      <c r="W531" s="39" t="s">
        <v>4512</v>
      </c>
      <c r="X531" s="39" t="str">
        <f>CONCATENATE(W531, D531)</f>
        <v>https://docs.inswave.com/websquare/websquare.html?w2xPath=/support/api/guide/TabControl/tabScroll_tabPosition_TabControl/tabScroll_tabPosition_TabControl.xml</v>
      </c>
      <c r="Y531" s="48" t="str">
        <f>HYPERLINK(X531, H531)</f>
        <v>탭 스크롤 위치 설정</v>
      </c>
      <c r="Z531" s="4" t="str">
        <f>HYPERLINK(V531,H531)</f>
        <v>탭 스크롤 위치 설정</v>
      </c>
      <c r="AA531" s="4" t="str">
        <f>HYPERLINK(J531,H531)</f>
        <v>탭 스크롤 위치 설정</v>
      </c>
      <c r="AB531" s="39" t="str">
        <f t="shared" si="12"/>
        <v>https://docs.inswave.com/websquare/websquare.html?w2xPath=/support/api/guide/TabControl/tabScroll_tabPosition_TabControl/tabScroll_tabPosition_TabControl.xml</v>
      </c>
    </row>
    <row r="532" spans="1:30" s="39" customFormat="1" ht="102" x14ac:dyDescent="0.45">
      <c r="A532" s="37">
        <f>SUBTOTAL(3, $T$2:T532)</f>
        <v>434</v>
      </c>
      <c r="B532" s="38" t="s">
        <v>17</v>
      </c>
      <c r="C532" s="39" t="s">
        <v>17</v>
      </c>
      <c r="D532" s="39" t="s">
        <v>3735</v>
      </c>
      <c r="E532" s="40" t="s">
        <v>548</v>
      </c>
      <c r="F532" s="41" t="s">
        <v>558</v>
      </c>
      <c r="G532" s="39" t="s">
        <v>556</v>
      </c>
      <c r="H532" s="53" t="s">
        <v>4204</v>
      </c>
      <c r="I532" s="44" t="s">
        <v>67</v>
      </c>
      <c r="J532" s="14" t="s">
        <v>557</v>
      </c>
      <c r="K532" s="22" t="s">
        <v>3034</v>
      </c>
      <c r="L532" s="46">
        <v>44562</v>
      </c>
      <c r="M532" s="14"/>
      <c r="N532" s="45" t="s">
        <v>199</v>
      </c>
      <c r="O532" s="45" t="s">
        <v>199</v>
      </c>
      <c r="P532" s="45" t="s">
        <v>199</v>
      </c>
      <c r="Q532" s="45" t="s">
        <v>199</v>
      </c>
      <c r="R532" s="45" t="s">
        <v>199</v>
      </c>
      <c r="S532" s="45" t="s">
        <v>199</v>
      </c>
      <c r="T532" s="47" t="s">
        <v>4247</v>
      </c>
      <c r="U532" s="39" t="s">
        <v>3764</v>
      </c>
      <c r="V532" s="39" t="str">
        <f>CONCATENATE(U532, D532)</f>
        <v>https://example.websquare.kr/websquare/websquare.html?w2xPath=/guide/TabControl/tabPosition_TabControl/tabPosition_TabControl.xml</v>
      </c>
      <c r="W532" s="39" t="s">
        <v>4512</v>
      </c>
      <c r="X532" s="39" t="str">
        <f>CONCATENATE(W532, D532)</f>
        <v>https://docs.inswave.com/websquare/websquare.html?w2xPath=/support/api/guide/TabControl/tabPosition_TabControl/tabPosition_TabControl.xml</v>
      </c>
      <c r="Y532" s="48" t="str">
        <f>HYPERLINK(X532, H532)</f>
        <v>탭 위치 설정</v>
      </c>
      <c r="Z532" s="4" t="str">
        <f>HYPERLINK(V532,H532)</f>
        <v>탭 위치 설정</v>
      </c>
      <c r="AA532" s="4" t="str">
        <f>HYPERLINK(J532,H532)</f>
        <v>탭 위치 설정</v>
      </c>
      <c r="AB532" s="39" t="str">
        <f t="shared" si="12"/>
        <v>https://docs.inswave.com/websquare/websquare.html?w2xPath=/support/api/guide/TabControl/tabPosition_TabControl/tabPosition_TabControl.xml</v>
      </c>
    </row>
    <row r="533" spans="1:30" s="39" customFormat="1" ht="102" x14ac:dyDescent="0.45">
      <c r="A533" s="37">
        <f>SUBTOTAL(3, $T$2:T533)</f>
        <v>435</v>
      </c>
      <c r="B533" s="38" t="s">
        <v>17</v>
      </c>
      <c r="C533" s="39" t="s">
        <v>17</v>
      </c>
      <c r="D533" s="39" t="s">
        <v>3660</v>
      </c>
      <c r="E533" s="40" t="s">
        <v>3237</v>
      </c>
      <c r="F533" s="41" t="s">
        <v>327</v>
      </c>
      <c r="G533" s="39" t="s">
        <v>322</v>
      </c>
      <c r="H533" s="53" t="s">
        <v>4192</v>
      </c>
      <c r="I533" s="44" t="s">
        <v>58</v>
      </c>
      <c r="J533" s="14" t="s">
        <v>337</v>
      </c>
      <c r="K533" s="22" t="s">
        <v>3026</v>
      </c>
      <c r="L533" s="46">
        <v>44501</v>
      </c>
      <c r="M533" s="14"/>
      <c r="N533" s="45" t="s">
        <v>199</v>
      </c>
      <c r="O533" s="45" t="s">
        <v>199</v>
      </c>
      <c r="P533" s="45" t="s">
        <v>199</v>
      </c>
      <c r="Q533" s="45" t="s">
        <v>199</v>
      </c>
      <c r="R533" s="45" t="s">
        <v>199</v>
      </c>
      <c r="S533" s="45" t="s">
        <v>199</v>
      </c>
      <c r="T533" s="47" t="s">
        <v>4247</v>
      </c>
      <c r="U533" s="39" t="s">
        <v>3764</v>
      </c>
      <c r="V533" s="39" t="str">
        <f>CONCATENATE(U533, D533)</f>
        <v>https://example.websquare.kr/websquare/websquare.html?w2xPath=/guide/TabControl/frameModal_TabControl/frameModal_TabControl.xml</v>
      </c>
      <c r="W533" s="39" t="s">
        <v>4512</v>
      </c>
      <c r="X533" s="39" t="str">
        <f>CONCATENATE(W533, D533)</f>
        <v>https://docs.inswave.com/websquare/websquare.html?w2xPath=/support/api/guide/TabControl/frameModal_TabControl/frameModal_TabControl.xml</v>
      </c>
      <c r="Y533" s="48" t="str">
        <f>HYPERLINK(X533, H533)</f>
        <v>탭에서 생성한 부모-자식 팝업 함께 닫기</v>
      </c>
      <c r="Z533" s="4" t="str">
        <f>HYPERLINK(V533,H533)</f>
        <v>탭에서 생성한 부모-자식 팝업 함께 닫기</v>
      </c>
      <c r="AA533" s="4" t="str">
        <f>HYPERLINK(J533,H533)</f>
        <v>탭에서 생성한 부모-자식 팝업 함께 닫기</v>
      </c>
      <c r="AB533" s="39" t="str">
        <f t="shared" si="12"/>
        <v>https://docs.inswave.com/websquare/websquare.html?w2xPath=/support/api/guide/TabControl/frameModal_TabControl/frameModal_TabControl.xml</v>
      </c>
      <c r="AC533" s="45"/>
      <c r="AD533" s="45"/>
    </row>
    <row r="534" spans="1:30" s="39" customFormat="1" ht="102" x14ac:dyDescent="0.45">
      <c r="A534" s="37">
        <f>SUBTOTAL(3, $T$2:T534)</f>
        <v>436</v>
      </c>
      <c r="B534" s="38" t="s">
        <v>17</v>
      </c>
      <c r="C534" s="39" t="s">
        <v>17</v>
      </c>
      <c r="D534" s="39" t="s">
        <v>3668</v>
      </c>
      <c r="E534" s="40" t="s">
        <v>740</v>
      </c>
      <c r="F534" s="41" t="s">
        <v>728</v>
      </c>
      <c r="G534" s="39" t="s">
        <v>733</v>
      </c>
      <c r="H534" s="53" t="s">
        <v>4202</v>
      </c>
      <c r="I534" s="44" t="s">
        <v>734</v>
      </c>
      <c r="J534" s="14" t="s">
        <v>735</v>
      </c>
      <c r="K534" s="22" t="s">
        <v>3642</v>
      </c>
      <c r="L534" s="46">
        <v>44166</v>
      </c>
      <c r="M534" s="14"/>
      <c r="N534" s="45" t="s">
        <v>199</v>
      </c>
      <c r="O534" s="45" t="s">
        <v>199</v>
      </c>
      <c r="P534" s="47" t="s">
        <v>199</v>
      </c>
      <c r="Q534" s="45" t="s">
        <v>199</v>
      </c>
      <c r="R534" s="45" t="s">
        <v>199</v>
      </c>
      <c r="S534" s="45" t="s">
        <v>199</v>
      </c>
      <c r="T534" s="47" t="s">
        <v>4247</v>
      </c>
      <c r="U534" s="39" t="s">
        <v>3764</v>
      </c>
      <c r="V534" s="39" t="str">
        <f>CONCATENATE(U534, D534)</f>
        <v>https://example.websquare.kr/websquare/websquare.html?w2xPath=/guide/TabControl/tabScroll_tabScrollAuto_TabControl/tabScroll_tabScrollAuto_TabControl.xml</v>
      </c>
      <c r="W534" s="39" t="s">
        <v>4512</v>
      </c>
      <c r="X534" s="39" t="str">
        <f>CONCATENATE(W534, D534)</f>
        <v>https://docs.inswave.com/websquare/websquare.html?w2xPath=/support/api/guide/TabControl/tabScroll_tabScrollAuto_TabControl/tabScroll_tabScrollAuto_TabControl.xml</v>
      </c>
      <c r="Y534" s="48" t="str">
        <f>HYPERLINK(X534, H534)</f>
        <v>탭을 닫을 때 스크롤에 보이는 탭의 수를 유지</v>
      </c>
      <c r="Z534" s="4" t="str">
        <f>HYPERLINK(V534,H534)</f>
        <v>탭을 닫을 때 스크롤에 보이는 탭의 수를 유지</v>
      </c>
      <c r="AA534" s="4" t="str">
        <f>HYPERLINK(J534,H534)</f>
        <v>탭을 닫을 때 스크롤에 보이는 탭의 수를 유지</v>
      </c>
      <c r="AB534" s="39" t="str">
        <f t="shared" si="12"/>
        <v>https://docs.inswave.com/websquare/websquare.html?w2xPath=/support/api/guide/TabControl/tabScroll_tabScrollAuto_TabControl/tabScroll_tabScrollAuto_TabControl.xml</v>
      </c>
    </row>
    <row r="535" spans="1:30" s="39" customFormat="1" ht="102" x14ac:dyDescent="0.45">
      <c r="A535" s="37">
        <f>SUBTOTAL(3, $T$2:T535)</f>
        <v>437</v>
      </c>
      <c r="B535" s="38" t="s">
        <v>22</v>
      </c>
      <c r="C535" s="39" t="s">
        <v>22</v>
      </c>
      <c r="D535" s="39" t="s">
        <v>1209</v>
      </c>
      <c r="E535" s="40" t="s">
        <v>1134</v>
      </c>
      <c r="F535" s="41" t="s">
        <v>2075</v>
      </c>
      <c r="G535" s="39" t="s">
        <v>3912</v>
      </c>
      <c r="H535" s="49" t="s">
        <v>3912</v>
      </c>
      <c r="J535" s="14" t="s">
        <v>1211</v>
      </c>
      <c r="K535" s="22" t="s">
        <v>3038</v>
      </c>
      <c r="L535" s="46">
        <v>43647</v>
      </c>
      <c r="M535" s="14"/>
      <c r="N535" s="45" t="s">
        <v>199</v>
      </c>
      <c r="O535" s="45" t="s">
        <v>199</v>
      </c>
      <c r="P535" s="45" t="s">
        <v>199</v>
      </c>
      <c r="Q535" s="45" t="s">
        <v>199</v>
      </c>
      <c r="R535" s="45" t="s">
        <v>199</v>
      </c>
      <c r="S535" s="45" t="s">
        <v>199</v>
      </c>
      <c r="T535" s="47" t="s">
        <v>4247</v>
      </c>
      <c r="U535" s="39" t="s">
        <v>3764</v>
      </c>
      <c r="V535" s="39" t="str">
        <f>CONCATENATE(U535, D535)</f>
        <v>https://example.websquare.kr/websquare/websquare.html?w2xPath=/guide/TableLayout/introduction_TableLayout.xml</v>
      </c>
      <c r="W535" s="39" t="s">
        <v>4512</v>
      </c>
      <c r="X535" s="39" t="str">
        <f>CONCATENATE(W535, D535)</f>
        <v>https://docs.inswave.com/websquare/websquare.html?w2xPath=/support/api/guide/TableLayout/introduction_TableLayout.xml</v>
      </c>
      <c r="Y535" s="48" t="str">
        <f>HYPERLINK(X535, H535)</f>
        <v>TableLayout 소개</v>
      </c>
      <c r="Z535" s="4" t="str">
        <f>HYPERLINK(V535,H535)</f>
        <v>TableLayout 소개</v>
      </c>
      <c r="AA535" s="4" t="str">
        <f>HYPERLINK(J535,H535)</f>
        <v>TableLayout 소개</v>
      </c>
      <c r="AB535" s="39" t="str">
        <f t="shared" si="12"/>
        <v>https://docs.inswave.com/websquare/websquare.html?w2xPath=/support/api/guide/TableLayout/introduction_TableLayout.xml</v>
      </c>
    </row>
    <row r="536" spans="1:30" s="39" customFormat="1" ht="102" hidden="1" x14ac:dyDescent="0.45">
      <c r="A536" s="37">
        <f>SUBTOTAL(3, $T$2:T536)</f>
        <v>437</v>
      </c>
      <c r="B536" s="38" t="s">
        <v>2083</v>
      </c>
      <c r="C536" s="39" t="s">
        <v>2083</v>
      </c>
      <c r="D536" s="39" t="s">
        <v>3293</v>
      </c>
      <c r="E536" s="40" t="s">
        <v>3191</v>
      </c>
      <c r="F536" s="41" t="s">
        <v>3203</v>
      </c>
      <c r="G536" s="39" t="s">
        <v>3296</v>
      </c>
      <c r="H536" s="67" t="s">
        <v>3296</v>
      </c>
      <c r="I536" s="44" t="s">
        <v>3204</v>
      </c>
      <c r="J536" s="14" t="s">
        <v>3298</v>
      </c>
      <c r="K536" s="23" t="s">
        <v>3297</v>
      </c>
      <c r="L536" s="46">
        <v>45536</v>
      </c>
      <c r="M536" s="14"/>
      <c r="N536" s="45"/>
      <c r="O536" s="45"/>
      <c r="P536" s="45"/>
      <c r="Q536" s="45" t="s">
        <v>199</v>
      </c>
      <c r="R536" s="45" t="s">
        <v>199</v>
      </c>
      <c r="S536" s="45" t="s">
        <v>199</v>
      </c>
      <c r="T536" s="47" t="s">
        <v>4515</v>
      </c>
      <c r="U536" s="39" t="s">
        <v>3764</v>
      </c>
      <c r="V536" s="39" t="str">
        <f>CONCATENATE(U536, D536)</f>
        <v>https://example.websquare.kr/websquare/websquare.html?w2xPath=/guide/ScheduleCalendar/setDayNameStyle_ScheduleCalendar.xml</v>
      </c>
      <c r="W536" s="39" t="s">
        <v>4220</v>
      </c>
      <c r="X536" s="39" t="str">
        <f>CONCATENATE(W536, D536)</f>
        <v>https://docs.inswave.com/websquare/websquare.html?w2xPath=/support/api/samples/ScheduleCalendar/setDayNameStyle_ScheduleCalendar.xml</v>
      </c>
      <c r="Y536" s="48"/>
      <c r="Z536" s="4"/>
      <c r="AA536" s="4" t="str">
        <f>HYPERLINK(J536,H536)</f>
        <v>특정 요일 컬럼의 스타일 지정</v>
      </c>
      <c r="AB536" s="39" t="str">
        <f t="shared" si="12"/>
        <v>https://docs.inswave.com/websquare/websquare.html?w2xPath=/support/api/samples/ScheduleCalendar/setDayNameStyle_ScheduleCalendar.xml</v>
      </c>
    </row>
    <row r="537" spans="1:30" s="39" customFormat="1" ht="102" x14ac:dyDescent="0.45">
      <c r="A537" s="37">
        <f>SUBTOTAL(3, $T$2:T537)</f>
        <v>438</v>
      </c>
      <c r="B537" s="38" t="s">
        <v>22</v>
      </c>
      <c r="C537" s="39" t="s">
        <v>22</v>
      </c>
      <c r="D537" s="39" t="s">
        <v>1633</v>
      </c>
      <c r="E537" s="40" t="s">
        <v>1218</v>
      </c>
      <c r="F537" s="41" t="s">
        <v>2230</v>
      </c>
      <c r="G537" s="39" t="s">
        <v>3911</v>
      </c>
      <c r="H537" s="49" t="s">
        <v>3911</v>
      </c>
      <c r="I537" s="44" t="s">
        <v>1210</v>
      </c>
      <c r="J537" s="14" t="s">
        <v>1632</v>
      </c>
      <c r="K537" s="22" t="s">
        <v>3037</v>
      </c>
      <c r="L537" s="46">
        <v>43647</v>
      </c>
      <c r="M537" s="14"/>
      <c r="N537" s="45" t="s">
        <v>199</v>
      </c>
      <c r="O537" s="45" t="s">
        <v>199</v>
      </c>
      <c r="P537" s="45" t="s">
        <v>199</v>
      </c>
      <c r="Q537" s="45" t="s">
        <v>199</v>
      </c>
      <c r="R537" s="45" t="s">
        <v>199</v>
      </c>
      <c r="S537" s="45" t="s">
        <v>199</v>
      </c>
      <c r="T537" s="47" t="s">
        <v>4247</v>
      </c>
      <c r="U537" s="39" t="s">
        <v>3764</v>
      </c>
      <c r="V537" s="39" t="str">
        <f>CONCATENATE(U537, D537)</f>
        <v>https://example.websquare.kr/websquare/websquare.html?w2xPath=/guide/TableLayout/adaptive_adaptiveThreshold_TableLayout.xml</v>
      </c>
      <c r="W537" s="39" t="s">
        <v>4512</v>
      </c>
      <c r="X537" s="39" t="str">
        <f>CONCATENATE(W537, D537)</f>
        <v>https://docs.inswave.com/websquare/websquare.html?w2xPath=/support/api/guide/TableLayout/adaptive_adaptiveThreshold_TableLayout.xml</v>
      </c>
      <c r="Y537" s="48" t="str">
        <f>HYPERLINK(X537, H537)</f>
        <v>적응형 웹 적용</v>
      </c>
      <c r="Z537" s="4" t="str">
        <f>HYPERLINK(V537,H537)</f>
        <v>적응형 웹 적용</v>
      </c>
      <c r="AA537" s="4" t="str">
        <f>HYPERLINK(J537,H537)</f>
        <v>적응형 웹 적용</v>
      </c>
      <c r="AB537" s="39" t="str">
        <f t="shared" si="12"/>
        <v>https://docs.inswave.com/websquare/websquare.html?w2xPath=/support/api/guide/TableLayout/adaptive_adaptiveThreshold_TableLayout.xml</v>
      </c>
    </row>
    <row r="538" spans="1:30" s="39" customFormat="1" ht="102" x14ac:dyDescent="0.45">
      <c r="A538" s="37">
        <f>SUBTOTAL(3, $T$2:T538)</f>
        <v>439</v>
      </c>
      <c r="B538" s="40" t="s">
        <v>1225</v>
      </c>
      <c r="C538" s="44" t="s">
        <v>1225</v>
      </c>
      <c r="D538" s="39" t="s">
        <v>1305</v>
      </c>
      <c r="E538" s="40" t="s">
        <v>3874</v>
      </c>
      <c r="F538" s="41" t="s">
        <v>1298</v>
      </c>
      <c r="G538" s="44" t="s">
        <v>1300</v>
      </c>
      <c r="H538" s="53" t="s">
        <v>3873</v>
      </c>
      <c r="I538" s="44" t="s">
        <v>1306</v>
      </c>
      <c r="J538" s="14" t="s">
        <v>1299</v>
      </c>
      <c r="K538" s="22" t="s">
        <v>3039</v>
      </c>
      <c r="L538" s="46">
        <v>44682</v>
      </c>
      <c r="M538" s="14"/>
      <c r="N538" s="45" t="s">
        <v>199</v>
      </c>
      <c r="O538" s="45" t="s">
        <v>199</v>
      </c>
      <c r="P538" s="45" t="s">
        <v>199</v>
      </c>
      <c r="Q538" s="45" t="s">
        <v>199</v>
      </c>
      <c r="R538" s="45" t="s">
        <v>199</v>
      </c>
      <c r="S538" s="45" t="s">
        <v>199</v>
      </c>
      <c r="T538" s="47" t="s">
        <v>4247</v>
      </c>
      <c r="U538" s="39" t="s">
        <v>3764</v>
      </c>
      <c r="V538" s="39" t="str">
        <f>CONCATENATE(U538, D538)</f>
        <v>https://example.websquare.kr/websquare/websquare.html?w2xPath=/guide/TextArea/showPlaceHolderOnReadOnly_TextArea.xml</v>
      </c>
      <c r="W538" s="39" t="s">
        <v>4512</v>
      </c>
      <c r="X538" s="39" t="str">
        <f>CONCATENATE(W538, D538)</f>
        <v>https://docs.inswave.com/websquare/websquare.html?w2xPath=/support/api/guide/TextArea/showPlaceHolderOnReadOnly_TextArea.xml</v>
      </c>
      <c r="Y538" s="48" t="str">
        <f>HYPERLINK(X538, H538)</f>
        <v>읽기 전용 혹은 비활성화 상태에서 Placeholder 표시</v>
      </c>
      <c r="Z538" s="4" t="str">
        <f>HYPERLINK(V538,H538)</f>
        <v>읽기 전용 혹은 비활성화 상태에서 Placeholder 표시</v>
      </c>
      <c r="AA538" s="4" t="str">
        <f>HYPERLINK(J538,H538)</f>
        <v>읽기 전용 혹은 비활성화 상태에서 Placeholder 표시</v>
      </c>
      <c r="AB538" s="39" t="str">
        <f t="shared" si="12"/>
        <v>https://docs.inswave.com/websquare/websquare.html?w2xPath=/support/api/guide/TextArea/showPlaceHolderOnReadOnly_TextArea.xml</v>
      </c>
    </row>
    <row r="539" spans="1:30" s="39" customFormat="1" ht="102" x14ac:dyDescent="0.45">
      <c r="A539" s="37">
        <f>SUBTOTAL(3, $T$2:T539)</f>
        <v>440</v>
      </c>
      <c r="B539" s="38" t="s">
        <v>23</v>
      </c>
      <c r="C539" s="39" t="s">
        <v>2085</v>
      </c>
      <c r="D539" s="39" t="s">
        <v>1207</v>
      </c>
      <c r="E539" s="40" t="s">
        <v>2067</v>
      </c>
      <c r="F539" s="41" t="s">
        <v>2177</v>
      </c>
      <c r="G539" s="39" t="s">
        <v>1206</v>
      </c>
      <c r="H539" s="53" t="s">
        <v>3876</v>
      </c>
      <c r="I539" s="39" t="s">
        <v>1208</v>
      </c>
      <c r="J539" s="14" t="s">
        <v>1212</v>
      </c>
      <c r="K539" s="22" t="s">
        <v>3040</v>
      </c>
      <c r="L539" s="46">
        <v>43647</v>
      </c>
      <c r="M539" s="50" t="s">
        <v>199</v>
      </c>
      <c r="N539" s="45" t="s">
        <v>199</v>
      </c>
      <c r="O539" s="45" t="s">
        <v>199</v>
      </c>
      <c r="P539" s="45" t="s">
        <v>199</v>
      </c>
      <c r="Q539" s="45" t="s">
        <v>199</v>
      </c>
      <c r="R539" s="45" t="s">
        <v>199</v>
      </c>
      <c r="S539" s="45" t="s">
        <v>199</v>
      </c>
      <c r="T539" s="47" t="s">
        <v>4247</v>
      </c>
      <c r="U539" s="39" t="s">
        <v>3764</v>
      </c>
      <c r="V539" s="39" t="str">
        <f>CONCATENATE(U539, D539)</f>
        <v>https://example.websquare.kr/websquare/websquare.html?w2xPath=/guide/TextBox/tagname_TextBox.xml</v>
      </c>
      <c r="W539" s="39" t="s">
        <v>4512</v>
      </c>
      <c r="X539" s="39" t="str">
        <f>CONCATENATE(W539, D539)</f>
        <v>https://docs.inswave.com/websquare/websquare.html?w2xPath=/support/api/guide/TextBox/tagname_TextBox.xml</v>
      </c>
      <c r="Y539" s="48" t="str">
        <f>HYPERLINK(X539, H539)</f>
        <v>HTML 태그 지원</v>
      </c>
      <c r="Z539" s="4" t="str">
        <f>HYPERLINK(V539,H539)</f>
        <v>HTML 태그 지원</v>
      </c>
      <c r="AA539" s="4" t="str">
        <f>HYPERLINK(J539,H539)</f>
        <v>HTML 태그 지원</v>
      </c>
      <c r="AB539" s="39" t="str">
        <f t="shared" si="12"/>
        <v>https://docs.inswave.com/websquare/websquare.html?w2xPath=/support/api/guide/TextBox/tagname_TextBox.xml</v>
      </c>
    </row>
    <row r="540" spans="1:30" s="39" customFormat="1" ht="102" x14ac:dyDescent="0.45">
      <c r="A540" s="37">
        <f>SUBTOTAL(3, $T$2:T540)</f>
        <v>441</v>
      </c>
      <c r="B540" s="38" t="s">
        <v>23</v>
      </c>
      <c r="C540" s="39" t="s">
        <v>23</v>
      </c>
      <c r="D540" s="39" t="s">
        <v>1442</v>
      </c>
      <c r="E540" s="40" t="s">
        <v>1518</v>
      </c>
      <c r="F540" s="41" t="s">
        <v>1441</v>
      </c>
      <c r="G540" s="39" t="s">
        <v>1443</v>
      </c>
      <c r="H540" s="53" t="s">
        <v>3875</v>
      </c>
      <c r="I540" s="44" t="s">
        <v>1588</v>
      </c>
      <c r="J540" s="14" t="s">
        <v>1440</v>
      </c>
      <c r="K540" s="22" t="s">
        <v>3041</v>
      </c>
      <c r="L540" s="46">
        <v>44166</v>
      </c>
      <c r="M540" s="14"/>
      <c r="N540" s="45" t="s">
        <v>199</v>
      </c>
      <c r="O540" s="45" t="s">
        <v>199</v>
      </c>
      <c r="P540" s="45" t="s">
        <v>199</v>
      </c>
      <c r="Q540" s="45" t="s">
        <v>199</v>
      </c>
      <c r="R540" s="45" t="s">
        <v>199</v>
      </c>
      <c r="S540" s="45" t="s">
        <v>199</v>
      </c>
      <c r="T540" s="47" t="s">
        <v>4247</v>
      </c>
      <c r="U540" s="39" t="s">
        <v>3764</v>
      </c>
      <c r="V540" s="39" t="str">
        <f>CONCATENATE(U540, D540)</f>
        <v>https://example.websquare.kr/websquare/websquare.html?w2xPath=/guide/TextBox/tooltipDisplay_tooltipShowAlways_TextBox.xml</v>
      </c>
      <c r="W540" s="39" t="s">
        <v>4512</v>
      </c>
      <c r="X540" s="39" t="str">
        <f>CONCATENATE(W540, D540)</f>
        <v>https://docs.inswave.com/websquare/websquare.html?w2xPath=/support/api/guide/TextBox/tooltipDisplay_tooltipShowAlways_TextBox.xml</v>
      </c>
      <c r="Y540" s="48" t="str">
        <f>HYPERLINK(X540, H540)</f>
        <v>항상 툴팁 표시</v>
      </c>
      <c r="Z540" s="4" t="str">
        <f>HYPERLINK(V540,H540)</f>
        <v>항상 툴팁 표시</v>
      </c>
      <c r="AA540" s="4" t="str">
        <f>HYPERLINK(J540,H540)</f>
        <v>항상 툴팁 표시</v>
      </c>
      <c r="AB540" s="39" t="str">
        <f t="shared" si="12"/>
        <v>https://docs.inswave.com/websquare/websquare.html?w2xPath=/support/api/guide/TextBox/tooltipDisplay_tooltipShowAlways_TextBox.xml</v>
      </c>
    </row>
    <row r="541" spans="1:30" s="39" customFormat="1" ht="102" x14ac:dyDescent="0.45">
      <c r="A541" s="37">
        <f>SUBTOTAL(3, $T$2:T541)</f>
        <v>442</v>
      </c>
      <c r="B541" s="38" t="s">
        <v>9</v>
      </c>
      <c r="C541" s="39" t="s">
        <v>9</v>
      </c>
      <c r="D541" s="39" t="s">
        <v>1117</v>
      </c>
      <c r="E541" s="40" t="s">
        <v>1145</v>
      </c>
      <c r="F541" s="41" t="s">
        <v>1115</v>
      </c>
      <c r="G541" s="39" t="s">
        <v>1116</v>
      </c>
      <c r="H541" s="53" t="s">
        <v>3904</v>
      </c>
      <c r="I541" s="44" t="s">
        <v>1104</v>
      </c>
      <c r="J541" s="14" t="s">
        <v>1114</v>
      </c>
      <c r="K541" s="22" t="s">
        <v>3044</v>
      </c>
      <c r="L541" s="46">
        <v>44682</v>
      </c>
      <c r="M541" s="50" t="s">
        <v>199</v>
      </c>
      <c r="N541" s="45" t="s">
        <v>199</v>
      </c>
      <c r="O541" s="45" t="s">
        <v>199</v>
      </c>
      <c r="P541" s="45" t="s">
        <v>199</v>
      </c>
      <c r="Q541" s="45" t="s">
        <v>199</v>
      </c>
      <c r="R541" s="45" t="s">
        <v>199</v>
      </c>
      <c r="S541" s="45" t="s">
        <v>199</v>
      </c>
      <c r="T541" s="47" t="s">
        <v>4247</v>
      </c>
      <c r="U541" s="39" t="s">
        <v>3764</v>
      </c>
      <c r="V541" s="39" t="str">
        <f>CONCATENATE(U541, D541)</f>
        <v>https://example.websquare.kr/websquare/websquare.html?w2xPath=/guide/TreeView/showCheckbox_setShowCheckBox_TreeView.xml</v>
      </c>
      <c r="W541" s="39" t="s">
        <v>4512</v>
      </c>
      <c r="X541" s="39" t="str">
        <f>CONCATENATE(W541, D541)</f>
        <v>https://docs.inswave.com/websquare/websquare.html?w2xPath=/support/api/guide/TreeView/showCheckbox_setShowCheckBox_TreeView.xml</v>
      </c>
      <c r="Y541" s="48" t="str">
        <f>HYPERLINK(X541, H541)</f>
        <v>각 노드에 체크박스 표시</v>
      </c>
      <c r="Z541" s="4" t="str">
        <f>HYPERLINK(V541,H541)</f>
        <v>각 노드에 체크박스 표시</v>
      </c>
      <c r="AA541" s="4" t="str">
        <f>HYPERLINK(J541,H541)</f>
        <v>각 노드에 체크박스 표시</v>
      </c>
      <c r="AB541" s="39" t="str">
        <f t="shared" si="12"/>
        <v>https://docs.inswave.com/websquare/websquare.html?w2xPath=/support/api/guide/TreeView/showCheckbox_setShowCheckBox_TreeView.xml</v>
      </c>
    </row>
    <row r="542" spans="1:30" s="39" customFormat="1" ht="102" hidden="1" x14ac:dyDescent="0.45">
      <c r="A542" s="37">
        <f>SUBTOTAL(3, $T$2:T542)</f>
        <v>442</v>
      </c>
      <c r="B542" s="38" t="s">
        <v>19</v>
      </c>
      <c r="C542" s="39" t="s">
        <v>3645</v>
      </c>
      <c r="D542" s="39" t="s">
        <v>1026</v>
      </c>
      <c r="E542" s="40" t="s">
        <v>1023</v>
      </c>
      <c r="F542" s="41" t="s">
        <v>1022</v>
      </c>
      <c r="G542" s="39" t="s">
        <v>1024</v>
      </c>
      <c r="H542" s="43" t="s">
        <v>3583</v>
      </c>
      <c r="I542" s="44" t="s">
        <v>1025</v>
      </c>
      <c r="J542" s="14" t="s">
        <v>1021</v>
      </c>
      <c r="K542" s="45" t="s">
        <v>3550</v>
      </c>
      <c r="L542" s="46">
        <v>43617</v>
      </c>
      <c r="M542" s="14"/>
      <c r="N542" s="45"/>
      <c r="O542" s="45"/>
      <c r="P542" s="45"/>
      <c r="Q542" s="45"/>
      <c r="R542" s="45"/>
      <c r="S542" s="45"/>
      <c r="T542" s="47" t="s">
        <v>4248</v>
      </c>
      <c r="U542" s="39" t="s">
        <v>3764</v>
      </c>
      <c r="V542" s="39" t="str">
        <f>CONCATENATE(U542, D542)</f>
        <v>https://example.websquare.kr/websquare/websquare.html?w2xPath=/guide/_DataCollection/setCondition_LinkedDataList.pdf</v>
      </c>
      <c r="W542" s="39" t="s">
        <v>4220</v>
      </c>
      <c r="X542" s="39" t="str">
        <f>CONCATENATE(W542, D542)</f>
        <v>https://docs.inswave.com/websquare/websquare.html?w2xPath=/support/api/samples/_DataCollection/setCondition_LinkedDataList.pdf</v>
      </c>
      <c r="Y542" s="48"/>
      <c r="Z542" s="4"/>
      <c r="AA542" s="4" t="str">
        <f>HYPERLINK(J542,H542)</f>
        <v>데이터 필터/정렬</v>
      </c>
      <c r="AB542" s="39" t="str">
        <f t="shared" si="12"/>
        <v>https://docs.inswave.com/websquare/websquare.html?w2xPath=/support/api/samples/_DataCollection/setCondition_LinkedDataList.pdf</v>
      </c>
    </row>
    <row r="543" spans="1:30" s="39" customFormat="1" ht="102" hidden="1" x14ac:dyDescent="0.45">
      <c r="A543" s="37">
        <f>SUBTOTAL(3, $T$2:T543)</f>
        <v>442</v>
      </c>
      <c r="B543" s="40" t="s">
        <v>19</v>
      </c>
      <c r="C543" s="39" t="s">
        <v>3645</v>
      </c>
      <c r="D543" s="39" t="s">
        <v>3646</v>
      </c>
      <c r="E543" s="40" t="s">
        <v>1031</v>
      </c>
      <c r="F543" s="41" t="s">
        <v>1032</v>
      </c>
      <c r="G543" s="39" t="s">
        <v>1034</v>
      </c>
      <c r="H543" s="43" t="s">
        <v>3584</v>
      </c>
      <c r="I543" s="44" t="s">
        <v>1030</v>
      </c>
      <c r="J543" s="14" t="s">
        <v>1033</v>
      </c>
      <c r="K543" s="45" t="s">
        <v>3550</v>
      </c>
      <c r="L543" s="46">
        <v>43617</v>
      </c>
      <c r="M543" s="14"/>
      <c r="N543" s="45"/>
      <c r="O543" s="45"/>
      <c r="P543" s="45"/>
      <c r="Q543" s="45"/>
      <c r="R543" s="45"/>
      <c r="S543" s="45"/>
      <c r="T543" s="47" t="s">
        <v>4248</v>
      </c>
      <c r="U543" s="39" t="s">
        <v>3764</v>
      </c>
      <c r="V543" s="39" t="str">
        <f>CONCATENATE(U543, D543)</f>
        <v>https://example.websquare.kr/websquare/websquare.html?w2xPath=/guide/_DataCollection/LinkedDataList/getFilteredRowIndex_LinkedDataList.pdf</v>
      </c>
      <c r="W543" s="39" t="s">
        <v>4220</v>
      </c>
      <c r="X543" s="39" t="str">
        <f>CONCATENATE(W543, D543)</f>
        <v>https://docs.inswave.com/websquare/websquare.html?w2xPath=/support/api/samples/_DataCollection/LinkedDataList/getFilteredRowIndex_LinkedDataList.pdf</v>
      </c>
      <c r="Y543" s="48"/>
      <c r="Z543" s="4"/>
      <c r="AA543" s="4" t="str">
        <f>HYPERLINK(J543,H543)</f>
        <v>필터 행 인덱스</v>
      </c>
      <c r="AB543" s="39" t="str">
        <f t="shared" si="12"/>
        <v>https://docs.inswave.com/websquare/websquare.html?w2xPath=/support/api/samples/_DataCollection/LinkedDataList/getFilteredRowIndex_LinkedDataList.pdf</v>
      </c>
    </row>
    <row r="544" spans="1:30" s="39" customFormat="1" ht="102" x14ac:dyDescent="0.45">
      <c r="A544" s="37">
        <f>SUBTOTAL(3, $T$2:T544)</f>
        <v>443</v>
      </c>
      <c r="B544" s="38" t="s">
        <v>9</v>
      </c>
      <c r="C544" s="39" t="s">
        <v>9</v>
      </c>
      <c r="D544" s="39" t="s">
        <v>1152</v>
      </c>
      <c r="E544" s="40" t="s">
        <v>1166</v>
      </c>
      <c r="F544" s="41" t="s">
        <v>1151</v>
      </c>
      <c r="G544" s="44" t="s">
        <v>1153</v>
      </c>
      <c r="H544" s="53" t="s">
        <v>3905</v>
      </c>
      <c r="I544" s="44" t="s">
        <v>1164</v>
      </c>
      <c r="J544" s="14" t="s">
        <v>1150</v>
      </c>
      <c r="K544" s="22" t="s">
        <v>3043</v>
      </c>
      <c r="L544" s="46">
        <v>44682</v>
      </c>
      <c r="M544" s="50" t="s">
        <v>199</v>
      </c>
      <c r="N544" s="45" t="s">
        <v>199</v>
      </c>
      <c r="O544" s="45" t="s">
        <v>199</v>
      </c>
      <c r="P544" s="45" t="s">
        <v>199</v>
      </c>
      <c r="Q544" s="45" t="s">
        <v>199</v>
      </c>
      <c r="R544" s="45" t="s">
        <v>199</v>
      </c>
      <c r="S544" s="45" t="s">
        <v>199</v>
      </c>
      <c r="T544" s="47" t="s">
        <v>4247</v>
      </c>
      <c r="U544" s="39" t="s">
        <v>3764</v>
      </c>
      <c r="V544" s="39" t="str">
        <f>CONCATENATE(U544, D544)</f>
        <v>https://example.websquare.kr/websquare/websquare.html?w2xPath=/guide/TreeView/showCheckbox_hierarchy_TreeView.xml</v>
      </c>
      <c r="W544" s="39" t="s">
        <v>4512</v>
      </c>
      <c r="X544" s="39" t="str">
        <f>CONCATENATE(W544, D544)</f>
        <v>https://docs.inswave.com/websquare/websquare.html?w2xPath=/support/api/guide/TreeView/showCheckbox_hierarchy_TreeView.xml</v>
      </c>
      <c r="Y544" s="48" t="str">
        <f>HYPERLINK(X544, H544)</f>
        <v>부모 노드 체크 박스를 선택하여 자식 노드 전체를 선택</v>
      </c>
      <c r="Z544" s="4" t="str">
        <f>HYPERLINK(V544,H544)</f>
        <v>부모 노드 체크 박스를 선택하여 자식 노드 전체를 선택</v>
      </c>
      <c r="AA544" s="4" t="str">
        <f>HYPERLINK(J544,H544)</f>
        <v>부모 노드 체크 박스를 선택하여 자식 노드 전체를 선택</v>
      </c>
      <c r="AB544" s="39" t="str">
        <f t="shared" ref="AB544:AB574" si="13">CONCATENATE(W544, D544)</f>
        <v>https://docs.inswave.com/websquare/websquare.html?w2xPath=/support/api/guide/TreeView/showCheckbox_hierarchy_TreeView.xml</v>
      </c>
    </row>
    <row r="545" spans="1:30" s="39" customFormat="1" ht="102" x14ac:dyDescent="0.45">
      <c r="A545" s="37">
        <f>SUBTOTAL(3, $T$2:T545)</f>
        <v>444</v>
      </c>
      <c r="B545" s="38" t="s">
        <v>2033</v>
      </c>
      <c r="C545" s="39" t="s">
        <v>2033</v>
      </c>
      <c r="D545" s="39" t="s">
        <v>2069</v>
      </c>
      <c r="E545" s="40" t="s">
        <v>2030</v>
      </c>
      <c r="F545" s="41" t="s">
        <v>2040</v>
      </c>
      <c r="G545" s="39" t="s">
        <v>2032</v>
      </c>
      <c r="H545" s="53" t="s">
        <v>3903</v>
      </c>
      <c r="I545" s="44" t="s">
        <v>2042</v>
      </c>
      <c r="J545" s="14" t="s">
        <v>2072</v>
      </c>
      <c r="K545" s="22" t="s">
        <v>3045</v>
      </c>
      <c r="L545" s="46">
        <v>44986</v>
      </c>
      <c r="M545" s="50" t="s">
        <v>199</v>
      </c>
      <c r="N545" s="45" t="s">
        <v>199</v>
      </c>
      <c r="O545" s="45" t="s">
        <v>199</v>
      </c>
      <c r="P545" s="45" t="s">
        <v>199</v>
      </c>
      <c r="Q545" s="45" t="s">
        <v>199</v>
      </c>
      <c r="R545" s="45" t="s">
        <v>199</v>
      </c>
      <c r="S545" s="45" t="s">
        <v>199</v>
      </c>
      <c r="T545" s="47" t="s">
        <v>4247</v>
      </c>
      <c r="U545" s="39" t="s">
        <v>3764</v>
      </c>
      <c r="V545" s="39" t="str">
        <f>CONCATENATE(U545, D545)</f>
        <v>https://example.websquare.kr/websquare/websquare.html?w2xPath=/guide/TreeView/spanAll_TreeView.xml</v>
      </c>
      <c r="W545" s="39" t="s">
        <v>4512</v>
      </c>
      <c r="X545" s="39" t="str">
        <f>CONCATENATE(W545, D545)</f>
        <v>https://docs.inswave.com/websquare/websquare.html?w2xPath=/support/api/guide/TreeView/spanAll_TreeView.xml</v>
      </c>
      <c r="Y545" s="48" t="str">
        <f>HYPERLINK(X545, H545)</f>
        <v>전체 노드 접기/펼치기</v>
      </c>
      <c r="Z545" s="4" t="str">
        <f>HYPERLINK(V545,H545)</f>
        <v>전체 노드 접기/펼치기</v>
      </c>
      <c r="AA545" s="4" t="str">
        <f>HYPERLINK(J545,H545)</f>
        <v>전체 노드 접기/펼치기</v>
      </c>
      <c r="AB545" s="39" t="str">
        <f t="shared" si="13"/>
        <v>https://docs.inswave.com/websquare/websquare.html?w2xPath=/support/api/guide/TreeView/spanAll_TreeView.xml</v>
      </c>
    </row>
    <row r="546" spans="1:30" s="39" customFormat="1" ht="102" x14ac:dyDescent="0.45">
      <c r="A546" s="37">
        <f>SUBTOTAL(3, $T$2:T546)</f>
        <v>445</v>
      </c>
      <c r="B546" s="38" t="s">
        <v>2033</v>
      </c>
      <c r="C546" s="39" t="s">
        <v>2033</v>
      </c>
      <c r="D546" s="39" t="s">
        <v>2070</v>
      </c>
      <c r="E546" s="40" t="s">
        <v>2031</v>
      </c>
      <c r="F546" s="41" t="s">
        <v>2041</v>
      </c>
      <c r="G546" s="39" t="s">
        <v>2044</v>
      </c>
      <c r="H546" s="53" t="s">
        <v>3902</v>
      </c>
      <c r="I546" s="44" t="s">
        <v>2043</v>
      </c>
      <c r="J546" s="14" t="s">
        <v>2073</v>
      </c>
      <c r="K546" s="22" t="s">
        <v>3046</v>
      </c>
      <c r="L546" s="46">
        <v>44986</v>
      </c>
      <c r="M546" s="50" t="s">
        <v>199</v>
      </c>
      <c r="N546" s="45" t="s">
        <v>199</v>
      </c>
      <c r="O546" s="45" t="s">
        <v>199</v>
      </c>
      <c r="P546" s="45" t="s">
        <v>199</v>
      </c>
      <c r="Q546" s="45" t="s">
        <v>199</v>
      </c>
      <c r="R546" s="45" t="s">
        <v>199</v>
      </c>
      <c r="S546" s="45" t="s">
        <v>199</v>
      </c>
      <c r="T546" s="47" t="s">
        <v>4247</v>
      </c>
      <c r="U546" s="39" t="s">
        <v>3764</v>
      </c>
      <c r="V546" s="39" t="str">
        <f>CONCATENATE(U546, D546)</f>
        <v>https://example.websquare.kr/websquare/websquare.html?w2xPath=/guide/TreeView/spanNode_TreeView.xml</v>
      </c>
      <c r="W546" s="39" t="s">
        <v>4512</v>
      </c>
      <c r="X546" s="39" t="str">
        <f>CONCATENATE(W546, D546)</f>
        <v>https://docs.inswave.com/websquare/websquare.html?w2xPath=/support/api/guide/TreeView/spanNode_TreeView.xml</v>
      </c>
      <c r="Y546" s="48" t="str">
        <f>HYPERLINK(X546, H546)</f>
        <v>특정 노드 접기/펼치기</v>
      </c>
      <c r="Z546" s="4" t="str">
        <f>HYPERLINK(V546,H546)</f>
        <v>특정 노드 접기/펼치기</v>
      </c>
      <c r="AA546" s="4" t="str">
        <f>HYPERLINK(J546,H546)</f>
        <v>특정 노드 접기/펼치기</v>
      </c>
      <c r="AB546" s="39" t="str">
        <f t="shared" si="13"/>
        <v>https://docs.inswave.com/websquare/websquare.html?w2xPath=/support/api/guide/TreeView/spanNode_TreeView.xml</v>
      </c>
    </row>
    <row r="547" spans="1:30" s="39" customFormat="1" ht="102" x14ac:dyDescent="0.45">
      <c r="A547" s="37">
        <f>SUBTOTAL(3, $T$2:T547)</f>
        <v>446</v>
      </c>
      <c r="B547" s="40" t="s">
        <v>2033</v>
      </c>
      <c r="C547" s="39" t="s">
        <v>2033</v>
      </c>
      <c r="D547" s="39" t="s">
        <v>2655</v>
      </c>
      <c r="E547" s="40" t="s">
        <v>2646</v>
      </c>
      <c r="F547" s="41" t="s">
        <v>2645</v>
      </c>
      <c r="G547" s="39" t="s">
        <v>2653</v>
      </c>
      <c r="H547" s="53" t="s">
        <v>3906</v>
      </c>
      <c r="I547" s="44" t="s">
        <v>2654</v>
      </c>
      <c r="J547" s="14" t="s">
        <v>2656</v>
      </c>
      <c r="K547" s="22" t="s">
        <v>3042</v>
      </c>
      <c r="L547" s="46">
        <v>45352</v>
      </c>
      <c r="M547" s="14"/>
      <c r="N547" s="45" t="s">
        <v>199</v>
      </c>
      <c r="O547" s="45" t="s">
        <v>199</v>
      </c>
      <c r="P547" s="45" t="s">
        <v>199</v>
      </c>
      <c r="Q547" s="45" t="s">
        <v>199</v>
      </c>
      <c r="R547" s="45" t="s">
        <v>199</v>
      </c>
      <c r="S547" s="45" t="s">
        <v>199</v>
      </c>
      <c r="T547" s="47" t="s">
        <v>4247</v>
      </c>
      <c r="U547" s="39" t="s">
        <v>3764</v>
      </c>
      <c r="V547" s="39" t="str">
        <f>CONCATENATE(U547, D547)</f>
        <v>https://example.websquare.kr/websquare/websquare.html?w2xPath=/guide/TreeView/setNodeClass_removeNodeClass_TreeView.xml</v>
      </c>
      <c r="W547" s="39" t="s">
        <v>4512</v>
      </c>
      <c r="X547" s="39" t="str">
        <f>CONCATENATE(W547, D547)</f>
        <v>https://docs.inswave.com/websquare/websquare.html?w2xPath=/support/api/guide/TreeView/setNodeClass_removeNodeClass_TreeView.xml</v>
      </c>
      <c r="Y547" s="48" t="str">
        <f>HYPERLINK(X547, H547)</f>
        <v>특정 노드에 스타일 적용</v>
      </c>
      <c r="Z547" s="4" t="str">
        <f>HYPERLINK(V547,H547)</f>
        <v>특정 노드에 스타일 적용</v>
      </c>
      <c r="AA547" s="4" t="str">
        <f>HYPERLINK(J547,H547)</f>
        <v>특정 노드에 스타일 적용</v>
      </c>
      <c r="AB547" s="39" t="str">
        <f t="shared" si="13"/>
        <v>https://docs.inswave.com/websquare/websquare.html?w2xPath=/support/api/guide/TreeView/setNodeClass_removeNodeClass_TreeView.xml</v>
      </c>
    </row>
    <row r="548" spans="1:30" s="39" customFormat="1" ht="102" x14ac:dyDescent="0.45">
      <c r="A548" s="37">
        <f>SUBTOTAL(3, $T$2:T548)</f>
        <v>447</v>
      </c>
      <c r="B548" s="38" t="s">
        <v>1730</v>
      </c>
      <c r="C548" s="39" t="s">
        <v>1730</v>
      </c>
      <c r="D548" s="39" t="s">
        <v>3448</v>
      </c>
      <c r="E548" s="40" t="s">
        <v>1736</v>
      </c>
      <c r="F548" s="41" t="s">
        <v>1750</v>
      </c>
      <c r="G548" s="44" t="s">
        <v>1735</v>
      </c>
      <c r="H548" s="53" t="s">
        <v>3877</v>
      </c>
      <c r="I548" s="44" t="s">
        <v>1742</v>
      </c>
      <c r="J548" s="14" t="s">
        <v>3449</v>
      </c>
      <c r="K548" s="22" t="s">
        <v>3047</v>
      </c>
      <c r="L548" s="46">
        <v>44805</v>
      </c>
      <c r="M548" s="14"/>
      <c r="N548" s="45" t="s">
        <v>199</v>
      </c>
      <c r="O548" s="45" t="s">
        <v>199</v>
      </c>
      <c r="P548" s="45" t="s">
        <v>199</v>
      </c>
      <c r="Q548" s="45" t="s">
        <v>199</v>
      </c>
      <c r="R548" s="45" t="s">
        <v>199</v>
      </c>
      <c r="S548" s="45" t="s">
        <v>199</v>
      </c>
      <c r="T548" s="47" t="s">
        <v>4247</v>
      </c>
      <c r="U548" s="39" t="s">
        <v>3764</v>
      </c>
      <c r="V548" s="39" t="str">
        <f>CONCATENATE(U548, D548)</f>
        <v>https://example.websquare.kr/websquare/websquare.html?w2xPath=/guide/Trigger/tooltipShowPositionX_tooltipShowPositionY_Trigger.xml</v>
      </c>
      <c r="W548" s="39" t="s">
        <v>4512</v>
      </c>
      <c r="X548" s="39" t="str">
        <f>CONCATENATE(W548, D548)</f>
        <v>https://docs.inswave.com/websquare/websquare.html?w2xPath=/support/api/guide/Trigger/tooltipShowPositionX_tooltipShowPositionY_Trigger.xml</v>
      </c>
      <c r="Y548" s="48" t="str">
        <f>HYPERLINK(X548, H548)</f>
        <v>툴팁 표시 위치 지정</v>
      </c>
      <c r="Z548" s="4" t="str">
        <f>HYPERLINK(V548,H548)</f>
        <v>툴팁 표시 위치 지정</v>
      </c>
      <c r="AA548" s="4" t="str">
        <f>HYPERLINK(J548,H548)</f>
        <v>툴팁 표시 위치 지정</v>
      </c>
      <c r="AB548" s="39" t="str">
        <f t="shared" si="13"/>
        <v>https://docs.inswave.com/websquare/websquare.html?w2xPath=/support/api/guide/Trigger/tooltipShowPositionX_tooltipShowPositionY_Trigger.xml</v>
      </c>
    </row>
    <row r="549" spans="1:30" s="39" customFormat="1" ht="102" x14ac:dyDescent="0.45">
      <c r="A549" s="37">
        <f>SUBTOTAL(3, $T$2:T549)</f>
        <v>448</v>
      </c>
      <c r="B549" s="38" t="s">
        <v>1753</v>
      </c>
      <c r="C549" s="39" t="s">
        <v>1753</v>
      </c>
      <c r="D549" s="39" t="s">
        <v>1793</v>
      </c>
      <c r="E549" s="40" t="s">
        <v>1799</v>
      </c>
      <c r="F549" s="41" t="s">
        <v>1792</v>
      </c>
      <c r="G549" s="39" t="s">
        <v>1786</v>
      </c>
      <c r="H549" s="53" t="s">
        <v>3878</v>
      </c>
      <c r="I549" s="44" t="s">
        <v>1788</v>
      </c>
      <c r="J549" s="14" t="s">
        <v>1796</v>
      </c>
      <c r="K549" s="22" t="s">
        <v>3132</v>
      </c>
      <c r="L549" s="46">
        <v>44835</v>
      </c>
      <c r="M549" s="14"/>
      <c r="N549" s="45" t="s">
        <v>199</v>
      </c>
      <c r="O549" s="45" t="s">
        <v>199</v>
      </c>
      <c r="P549" s="45" t="s">
        <v>199</v>
      </c>
      <c r="Q549" s="45" t="s">
        <v>199</v>
      </c>
      <c r="R549" s="45" t="s">
        <v>199</v>
      </c>
      <c r="S549" s="45" t="s">
        <v>199</v>
      </c>
      <c r="T549" s="47" t="s">
        <v>4247</v>
      </c>
      <c r="U549" s="39" t="s">
        <v>3764</v>
      </c>
      <c r="V549" s="39" t="str">
        <f>CONCATENATE(U549, D549)</f>
        <v>https://example.websquare.kr/websquare/websquare.html?w2xPath=/guide/Upload/clickOpenFileDialog_Upload.xml</v>
      </c>
      <c r="W549" s="39" t="s">
        <v>4512</v>
      </c>
      <c r="X549" s="39" t="str">
        <f>CONCATENATE(W549, D549)</f>
        <v>https://docs.inswave.com/websquare/websquare.html?w2xPath=/support/api/guide/Upload/clickOpenFileDialog_Upload.xml</v>
      </c>
      <c r="Y549" s="48" t="str">
        <f>HYPERLINK(X549, H549)</f>
        <v>입력창을 클릭해서 파일 탐색기 열기</v>
      </c>
      <c r="Z549" s="4" t="str">
        <f>HYPERLINK(V549,H549)</f>
        <v>입력창을 클릭해서 파일 탐색기 열기</v>
      </c>
      <c r="AA549" s="4" t="str">
        <f>HYPERLINK(J549,H549)</f>
        <v>입력창을 클릭해서 파일 탐색기 열기</v>
      </c>
      <c r="AB549" s="39" t="str">
        <f t="shared" si="13"/>
        <v>https://docs.inswave.com/websquare/websquare.html?w2xPath=/support/api/guide/Upload/clickOpenFileDialog_Upload.xml</v>
      </c>
    </row>
    <row r="550" spans="1:30" s="39" customFormat="1" ht="102" x14ac:dyDescent="0.45">
      <c r="A550" s="37">
        <f>SUBTOTAL(3, $T$2:T550)</f>
        <v>449</v>
      </c>
      <c r="B550" s="38" t="s">
        <v>1753</v>
      </c>
      <c r="C550" s="39" t="s">
        <v>1753</v>
      </c>
      <c r="D550" s="39" t="s">
        <v>1794</v>
      </c>
      <c r="E550" s="40" t="s">
        <v>1800</v>
      </c>
      <c r="F550" s="41" t="s">
        <v>2684</v>
      </c>
      <c r="G550" s="44" t="s">
        <v>1787</v>
      </c>
      <c r="H550" s="53" t="s">
        <v>3879</v>
      </c>
      <c r="I550" s="44" t="s">
        <v>1789</v>
      </c>
      <c r="J550" s="14" t="s">
        <v>1797</v>
      </c>
      <c r="K550" s="22" t="s">
        <v>3133</v>
      </c>
      <c r="L550" s="46">
        <v>44835</v>
      </c>
      <c r="M550" s="14"/>
      <c r="N550" s="45" t="s">
        <v>199</v>
      </c>
      <c r="O550" s="45" t="s">
        <v>199</v>
      </c>
      <c r="P550" s="45" t="s">
        <v>199</v>
      </c>
      <c r="Q550" s="45" t="s">
        <v>199</v>
      </c>
      <c r="R550" s="45" t="s">
        <v>199</v>
      </c>
      <c r="S550" s="45" t="s">
        <v>199</v>
      </c>
      <c r="T550" s="47" t="s">
        <v>4247</v>
      </c>
      <c r="U550" s="39" t="s">
        <v>3764</v>
      </c>
      <c r="V550" s="39" t="str">
        <f>CONCATENATE(U550, D550)</f>
        <v>https://example.websquare.kr/websquare/websquare.html?w2xPath=/guide/Upload/openFileDialog_Upload.xml</v>
      </c>
      <c r="W550" s="39" t="s">
        <v>4512</v>
      </c>
      <c r="X550" s="39" t="str">
        <f>CONCATENATE(W550, D550)</f>
        <v>https://docs.inswave.com/websquare/websquare.html?w2xPath=/support/api/guide/Upload/openFileDialog_Upload.xml</v>
      </c>
      <c r="Y550" s="48" t="str">
        <f>HYPERLINK(X550, H550)</f>
        <v>함수를 사용하여 파일 탐색기 열기</v>
      </c>
      <c r="Z550" s="4" t="str">
        <f>HYPERLINK(V550,H550)</f>
        <v>함수를 사용하여 파일 탐색기 열기</v>
      </c>
      <c r="AA550" s="4" t="str">
        <f>HYPERLINK(J550,H550)</f>
        <v>함수를 사용하여 파일 탐색기 열기</v>
      </c>
      <c r="AB550" s="39" t="str">
        <f t="shared" si="13"/>
        <v>https://docs.inswave.com/websquare/websquare.html?w2xPath=/support/api/guide/Upload/openFileDialog_Upload.xml</v>
      </c>
    </row>
    <row r="551" spans="1:30" s="39" customFormat="1" ht="102" x14ac:dyDescent="0.45">
      <c r="A551" s="37">
        <f>SUBTOTAL(3, $T$2:T551)</f>
        <v>450</v>
      </c>
      <c r="B551" s="38" t="s">
        <v>2088</v>
      </c>
      <c r="C551" s="38" t="s">
        <v>2088</v>
      </c>
      <c r="D551" s="39" t="s">
        <v>2569</v>
      </c>
      <c r="E551" s="39" t="s">
        <v>2556</v>
      </c>
      <c r="F551" s="41" t="s">
        <v>2566</v>
      </c>
      <c r="G551" s="39" t="s">
        <v>2568</v>
      </c>
      <c r="H551" s="53" t="s">
        <v>4218</v>
      </c>
      <c r="I551" s="39" t="s">
        <v>2555</v>
      </c>
      <c r="J551" s="14" t="s">
        <v>2570</v>
      </c>
      <c r="K551" s="22" t="s">
        <v>3130</v>
      </c>
      <c r="L551" s="46">
        <v>45292</v>
      </c>
      <c r="M551" s="60"/>
      <c r="N551" s="45"/>
      <c r="O551" s="45"/>
      <c r="P551" s="45"/>
      <c r="Q551" s="45" t="s">
        <v>199</v>
      </c>
      <c r="R551" s="45" t="s">
        <v>199</v>
      </c>
      <c r="S551" s="45" t="s">
        <v>199</v>
      </c>
      <c r="T551" s="47" t="s">
        <v>4247</v>
      </c>
      <c r="U551" s="39" t="s">
        <v>3764</v>
      </c>
      <c r="V551" s="39" t="str">
        <f>CONCATENATE(U551, D551)</f>
        <v>https://example.websquare.kr/websquare/websquare.html?w2xPath=/guide/_WebSquare.date/isValidDate_WebSquare_date.xml</v>
      </c>
      <c r="W551" s="39" t="s">
        <v>4512</v>
      </c>
      <c r="X551" s="39" t="str">
        <f>CONCATENATE(W551, D551)</f>
        <v>https://docs.inswave.com/websquare/websquare.html?w2xPath=/support/api/guide/_WebSquare.date/isValidDate_WebSquare_date.xml</v>
      </c>
      <c r="Y551" s="48" t="str">
        <f>HYPERLINK(X551, H551)</f>
        <v>날짜 유효성 검증</v>
      </c>
      <c r="Z551" s="4" t="str">
        <f>HYPERLINK(V551,H551)</f>
        <v>날짜 유효성 검증</v>
      </c>
      <c r="AA551" s="4" t="str">
        <f>HYPERLINK(J551,H551)</f>
        <v>날짜 유효성 검증</v>
      </c>
      <c r="AB551" s="39" t="str">
        <f t="shared" si="13"/>
        <v>https://docs.inswave.com/websquare/websquare.html?w2xPath=/support/api/guide/_WebSquare.date/isValidDate_WebSquare_date.xml</v>
      </c>
    </row>
    <row r="552" spans="1:30" s="39" customFormat="1" ht="102" x14ac:dyDescent="0.45">
      <c r="A552" s="37">
        <f>SUBTOTAL(3, $T$2:T552)</f>
        <v>451</v>
      </c>
      <c r="B552" s="38" t="s">
        <v>1885</v>
      </c>
      <c r="C552" s="39" t="s">
        <v>1885</v>
      </c>
      <c r="D552" s="39" t="s">
        <v>1890</v>
      </c>
      <c r="E552" s="40" t="s">
        <v>1889</v>
      </c>
      <c r="F552" s="41" t="s">
        <v>1888</v>
      </c>
      <c r="G552" s="39" t="s">
        <v>1891</v>
      </c>
      <c r="H552" s="53" t="s">
        <v>4217</v>
      </c>
      <c r="I552" s="44" t="s">
        <v>1953</v>
      </c>
      <c r="J552" s="14" t="s">
        <v>1892</v>
      </c>
      <c r="K552" s="22" t="s">
        <v>3131</v>
      </c>
      <c r="L552" s="46">
        <v>44927</v>
      </c>
      <c r="M552" s="50" t="s">
        <v>199</v>
      </c>
      <c r="N552" s="45" t="s">
        <v>199</v>
      </c>
      <c r="O552" s="45" t="s">
        <v>199</v>
      </c>
      <c r="P552" s="45" t="s">
        <v>199</v>
      </c>
      <c r="Q552" s="45" t="s">
        <v>199</v>
      </c>
      <c r="R552" s="45" t="s">
        <v>199</v>
      </c>
      <c r="S552" s="45" t="s">
        <v>199</v>
      </c>
      <c r="T552" s="47" t="s">
        <v>4247</v>
      </c>
      <c r="U552" s="39" t="s">
        <v>3764</v>
      </c>
      <c r="V552" s="39" t="str">
        <f>CONCATENATE(U552, D552)</f>
        <v>https://example.websquare.kr/websquare/websquare.html?w2xPath=/guide/_WebSquare.date/toLunar_toSolar_WebSquare_date.xml</v>
      </c>
      <c r="W552" s="39" t="s">
        <v>4512</v>
      </c>
      <c r="X552" s="39" t="str">
        <f>CONCATENATE(W552, D552)</f>
        <v>https://docs.inswave.com/websquare/websquare.html?w2xPath=/support/api/guide/_WebSquare.date/toLunar_toSolar_WebSquare_date.xml</v>
      </c>
      <c r="Y552" s="48" t="str">
        <f>HYPERLINK(X552, H552)</f>
        <v>양력 및 음력으로 날짜 변환</v>
      </c>
      <c r="Z552" s="4" t="str">
        <f>HYPERLINK(V552,H552)</f>
        <v>양력 및 음력으로 날짜 변환</v>
      </c>
      <c r="AA552" s="4" t="str">
        <f>HYPERLINK(J552,H552)</f>
        <v>양력 및 음력으로 날짜 변환</v>
      </c>
      <c r="AB552" s="39" t="str">
        <f t="shared" si="13"/>
        <v>https://docs.inswave.com/websquare/websquare.html?w2xPath=/support/api/guide/_WebSquare.date/toLunar_toSolar_WebSquare_date.xml</v>
      </c>
    </row>
    <row r="553" spans="1:30" s="39" customFormat="1" ht="102" x14ac:dyDescent="0.45">
      <c r="A553" s="37">
        <f>SUBTOTAL(3, $T$2:T553)</f>
        <v>452</v>
      </c>
      <c r="B553" s="38" t="s">
        <v>1224</v>
      </c>
      <c r="C553" s="39" t="s">
        <v>1224</v>
      </c>
      <c r="D553" s="39" t="s">
        <v>1367</v>
      </c>
      <c r="E553" s="40" t="s">
        <v>2065</v>
      </c>
      <c r="F553" s="41" t="s">
        <v>1237</v>
      </c>
      <c r="G553" s="44" t="s">
        <v>1230</v>
      </c>
      <c r="H553" s="53" t="s">
        <v>4219</v>
      </c>
      <c r="I553" s="44" t="s">
        <v>1238</v>
      </c>
      <c r="J553" s="14" t="s">
        <v>1236</v>
      </c>
      <c r="K553" s="22" t="s">
        <v>3129</v>
      </c>
      <c r="L553" s="46">
        <v>44682</v>
      </c>
      <c r="M553" s="14"/>
      <c r="N553" s="45" t="s">
        <v>199</v>
      </c>
      <c r="O553" s="45" t="s">
        <v>199</v>
      </c>
      <c r="P553" s="45" t="s">
        <v>199</v>
      </c>
      <c r="Q553" s="45" t="s">
        <v>199</v>
      </c>
      <c r="R553" s="45" t="s">
        <v>199</v>
      </c>
      <c r="S553" s="45" t="s">
        <v>199</v>
      </c>
      <c r="T553" s="47" t="s">
        <v>4247</v>
      </c>
      <c r="U553" s="39" t="s">
        <v>3764</v>
      </c>
      <c r="V553" s="39" t="str">
        <f>CONCATENATE(U553, D553)</f>
        <v>https://example.websquare.kr/websquare/websquare.html?w2xPath=/guide/_WebSquare.logger/enableContextMenu_disableContextMenu_WebSquare_logger.xml</v>
      </c>
      <c r="W553" s="39" t="s">
        <v>4512</v>
      </c>
      <c r="X553" s="39" t="str">
        <f>CONCATENATE(W553, D553)</f>
        <v>https://docs.inswave.com/websquare/websquare.html?w2xPath=/support/api/guide/_WebSquare.logger/enableContextMenu_disableContextMenu_WebSquare_logger.xml</v>
      </c>
      <c r="Y553" s="48" t="str">
        <f>HYPERLINK(X553, H553)</f>
        <v>디버깅 메뉴 제어</v>
      </c>
      <c r="Z553" s="4" t="str">
        <f>HYPERLINK(V553,H553)</f>
        <v>디버깅 메뉴 제어</v>
      </c>
      <c r="AA553" s="4" t="str">
        <f>HYPERLINK(J553,H553)</f>
        <v>디버깅 메뉴 제어</v>
      </c>
      <c r="AB553" s="39" t="str">
        <f t="shared" si="13"/>
        <v>https://docs.inswave.com/websquare/websquare.html?w2xPath=/support/api/guide/_WebSquare.logger/enableContextMenu_disableContextMenu_WebSquare_logger.xml</v>
      </c>
    </row>
    <row r="554" spans="1:30" s="39" customFormat="1" ht="102" x14ac:dyDescent="0.45">
      <c r="A554" s="37">
        <f>SUBTOTAL(3, $T$2:T554)</f>
        <v>453</v>
      </c>
      <c r="B554" s="38" t="s">
        <v>13</v>
      </c>
      <c r="C554" s="44" t="s">
        <v>13</v>
      </c>
      <c r="D554" s="39" t="s">
        <v>1378</v>
      </c>
      <c r="E554" s="40" t="s">
        <v>2314</v>
      </c>
      <c r="F554" s="41" t="s">
        <v>1377</v>
      </c>
      <c r="G554" s="44" t="s">
        <v>1376</v>
      </c>
      <c r="H554" s="53" t="s">
        <v>4242</v>
      </c>
      <c r="I554" s="44" t="s">
        <v>1370</v>
      </c>
      <c r="J554" s="14" t="s">
        <v>2315</v>
      </c>
      <c r="K554" s="22" t="s">
        <v>3129</v>
      </c>
      <c r="L554" s="46">
        <v>43831</v>
      </c>
      <c r="M554" s="14"/>
      <c r="N554" s="45" t="s">
        <v>199</v>
      </c>
      <c r="O554" s="45" t="s">
        <v>199</v>
      </c>
      <c r="P554" s="45" t="s">
        <v>199</v>
      </c>
      <c r="Q554" s="45" t="s">
        <v>199</v>
      </c>
      <c r="R554" s="45" t="s">
        <v>199</v>
      </c>
      <c r="S554" s="45" t="s">
        <v>199</v>
      </c>
      <c r="T554" s="47" t="s">
        <v>4247</v>
      </c>
      <c r="U554" s="39" t="s">
        <v>3764</v>
      </c>
      <c r="V554" s="39" t="str">
        <f>CONCATENATE(U554, D554)</f>
        <v>https://example.websquare.kr/websquare/websquare.html?w2xPath=/guide/_WebSquare.util/multipleDataListDownload_showProcess_processMsg_WebSquare_util.xml</v>
      </c>
      <c r="W554" s="39" t="s">
        <v>4512</v>
      </c>
      <c r="X554" s="39" t="str">
        <f>CONCATENATE(W554, D554)</f>
        <v>https://docs.inswave.com/websquare/websquare.html?w2xPath=/support/api/guide/_WebSquare.util/multipleDataListDownload_showProcess_processMsg_WebSquare_util.xml</v>
      </c>
      <c r="Y554" s="48" t="str">
        <f>HYPERLINK(X554, H554)</f>
        <v>다운로드 상태 메시지 표시</v>
      </c>
      <c r="Z554" s="4" t="str">
        <f>HYPERLINK(V554,H554)</f>
        <v>다운로드 상태 메시지 표시</v>
      </c>
      <c r="AA554" s="4" t="str">
        <f>HYPERLINK(J554,H554)</f>
        <v>다운로드 상태 메시지 표시</v>
      </c>
      <c r="AB554" s="39" t="str">
        <f t="shared" si="13"/>
        <v>https://docs.inswave.com/websquare/websquare.html?w2xPath=/support/api/guide/_WebSquare.util/multipleDataListDownload_showProcess_processMsg_WebSquare_util.xml</v>
      </c>
      <c r="AC554" s="45"/>
      <c r="AD554" s="45"/>
    </row>
    <row r="555" spans="1:30" s="39" customFormat="1" ht="119" x14ac:dyDescent="0.45">
      <c r="A555" s="37">
        <f>SUBTOTAL(3, $T$2:T555)</f>
        <v>454</v>
      </c>
      <c r="B555" s="38" t="s">
        <v>13</v>
      </c>
      <c r="C555" s="39" t="s">
        <v>13</v>
      </c>
      <c r="D555" s="39" t="s">
        <v>3732</v>
      </c>
      <c r="E555" s="40" t="s">
        <v>4228</v>
      </c>
      <c r="F555" s="41" t="s">
        <v>1665</v>
      </c>
      <c r="G555" s="44" t="s">
        <v>1576</v>
      </c>
      <c r="H555" s="49" t="s">
        <v>4229</v>
      </c>
      <c r="I555" s="44" t="s">
        <v>1577</v>
      </c>
      <c r="J555" s="14" t="s">
        <v>1664</v>
      </c>
      <c r="K555" s="22" t="s">
        <v>3128</v>
      </c>
      <c r="L555" s="46">
        <v>44105</v>
      </c>
      <c r="M555" s="14"/>
      <c r="N555" s="45" t="s">
        <v>199</v>
      </c>
      <c r="O555" s="45" t="s">
        <v>199</v>
      </c>
      <c r="P555" s="45" t="s">
        <v>199</v>
      </c>
      <c r="Q555" s="45" t="s">
        <v>199</v>
      </c>
      <c r="R555" s="45" t="s">
        <v>199</v>
      </c>
      <c r="S555" s="45" t="s">
        <v>199</v>
      </c>
      <c r="T555" s="47" t="s">
        <v>4247</v>
      </c>
      <c r="U555" s="39" t="s">
        <v>3764</v>
      </c>
      <c r="V555" s="39" t="str">
        <f>CONCATENATE(U555, D555)</f>
        <v>https://example.websquare.kr/websquare/websquare.html?w2xPath=/guide/_WebSquare.util/multipleExcelDownload_multipleSheet_WebSquare_util/multipleExcelDownload_multipleSheet_WebSquare_util.xml</v>
      </c>
      <c r="W555" s="39" t="s">
        <v>4512</v>
      </c>
      <c r="X555" s="39" t="str">
        <f>CONCATENATE(W555, D555)</f>
        <v>https://docs.inswave.com/websquare/websquare.html?w2xPath=/support/api/guide/_WebSquare.util/multipleExcelDownload_multipleSheet_WebSquare_util/multipleExcelDownload_multipleSheet_WebSquare_util.xml</v>
      </c>
      <c r="Y555" s="48" t="str">
        <f>HYPERLINK(X555, H555)</f>
        <v>여러 GridView를 하나의 Excel 시트로 다운로드</v>
      </c>
      <c r="Z555" s="4" t="str">
        <f>HYPERLINK(V555,H555)</f>
        <v>여러 GridView를 하나의 Excel 시트로 다운로드</v>
      </c>
      <c r="AA555" s="4" t="str">
        <f>HYPERLINK(J555,H555)</f>
        <v>여러 GridView를 하나의 Excel 시트로 다운로드</v>
      </c>
      <c r="AB555" s="39" t="str">
        <f t="shared" si="13"/>
        <v>https://docs.inswave.com/websquare/websquare.html?w2xPath=/support/api/guide/_WebSquare.util/multipleExcelDownload_multipleSheet_WebSquare_util/multipleExcelDownload_multipleSheet_WebSquare_util.xml</v>
      </c>
      <c r="AC555" s="45"/>
      <c r="AD555" s="45"/>
    </row>
    <row r="556" spans="1:30" s="39" customFormat="1" ht="102" x14ac:dyDescent="0.45">
      <c r="A556" s="37">
        <f>SUBTOTAL(3, $T$2:T556)</f>
        <v>455</v>
      </c>
      <c r="B556" s="38" t="s">
        <v>18</v>
      </c>
      <c r="C556" s="39" t="s">
        <v>18</v>
      </c>
      <c r="D556" s="39" t="s">
        <v>3669</v>
      </c>
      <c r="E556" s="40" t="s">
        <v>311</v>
      </c>
      <c r="F556" s="41" t="s">
        <v>309</v>
      </c>
      <c r="G556" s="39" t="s">
        <v>324</v>
      </c>
      <c r="H556" s="53" t="s">
        <v>4223</v>
      </c>
      <c r="I556" s="44" t="s">
        <v>310</v>
      </c>
      <c r="J556" s="14" t="s">
        <v>351</v>
      </c>
      <c r="K556" s="22" t="s">
        <v>3122</v>
      </c>
      <c r="L556" s="46">
        <v>44501</v>
      </c>
      <c r="M556" s="14"/>
      <c r="N556" s="45" t="s">
        <v>199</v>
      </c>
      <c r="O556" s="45" t="s">
        <v>199</v>
      </c>
      <c r="P556" s="45" t="s">
        <v>199</v>
      </c>
      <c r="Q556" s="45" t="s">
        <v>199</v>
      </c>
      <c r="R556" s="45" t="s">
        <v>199</v>
      </c>
      <c r="S556" s="45" t="s">
        <v>199</v>
      </c>
      <c r="T556" s="47" t="s">
        <v>4247</v>
      </c>
      <c r="U556" s="39" t="s">
        <v>3764</v>
      </c>
      <c r="V556" s="39" t="str">
        <f>CONCATENATE(U556, D556)</f>
        <v>https://example.websquare.kr/websquare/websquare.html?w2xPath=/guide/WFrame/frameModal_WFrame/frameModal_WFrame.xml</v>
      </c>
      <c r="W556" s="39" t="s">
        <v>4512</v>
      </c>
      <c r="X556" s="39" t="str">
        <f>CONCATENATE(W556, D556)</f>
        <v>https://docs.inswave.com/websquare/websquare.html?w2xPath=/support/api/guide/WFrame/frameModal_WFrame/frameModal_WFrame.xml</v>
      </c>
      <c r="Y556" s="48" t="str">
        <f>HYPERLINK(X556, H556)</f>
        <v>WFrame에서 생성한 부모-자식 팝업 함께 닫기</v>
      </c>
      <c r="Z556" s="4" t="str">
        <f>HYPERLINK(V556,H556)</f>
        <v>WFrame에서 생성한 부모-자식 팝업 함께 닫기</v>
      </c>
      <c r="AA556" s="4" t="str">
        <f>HYPERLINK(J556,H556)</f>
        <v>WFrame에서 생성한 부모-자식 팝업 함께 닫기</v>
      </c>
      <c r="AB556" s="39" t="str">
        <f t="shared" si="13"/>
        <v>https://docs.inswave.com/websquare/websquare.html?w2xPath=/support/api/guide/WFrame/frameModal_WFrame/frameModal_WFrame.xml</v>
      </c>
    </row>
    <row r="557" spans="1:30" s="39" customFormat="1" ht="102" x14ac:dyDescent="0.45">
      <c r="A557" s="37">
        <f>SUBTOTAL(3, $T$2:T557)</f>
        <v>456</v>
      </c>
      <c r="B557" s="38" t="s">
        <v>2020</v>
      </c>
      <c r="C557" s="38" t="s">
        <v>2020</v>
      </c>
      <c r="D557" s="41" t="s">
        <v>3675</v>
      </c>
      <c r="E557" s="41" t="s">
        <v>3426</v>
      </c>
      <c r="F557" s="41" t="s">
        <v>3424</v>
      </c>
      <c r="G557" s="39" t="s">
        <v>3427</v>
      </c>
      <c r="H557" s="58" t="s">
        <v>4420</v>
      </c>
      <c r="I557" s="44"/>
      <c r="J557" s="45" t="s">
        <v>2304</v>
      </c>
      <c r="K557" s="45" t="s">
        <v>2304</v>
      </c>
      <c r="L557" s="46">
        <v>45658</v>
      </c>
      <c r="M557" s="14"/>
      <c r="N557" s="45"/>
      <c r="O557" s="45"/>
      <c r="P557" s="45"/>
      <c r="Q557" s="45"/>
      <c r="R557" s="45"/>
      <c r="S557" s="45"/>
      <c r="T557" s="47" t="s">
        <v>4249</v>
      </c>
      <c r="U557" s="39" t="s">
        <v>3764</v>
      </c>
      <c r="V557" s="39" t="str">
        <f>CONCATENATE(U557, D557)</f>
        <v>https://example.websquare.kr/websquare/websquare.html?w2xPath=/guide/WFrame/scopeInherit_WFrame/scopeInherit_WFrame.xml</v>
      </c>
      <c r="W557" s="39" t="s">
        <v>4512</v>
      </c>
      <c r="X557" s="39" t="str">
        <f>CONCATENATE(W557, D557)</f>
        <v>https://docs.inswave.com/websquare/websquare.html?w2xPath=/support/api/guide/WFrame/scopeInherit_WFrame/scopeInherit_WFrame.xml</v>
      </c>
      <c r="Y557" s="48" t="str">
        <f>HYPERLINK(X557, H557)</f>
        <v>부모의 Scope 상속</v>
      </c>
      <c r="Z557" s="4" t="str">
        <f>HYPERLINK(V557,H557)</f>
        <v>부모의 Scope 상속</v>
      </c>
      <c r="AA557" s="45" t="s">
        <v>2304</v>
      </c>
      <c r="AB557" s="39" t="str">
        <f t="shared" si="13"/>
        <v>https://docs.inswave.com/websquare/websquare.html?w2xPath=/support/api/guide/WFrame/scopeInherit_WFrame/scopeInherit_WFrame.xml</v>
      </c>
    </row>
    <row r="558" spans="1:30" s="39" customFormat="1" ht="102" x14ac:dyDescent="0.45">
      <c r="A558" s="37">
        <f>SUBTOTAL(3, $T$2:T558)</f>
        <v>457</v>
      </c>
      <c r="B558" s="38" t="s">
        <v>18</v>
      </c>
      <c r="C558" s="39" t="s">
        <v>18</v>
      </c>
      <c r="D558" s="39" t="s">
        <v>3672</v>
      </c>
      <c r="E558" s="40" t="s">
        <v>1410</v>
      </c>
      <c r="F558" s="41" t="s">
        <v>2128</v>
      </c>
      <c r="G558" s="44" t="s">
        <v>1422</v>
      </c>
      <c r="H558" s="53" t="s">
        <v>4240</v>
      </c>
      <c r="I558" s="39" t="s">
        <v>1406</v>
      </c>
      <c r="J558" s="14" t="s">
        <v>2129</v>
      </c>
      <c r="K558" s="22" t="s">
        <v>3126</v>
      </c>
      <c r="L558" s="46">
        <v>43891</v>
      </c>
      <c r="M558" s="14"/>
      <c r="N558" s="45" t="s">
        <v>199</v>
      </c>
      <c r="O558" s="45" t="s">
        <v>199</v>
      </c>
      <c r="P558" s="45" t="s">
        <v>199</v>
      </c>
      <c r="Q558" s="45" t="s">
        <v>199</v>
      </c>
      <c r="R558" s="45" t="s">
        <v>199</v>
      </c>
      <c r="S558" s="45" t="s">
        <v>199</v>
      </c>
      <c r="T558" s="47" t="s">
        <v>4247</v>
      </c>
      <c r="U558" s="39" t="s">
        <v>3764</v>
      </c>
      <c r="V558" s="39" t="str">
        <f>CONCATENATE(U558, D558)</f>
        <v>https://example.websquare.kr/websquare/websquare.html?w2xPath=/guide/WFrame/processMsgFrame_WFrame/processMsgFrame_WFrame.xml</v>
      </c>
      <c r="W558" s="39" t="s">
        <v>4512</v>
      </c>
      <c r="X558" s="39" t="str">
        <f>CONCATENATE(W558, D558)</f>
        <v>https://docs.inswave.com/websquare/websquare.html?w2xPath=/support/api/guide/WFrame/processMsgFrame_WFrame/processMsgFrame_WFrame.xml</v>
      </c>
      <c r="Y558" s="48" t="str">
        <f>HYPERLINK(X558, H558)</f>
        <v>서브미션 상태창을 WFrame 내부에만 표시 (기본 상태창)</v>
      </c>
      <c r="Z558" s="4" t="str">
        <f>HYPERLINK(V558,H558)</f>
        <v>서브미션 상태창을 WFrame 내부에만 표시 (기본 상태창)</v>
      </c>
      <c r="AA558" s="4" t="str">
        <f>HYPERLINK(J558,H558)</f>
        <v>서브미션 상태창을 WFrame 내부에만 표시 (기본 상태창)</v>
      </c>
      <c r="AB558" s="39" t="str">
        <f t="shared" si="13"/>
        <v>https://docs.inswave.com/websquare/websquare.html?w2xPath=/support/api/guide/WFrame/processMsgFrame_WFrame/processMsgFrame_WFrame.xml</v>
      </c>
      <c r="AC558" s="45"/>
      <c r="AD558" s="45"/>
    </row>
    <row r="559" spans="1:30" s="39" customFormat="1" ht="119" x14ac:dyDescent="0.45">
      <c r="A559" s="37">
        <f>SUBTOTAL(3, $T$2:T559)</f>
        <v>458</v>
      </c>
      <c r="B559" s="38" t="s">
        <v>18</v>
      </c>
      <c r="C559" s="39" t="s">
        <v>18</v>
      </c>
      <c r="D559" s="39" t="s">
        <v>3673</v>
      </c>
      <c r="E559" s="40" t="s">
        <v>2130</v>
      </c>
      <c r="F559" s="41" t="s">
        <v>2122</v>
      </c>
      <c r="G559" s="39" t="s">
        <v>1424</v>
      </c>
      <c r="H559" s="53" t="s">
        <v>4241</v>
      </c>
      <c r="I559" s="44" t="s">
        <v>2112</v>
      </c>
      <c r="J559" s="14" t="s">
        <v>2131</v>
      </c>
      <c r="K559" s="22" t="s">
        <v>3127</v>
      </c>
      <c r="L559" s="46">
        <v>43891</v>
      </c>
      <c r="M559" s="14"/>
      <c r="N559" s="45" t="s">
        <v>199</v>
      </c>
      <c r="O559" s="45" t="s">
        <v>199</v>
      </c>
      <c r="P559" s="45" t="s">
        <v>199</v>
      </c>
      <c r="Q559" s="45" t="s">
        <v>199</v>
      </c>
      <c r="R559" s="45" t="s">
        <v>199</v>
      </c>
      <c r="S559" s="45" t="s">
        <v>199</v>
      </c>
      <c r="T559" s="47" t="s">
        <v>4247</v>
      </c>
      <c r="U559" s="39" t="s">
        <v>3764</v>
      </c>
      <c r="V559" s="39" t="str">
        <f>CONCATENATE(U559, D559)</f>
        <v>https://example.websquare.kr/websquare/websquare.html?w2xPath=/guide/WFrame/processMsgFrameURL_config_processMsgFrame_WFrame/processMsgFrameURL_config_processMsgFrame_WFrame.xml</v>
      </c>
      <c r="W559" s="39" t="s">
        <v>4512</v>
      </c>
      <c r="X559" s="39" t="str">
        <f>CONCATENATE(W559, D559)</f>
        <v>https://docs.inswave.com/websquare/websquare.html?w2xPath=/support/api/guide/WFrame/processMsgFrameURL_config_processMsgFrame_WFrame/processMsgFrameURL_config_processMsgFrame_WFrame.xml</v>
      </c>
      <c r="Y559" s="48" t="str">
        <f>HYPERLINK(X559, H559)</f>
        <v>서브미션 상태창을 WFrame 내부에만 표시 (커스텀 상태창)</v>
      </c>
      <c r="Z559" s="4" t="str">
        <f>HYPERLINK(V559,H559)</f>
        <v>서브미션 상태창을 WFrame 내부에만 표시 (커스텀 상태창)</v>
      </c>
      <c r="AA559" s="4" t="str">
        <f>HYPERLINK(J559,H559)</f>
        <v>서브미션 상태창을 WFrame 내부에만 표시 (커스텀 상태창)</v>
      </c>
      <c r="AB559" s="39" t="str">
        <f t="shared" si="13"/>
        <v>https://docs.inswave.com/websquare/websquare.html?w2xPath=/support/api/guide/WFrame/processMsgFrameURL_config_processMsgFrame_WFrame/processMsgFrameURL_config_processMsgFrame_WFrame.xml</v>
      </c>
      <c r="AC559" s="45"/>
      <c r="AD559" s="45"/>
    </row>
    <row r="560" spans="1:30" s="39" customFormat="1" ht="102" x14ac:dyDescent="0.45">
      <c r="A560" s="37">
        <f>SUBTOTAL(3, $T$2:T560)</f>
        <v>459</v>
      </c>
      <c r="B560" s="38" t="s">
        <v>18</v>
      </c>
      <c r="C560" s="39" t="s">
        <v>18</v>
      </c>
      <c r="D560" s="39" t="s">
        <v>4474</v>
      </c>
      <c r="E560" s="40" t="s">
        <v>4296</v>
      </c>
      <c r="F560" s="41" t="s">
        <v>4297</v>
      </c>
      <c r="G560" s="39" t="s">
        <v>1014</v>
      </c>
      <c r="H560" s="53" t="s">
        <v>4221</v>
      </c>
      <c r="I560" s="44" t="s">
        <v>2539</v>
      </c>
      <c r="J560" s="14" t="s">
        <v>2540</v>
      </c>
      <c r="K560" s="22" t="s">
        <v>3123</v>
      </c>
      <c r="L560" s="46">
        <v>43617</v>
      </c>
      <c r="M560" s="14"/>
      <c r="N560" s="45" t="s">
        <v>199</v>
      </c>
      <c r="O560" s="45" t="s">
        <v>199</v>
      </c>
      <c r="P560" s="45" t="s">
        <v>199</v>
      </c>
      <c r="Q560" s="45" t="s">
        <v>199</v>
      </c>
      <c r="R560" s="45" t="s">
        <v>199</v>
      </c>
      <c r="S560" s="45" t="s">
        <v>199</v>
      </c>
      <c r="T560" s="47" t="s">
        <v>4247</v>
      </c>
      <c r="U560" s="39" t="s">
        <v>3764</v>
      </c>
      <c r="V560" s="39" t="str">
        <f>CONCATENATE(U560, D560)</f>
        <v>https://example.websquare.kr/websquare/websquare.html?w2xPath=/guide/WFrame/getParameter_p_setSrc_WFrame/getParameter_p_setSrc_WFrame.xml</v>
      </c>
      <c r="W560" s="39" t="s">
        <v>4512</v>
      </c>
      <c r="X560" s="39" t="str">
        <f>CONCATENATE(W560, D560)</f>
        <v>https://docs.inswave.com/websquare/websquare.html?w2xPath=/support/api/guide/WFrame/getParameter_p_setSrc_WFrame/getParameter_p_setSrc_WFrame.xml</v>
      </c>
      <c r="Y560" s="48" t="str">
        <f>HYPERLINK(X560, H560)</f>
        <v>소스 화면 설정 시 파라미터 전달</v>
      </c>
      <c r="Z560" s="4" t="str">
        <f>HYPERLINK(V560,H560)</f>
        <v>소스 화면 설정 시 파라미터 전달</v>
      </c>
      <c r="AA560" s="4" t="str">
        <f>HYPERLINK(J560,H560)</f>
        <v>소스 화면 설정 시 파라미터 전달</v>
      </c>
      <c r="AB560" s="39" t="str">
        <f t="shared" si="13"/>
        <v>https://docs.inswave.com/websquare/websquare.html?w2xPath=/support/api/guide/WFrame/getParameter_p_setSrc_WFrame/getParameter_p_setSrc_WFrame.xml</v>
      </c>
    </row>
    <row r="561" spans="1:30" s="39" customFormat="1" ht="102" x14ac:dyDescent="0.45">
      <c r="A561" s="37">
        <f>SUBTOTAL(3, $T$2:T561)</f>
        <v>460</v>
      </c>
      <c r="B561" s="38" t="s">
        <v>2020</v>
      </c>
      <c r="C561" s="39" t="s">
        <v>2020</v>
      </c>
      <c r="D561" s="39" t="s">
        <v>3670</v>
      </c>
      <c r="E561" s="40" t="s">
        <v>4224</v>
      </c>
      <c r="F561" s="41" t="s">
        <v>3760</v>
      </c>
      <c r="G561" s="39" t="s">
        <v>4225</v>
      </c>
      <c r="H561" s="53" t="s">
        <v>4226</v>
      </c>
      <c r="I561" s="44" t="s">
        <v>2025</v>
      </c>
      <c r="J561" s="14" t="s">
        <v>2035</v>
      </c>
      <c r="K561" s="22" t="s">
        <v>3124</v>
      </c>
      <c r="L561" s="46">
        <v>44986</v>
      </c>
      <c r="M561" s="14"/>
      <c r="N561" s="45" t="s">
        <v>199</v>
      </c>
      <c r="O561" s="45" t="s">
        <v>199</v>
      </c>
      <c r="P561" s="45" t="s">
        <v>199</v>
      </c>
      <c r="Q561" s="45" t="s">
        <v>199</v>
      </c>
      <c r="R561" s="45" t="s">
        <v>199</v>
      </c>
      <c r="S561" s="45" t="s">
        <v>199</v>
      </c>
      <c r="T561" s="47" t="s">
        <v>4247</v>
      </c>
      <c r="U561" s="39" t="s">
        <v>3764</v>
      </c>
      <c r="V561" s="39" t="str">
        <f>CONCATENATE(U561, D561)</f>
        <v>https://example.websquare.kr/websquare/websquare.html?w2xPath=/guide/WFrame/onbeforewframeunload_WFrame/onbeforewframeunload_WFrame.xml</v>
      </c>
      <c r="W561" s="39" t="s">
        <v>4512</v>
      </c>
      <c r="X561" s="39" t="str">
        <f>CONCATENATE(W561, D561)</f>
        <v>https://docs.inswave.com/websquare/websquare.html?w2xPath=/support/api/guide/WFrame/onbeforewframeunload_WFrame/onbeforewframeunload_WFrame.xml</v>
      </c>
      <c r="Y561" s="48" t="str">
        <f>HYPERLINK(X561, H561)</f>
        <v>이벤트 - onbeforewframeunload</v>
      </c>
      <c r="Z561" s="4" t="str">
        <f>HYPERLINK(V561,H561)</f>
        <v>이벤트 - onbeforewframeunload</v>
      </c>
      <c r="AA561" s="4" t="str">
        <f>HYPERLINK(J561,H561)</f>
        <v>이벤트 - onbeforewframeunload</v>
      </c>
      <c r="AB561" s="39" t="str">
        <f t="shared" si="13"/>
        <v>https://docs.inswave.com/websquare/websquare.html?w2xPath=/support/api/guide/WFrame/onbeforewframeunload_WFrame/onbeforewframeunload_WFrame.xml</v>
      </c>
    </row>
    <row r="562" spans="1:30" s="39" customFormat="1" ht="102" x14ac:dyDescent="0.45">
      <c r="A562" s="37">
        <f>SUBTOTAL(3, $T$2:T562)</f>
        <v>461</v>
      </c>
      <c r="B562" s="38" t="s">
        <v>2020</v>
      </c>
      <c r="C562" s="39" t="s">
        <v>2020</v>
      </c>
      <c r="D562" s="39" t="s">
        <v>3674</v>
      </c>
      <c r="E562" s="40" t="s">
        <v>4239</v>
      </c>
      <c r="F562" s="41" t="s">
        <v>3398</v>
      </c>
      <c r="G562" s="44" t="s">
        <v>3410</v>
      </c>
      <c r="H562" s="58" t="s">
        <v>4449</v>
      </c>
      <c r="I562" s="44" t="s">
        <v>3399</v>
      </c>
      <c r="J562" s="14" t="s">
        <v>3415</v>
      </c>
      <c r="K562" s="23" t="s">
        <v>3409</v>
      </c>
      <c r="L562" s="46">
        <v>45627</v>
      </c>
      <c r="M562" s="14"/>
      <c r="N562" s="45"/>
      <c r="O562" s="45"/>
      <c r="P562" s="45"/>
      <c r="Q562" s="45"/>
      <c r="R562" s="45"/>
      <c r="S562" s="45"/>
      <c r="T562" s="47" t="s">
        <v>4247</v>
      </c>
      <c r="U562" s="39" t="s">
        <v>3764</v>
      </c>
      <c r="V562" s="39" t="str">
        <f>CONCATENATE(U562, D562)</f>
        <v>https://example.websquare.kr/websquare/websquare.html?w2xPath=/guide/WFrame/resizeEvent_onresize_WFrame/resizeEvent_onresize_WFrame.xml</v>
      </c>
      <c r="W562" s="39" t="s">
        <v>4512</v>
      </c>
      <c r="X562" s="39" t="str">
        <f>CONCATENATE(W562, D562)</f>
        <v>https://docs.inswave.com/websquare/websquare.html?w2xPath=/support/api/guide/WFrame/resizeEvent_onresize_WFrame/resizeEvent_onresize_WFrame.xml</v>
      </c>
      <c r="Y562" s="48" t="str">
        <f>HYPERLINK(X562, H562)</f>
        <v>이벤트 - onresize</v>
      </c>
      <c r="Z562" s="4" t="str">
        <f>HYPERLINK(V562,H562)</f>
        <v>이벤트 - onresize</v>
      </c>
      <c r="AA562" s="4" t="str">
        <f>HYPERLINK(J562,H562)</f>
        <v>이벤트 - onresize</v>
      </c>
      <c r="AB562" s="39" t="str">
        <f t="shared" si="13"/>
        <v>https://docs.inswave.com/websquare/websquare.html?w2xPath=/support/api/guide/WFrame/resizeEvent_onresize_WFrame/resizeEvent_onresize_WFrame.xml</v>
      </c>
    </row>
    <row r="563" spans="1:30" s="39" customFormat="1" ht="102" x14ac:dyDescent="0.45">
      <c r="A563" s="37">
        <f>SUBTOTAL(3, $T$2:T563)</f>
        <v>462</v>
      </c>
      <c r="B563" s="38" t="s">
        <v>18</v>
      </c>
      <c r="C563" s="39" t="s">
        <v>18</v>
      </c>
      <c r="D563" s="39" t="s">
        <v>3671</v>
      </c>
      <c r="E563" s="40" t="s">
        <v>1446</v>
      </c>
      <c r="F563" s="41" t="s">
        <v>1444</v>
      </c>
      <c r="G563" s="39" t="s">
        <v>1447</v>
      </c>
      <c r="H563" s="53" t="s">
        <v>4227</v>
      </c>
      <c r="I563" s="44" t="s">
        <v>45</v>
      </c>
      <c r="J563" s="14" t="s">
        <v>1445</v>
      </c>
      <c r="K563" s="22" t="s">
        <v>3125</v>
      </c>
      <c r="L563" s="46">
        <v>44136</v>
      </c>
      <c r="M563" s="14"/>
      <c r="N563" s="45" t="s">
        <v>199</v>
      </c>
      <c r="O563" s="45" t="s">
        <v>199</v>
      </c>
      <c r="P563" s="45" t="s">
        <v>199</v>
      </c>
      <c r="Q563" s="45" t="s">
        <v>199</v>
      </c>
      <c r="R563" s="45" t="s">
        <v>199</v>
      </c>
      <c r="S563" s="45" t="s">
        <v>199</v>
      </c>
      <c r="T563" s="47" t="s">
        <v>4247</v>
      </c>
      <c r="U563" s="39" t="s">
        <v>3764</v>
      </c>
      <c r="V563" s="39" t="str">
        <f>CONCATENATE(U563, D563)</f>
        <v>https://example.websquare.kr/websquare/websquare.html?w2xPath=/guide/WFrame/onpageload_execution_sequence_WFrame/onpageload_execution_sequence_WFrame.xml</v>
      </c>
      <c r="W563" s="39" t="s">
        <v>4512</v>
      </c>
      <c r="X563" s="39" t="str">
        <f>CONCATENATE(W563, D563)</f>
        <v>https://docs.inswave.com/websquare/websquare.html?w2xPath=/support/api/guide/WFrame/onpageload_execution_sequence_WFrame/onpageload_execution_sequence_WFrame.xml</v>
      </c>
      <c r="Y563" s="48" t="str">
        <f>HYPERLINK(X563, H563)</f>
        <v>프레임이 중첩된 경우 onpageload 실행 순서</v>
      </c>
      <c r="Z563" s="4" t="str">
        <f>HYPERLINK(V563,H563)</f>
        <v>프레임이 중첩된 경우 onpageload 실행 순서</v>
      </c>
      <c r="AA563" s="4" t="str">
        <f>HYPERLINK(J563,H563)</f>
        <v>프레임이 중첩된 경우 onpageload 실행 순서</v>
      </c>
      <c r="AB563" s="39" t="str">
        <f t="shared" si="13"/>
        <v>https://docs.inswave.com/websquare/websquare.html?w2xPath=/support/api/guide/WFrame/onpageload_execution_sequence_WFrame/onpageload_execution_sequence_WFrame.xml</v>
      </c>
    </row>
    <row r="564" spans="1:30" s="39" customFormat="1" ht="102" x14ac:dyDescent="0.45">
      <c r="A564" s="37">
        <f>SUBTOTAL(3, $T$2:T564)</f>
        <v>463</v>
      </c>
      <c r="B564" s="38" t="s">
        <v>6</v>
      </c>
      <c r="C564" s="39" t="s">
        <v>6</v>
      </c>
      <c r="D564" s="39" t="s">
        <v>3676</v>
      </c>
      <c r="E564" s="40" t="s">
        <v>2171</v>
      </c>
      <c r="F564" s="41" t="s">
        <v>2462</v>
      </c>
      <c r="G564" s="44" t="s">
        <v>1314</v>
      </c>
      <c r="H564" s="53" t="s">
        <v>3915</v>
      </c>
      <c r="I564" s="44" t="s">
        <v>1291</v>
      </c>
      <c r="J564" s="14" t="s">
        <v>2403</v>
      </c>
      <c r="K564" s="22" t="s">
        <v>3117</v>
      </c>
      <c r="L564" s="46">
        <v>43770</v>
      </c>
      <c r="M564" s="50"/>
      <c r="N564" s="45" t="s">
        <v>199</v>
      </c>
      <c r="O564" s="45" t="s">
        <v>199</v>
      </c>
      <c r="P564" s="45"/>
      <c r="Q564" s="45" t="s">
        <v>199</v>
      </c>
      <c r="R564" s="45" t="s">
        <v>199</v>
      </c>
      <c r="S564" s="45" t="s">
        <v>199</v>
      </c>
      <c r="T564" s="47" t="s">
        <v>4247</v>
      </c>
      <c r="U564" s="39" t="s">
        <v>3764</v>
      </c>
      <c r="V564" s="39" t="str">
        <f>CONCATENATE(U564, D564)</f>
        <v>https://example.websquare.kr/websquare/websquare.html?w2xPath=/guide/WidgetContainer/addWidgets_WidgetContainer/addWidgets_WidgetContainer.xml</v>
      </c>
      <c r="W564" s="39" t="s">
        <v>4512</v>
      </c>
      <c r="X564" s="39" t="str">
        <f>CONCATENATE(W564, D564)</f>
        <v>https://docs.inswave.com/websquare/websquare.html?w2xPath=/support/api/guide/WidgetContainer/addWidgets_WidgetContainer/addWidgets_WidgetContainer.xml</v>
      </c>
      <c r="Y564" s="48" t="str">
        <f>HYPERLINK(X564, H564)</f>
        <v>동적으로 위젯 추가</v>
      </c>
      <c r="Z564" s="4" t="str">
        <f>HYPERLINK(V564,H564)</f>
        <v>동적으로 위젯 추가</v>
      </c>
      <c r="AA564" s="4" t="str">
        <f>HYPERLINK(J564,H564)</f>
        <v>동적으로 위젯 추가</v>
      </c>
      <c r="AB564" s="39" t="str">
        <f t="shared" si="13"/>
        <v>https://docs.inswave.com/websquare/websquare.html?w2xPath=/support/api/guide/WidgetContainer/addWidgets_WidgetContainer/addWidgets_WidgetContainer.xml</v>
      </c>
      <c r="AC564" s="45"/>
      <c r="AD564" s="45"/>
    </row>
    <row r="565" spans="1:30" s="39" customFormat="1" ht="102" x14ac:dyDescent="0.45">
      <c r="A565" s="37">
        <f>SUBTOTAL(3, $T$2:T565)</f>
        <v>464</v>
      </c>
      <c r="B565" s="38" t="s">
        <v>2086</v>
      </c>
      <c r="C565" s="39" t="s">
        <v>2086</v>
      </c>
      <c r="D565" s="39" t="s">
        <v>3677</v>
      </c>
      <c r="E565" s="40" t="s">
        <v>3922</v>
      </c>
      <c r="F565" s="41" t="s">
        <v>2140</v>
      </c>
      <c r="G565" s="44" t="s">
        <v>2141</v>
      </c>
      <c r="H565" s="53" t="s">
        <v>3921</v>
      </c>
      <c r="I565" s="39" t="s">
        <v>1406</v>
      </c>
      <c r="J565" s="14" t="s">
        <v>2183</v>
      </c>
      <c r="K565" s="22" t="s">
        <v>3118</v>
      </c>
      <c r="L565" s="46">
        <v>45047</v>
      </c>
      <c r="M565" s="14"/>
      <c r="N565" s="45" t="s">
        <v>199</v>
      </c>
      <c r="O565" s="45" t="s">
        <v>199</v>
      </c>
      <c r="P565" s="45" t="s">
        <v>199</v>
      </c>
      <c r="Q565" s="45" t="s">
        <v>199</v>
      </c>
      <c r="R565" s="45" t="s">
        <v>199</v>
      </c>
      <c r="S565" s="45" t="s">
        <v>199</v>
      </c>
      <c r="T565" s="47" t="s">
        <v>4247</v>
      </c>
      <c r="U565" s="39" t="s">
        <v>3764</v>
      </c>
      <c r="V565" s="39" t="str">
        <f>CONCATENATE(U565, D565)</f>
        <v>https://example.websquare.kr/websquare/websquare.html?w2xPath=/guide/WidgetContainer/processMsgFrame_WidgetContainer/processMsgFrame_WidgetContainer.xml</v>
      </c>
      <c r="W565" s="39" t="s">
        <v>4512</v>
      </c>
      <c r="X565" s="39" t="str">
        <f>CONCATENATE(W565, D565)</f>
        <v>https://docs.inswave.com/websquare/websquare.html?w2xPath=/support/api/guide/WidgetContainer/processMsgFrame_WidgetContainer/processMsgFrame_WidgetContainer.xml</v>
      </c>
      <c r="Y565" s="48" t="str">
        <f>HYPERLINK(X565, H565)</f>
        <v>위젯 생성 후 서브미션 상태창 표시</v>
      </c>
      <c r="Z565" s="4" t="str">
        <f>HYPERLINK(V565,H565)</f>
        <v>위젯 생성 후 서브미션 상태창 표시</v>
      </c>
      <c r="AA565" s="4" t="str">
        <f>HYPERLINK(J565,H565)</f>
        <v>위젯 생성 후 서브미션 상태창 표시</v>
      </c>
      <c r="AB565" s="39" t="str">
        <f t="shared" si="13"/>
        <v>https://docs.inswave.com/websquare/websquare.html?w2xPath=/support/api/guide/WidgetContainer/processMsgFrame_WidgetContainer/processMsgFrame_WidgetContainer.xml</v>
      </c>
    </row>
    <row r="566" spans="1:30" s="39" customFormat="1" ht="102" x14ac:dyDescent="0.45">
      <c r="A566" s="37">
        <f>SUBTOTAL(3, $T$2:T566)</f>
        <v>465</v>
      </c>
      <c r="B566" s="38" t="s">
        <v>6</v>
      </c>
      <c r="C566" s="39" t="s">
        <v>6</v>
      </c>
      <c r="D566" s="39" t="s">
        <v>1322</v>
      </c>
      <c r="E566" s="40" t="s">
        <v>2415</v>
      </c>
      <c r="F566" s="41" t="s">
        <v>2463</v>
      </c>
      <c r="G566" s="39" t="s">
        <v>2404</v>
      </c>
      <c r="H566" s="53" t="s">
        <v>3918</v>
      </c>
      <c r="J566" s="14" t="s">
        <v>4476</v>
      </c>
      <c r="K566" s="22" t="s">
        <v>3120</v>
      </c>
      <c r="L566" s="46">
        <v>43770</v>
      </c>
      <c r="M566" s="14"/>
      <c r="N566" s="45" t="s">
        <v>199</v>
      </c>
      <c r="O566" s="45" t="s">
        <v>199</v>
      </c>
      <c r="P566" s="45"/>
      <c r="Q566" s="45" t="s">
        <v>199</v>
      </c>
      <c r="R566" s="45" t="s">
        <v>199</v>
      </c>
      <c r="S566" s="45" t="s">
        <v>199</v>
      </c>
      <c r="T566" s="47" t="s">
        <v>4247</v>
      </c>
      <c r="U566" s="39" t="s">
        <v>3764</v>
      </c>
      <c r="V566" s="39" t="str">
        <f>CONCATENATE(U566, D566)</f>
        <v>https://example.websquare.kr/websquare/websquare.html?w2xPath=/guide/WidgetContainer/move_resize_widgets_WidgetContainer.xml</v>
      </c>
      <c r="W566" s="39" t="s">
        <v>4512</v>
      </c>
      <c r="X566" s="39" t="str">
        <f>CONCATENATE(W566, D566)</f>
        <v>https://docs.inswave.com/websquare/websquare.html?w2xPath=/support/api/guide/WidgetContainer/move_resize_widgets_WidgetContainer.xml</v>
      </c>
      <c r="Y566" s="48" t="str">
        <f>HYPERLINK(X566, H566)</f>
        <v>위젯 이동 및 리사이징</v>
      </c>
      <c r="Z566" s="4" t="str">
        <f>HYPERLINK(V566,H566)</f>
        <v>위젯 이동 및 리사이징</v>
      </c>
      <c r="AA566" s="4" t="str">
        <f>HYPERLINK(J566,H566)</f>
        <v>위젯 이동 및 리사이징</v>
      </c>
      <c r="AB566" s="39" t="str">
        <f t="shared" si="13"/>
        <v>https://docs.inswave.com/websquare/websquare.html?w2xPath=/support/api/guide/WidgetContainer/move_resize_widgets_WidgetContainer.xml</v>
      </c>
    </row>
    <row r="567" spans="1:30" s="39" customFormat="1" ht="102" x14ac:dyDescent="0.45">
      <c r="A567" s="37">
        <f>SUBTOTAL(3, $T$2:T567)</f>
        <v>466</v>
      </c>
      <c r="B567" s="38" t="s">
        <v>6</v>
      </c>
      <c r="C567" s="39" t="s">
        <v>6</v>
      </c>
      <c r="D567" s="39" t="s">
        <v>1308</v>
      </c>
      <c r="E567" s="40" t="s">
        <v>2478</v>
      </c>
      <c r="F567" s="41" t="s">
        <v>2470</v>
      </c>
      <c r="G567" s="44" t="s">
        <v>2479</v>
      </c>
      <c r="H567" s="53" t="s">
        <v>3917</v>
      </c>
      <c r="I567" s="44" t="s">
        <v>1307</v>
      </c>
      <c r="J567" s="14" t="s">
        <v>4475</v>
      </c>
      <c r="K567" s="22" t="s">
        <v>3119</v>
      </c>
      <c r="L567" s="46">
        <v>43770</v>
      </c>
      <c r="M567" s="14"/>
      <c r="N567" s="45" t="s">
        <v>199</v>
      </c>
      <c r="O567" s="45" t="s">
        <v>199</v>
      </c>
      <c r="P567" s="45" t="s">
        <v>199</v>
      </c>
      <c r="Q567" s="45" t="s">
        <v>199</v>
      </c>
      <c r="R567" s="45" t="s">
        <v>199</v>
      </c>
      <c r="S567" s="45" t="s">
        <v>199</v>
      </c>
      <c r="T567" s="47" t="s">
        <v>4247</v>
      </c>
      <c r="U567" s="39" t="s">
        <v>3764</v>
      </c>
      <c r="V567" s="39" t="str">
        <f>CONCATENATE(U567, D567)</f>
        <v>https://example.websquare.kr/websquare/websquare.html?w2xPath=/guide/WidgetContainer/exportWidgets_removeWidgetsAll_WidgetContainer.xml</v>
      </c>
      <c r="W567" s="39" t="s">
        <v>4512</v>
      </c>
      <c r="X567" s="39" t="str">
        <f>CONCATENATE(W567, D567)</f>
        <v>https://docs.inswave.com/websquare/websquare.html?w2xPath=/support/api/guide/WidgetContainer/exportWidgets_removeWidgetsAll_WidgetContainer.xml</v>
      </c>
      <c r="Y567" s="48" t="str">
        <f>HYPERLINK(X567, H567)</f>
        <v>위젯 정보 확인 및 위젯 삭제</v>
      </c>
      <c r="Z567" s="4" t="str">
        <f>HYPERLINK(V567,H567)</f>
        <v>위젯 정보 확인 및 위젯 삭제</v>
      </c>
      <c r="AA567" s="4" t="str">
        <f>HYPERLINK(J567,H567)</f>
        <v>위젯 정보 확인 및 위젯 삭제</v>
      </c>
      <c r="AB567" s="39" t="str">
        <f t="shared" si="13"/>
        <v>https://docs.inswave.com/websquare/websquare.html?w2xPath=/support/api/guide/WidgetContainer/exportWidgets_removeWidgetsAll_WidgetContainer.xml</v>
      </c>
    </row>
    <row r="568" spans="1:30" s="39" customFormat="1" ht="102" x14ac:dyDescent="0.45">
      <c r="A568" s="37">
        <f>SUBTOTAL(3, $T$2:T568)</f>
        <v>467</v>
      </c>
      <c r="B568" s="38" t="s">
        <v>6</v>
      </c>
      <c r="C568" s="39" t="s">
        <v>6</v>
      </c>
      <c r="D568" s="39" t="s">
        <v>1363</v>
      </c>
      <c r="E568" s="40" t="s">
        <v>3916</v>
      </c>
      <c r="F568" s="41" t="s">
        <v>2142</v>
      </c>
      <c r="G568" s="39" t="s">
        <v>1364</v>
      </c>
      <c r="H568" s="53" t="s">
        <v>3923</v>
      </c>
      <c r="I568" s="39" t="s">
        <v>1332</v>
      </c>
      <c r="J568" s="14" t="s">
        <v>2310</v>
      </c>
      <c r="K568" s="22" t="s">
        <v>3121</v>
      </c>
      <c r="L568" s="46">
        <v>43800</v>
      </c>
      <c r="M568" s="50" t="s">
        <v>199</v>
      </c>
      <c r="N568" s="45" t="s">
        <v>199</v>
      </c>
      <c r="O568" s="45" t="s">
        <v>199</v>
      </c>
      <c r="P568" s="45" t="s">
        <v>199</v>
      </c>
      <c r="Q568" s="45" t="s">
        <v>199</v>
      </c>
      <c r="R568" s="45" t="s">
        <v>199</v>
      </c>
      <c r="S568" s="45" t="s">
        <v>199</v>
      </c>
      <c r="T568" s="47" t="s">
        <v>4247</v>
      </c>
      <c r="U568" s="39" t="s">
        <v>3764</v>
      </c>
      <c r="V568" s="39" t="str">
        <f>CONCATENATE(U568, D568)</f>
        <v>https://example.websquare.kr/websquare/websquare.html?w2xPath=/guide/WidgetContainer/preventMaximizeByTitle_WidgetContainer.xml</v>
      </c>
      <c r="W568" s="39" t="s">
        <v>4512</v>
      </c>
      <c r="X568" s="39" t="str">
        <f>CONCATENATE(W568, D568)</f>
        <v>https://docs.inswave.com/websquare/websquare.html?w2xPath=/support/api/guide/WidgetContainer/preventMaximizeByTitle_WidgetContainer.xml</v>
      </c>
      <c r="Y568" s="48" t="str">
        <f>HYPERLINK(X568, H568)</f>
        <v>위젯 타이틀 더블 클릭을 통한 위젯 최대화 방지</v>
      </c>
      <c r="Z568" s="4" t="str">
        <f>HYPERLINK(V568,H568)</f>
        <v>위젯 타이틀 더블 클릭을 통한 위젯 최대화 방지</v>
      </c>
      <c r="AA568" s="4" t="str">
        <f>HYPERLINK(J568,H568)</f>
        <v>위젯 타이틀 더블 클릭을 통한 위젯 최대화 방지</v>
      </c>
      <c r="AB568" s="39" t="str">
        <f t="shared" si="13"/>
        <v>https://docs.inswave.com/websquare/websquare.html?w2xPath=/support/api/guide/WidgetContainer/preventMaximizeByTitle_WidgetContainer.xml</v>
      </c>
    </row>
    <row r="569" spans="1:30" s="39" customFormat="1" ht="102" x14ac:dyDescent="0.45">
      <c r="A569" s="37">
        <f>SUBTOTAL(3, $T$2:T569)</f>
        <v>468</v>
      </c>
      <c r="B569" s="38" t="s">
        <v>2086</v>
      </c>
      <c r="C569" s="38" t="s">
        <v>2086</v>
      </c>
      <c r="D569" s="39" t="s">
        <v>3503</v>
      </c>
      <c r="E569" s="41" t="s">
        <v>3501</v>
      </c>
      <c r="F569" s="41" t="s">
        <v>3500</v>
      </c>
      <c r="G569" s="39" t="s">
        <v>3502</v>
      </c>
      <c r="H569" s="49" t="s">
        <v>3920</v>
      </c>
      <c r="I569" s="44" t="s">
        <v>3511</v>
      </c>
      <c r="J569" s="45" t="s">
        <v>2304</v>
      </c>
      <c r="K569" s="45" t="s">
        <v>2304</v>
      </c>
      <c r="L569" s="46">
        <v>45748</v>
      </c>
      <c r="M569" s="14"/>
      <c r="N569" s="45"/>
      <c r="O569" s="45"/>
      <c r="P569" s="45"/>
      <c r="Q569" s="45"/>
      <c r="R569" s="45"/>
      <c r="S569" s="45"/>
      <c r="T569" s="47" t="s">
        <v>4249</v>
      </c>
      <c r="U569" s="39" t="s">
        <v>3764</v>
      </c>
      <c r="V569" s="39" t="str">
        <f>CONCATENATE(U569, D569)</f>
        <v>https://example.websquare.kr/websquare/websquare.html?w2xPath=/guide/WidgetContainer/addWidgets_titleClass_WidgetContainer.xml</v>
      </c>
      <c r="W569" s="39" t="s">
        <v>4512</v>
      </c>
      <c r="X569" s="39" t="str">
        <f>CONCATENATE(W569, D569)</f>
        <v>https://docs.inswave.com/websquare/websquare.html?w2xPath=/support/api/guide/WidgetContainer/addWidgets_titleClass_WidgetContainer.xml</v>
      </c>
      <c r="Y569" s="48" t="str">
        <f>HYPERLINK(X569, H569)</f>
        <v>위젯 타이틀에 스타일 적용</v>
      </c>
      <c r="Z569" s="4" t="str">
        <f>HYPERLINK(V569,H569)</f>
        <v>위젯 타이틀에 스타일 적용</v>
      </c>
      <c r="AA569" s="45" t="s">
        <v>2304</v>
      </c>
      <c r="AB569" s="39" t="str">
        <f t="shared" si="13"/>
        <v>https://docs.inswave.com/websquare/websquare.html?w2xPath=/support/api/guide/WidgetContainer/addWidgets_titleClass_WidgetContainer.xml</v>
      </c>
    </row>
    <row r="570" spans="1:30" s="39" customFormat="1" ht="102" x14ac:dyDescent="0.45">
      <c r="A570" s="37">
        <f>SUBTOTAL(3, $T$2:T570)</f>
        <v>469</v>
      </c>
      <c r="B570" s="38" t="s">
        <v>2086</v>
      </c>
      <c r="C570" s="38" t="s">
        <v>2086</v>
      </c>
      <c r="D570" s="39" t="s">
        <v>3489</v>
      </c>
      <c r="E570" s="41" t="s">
        <v>3485</v>
      </c>
      <c r="F570" s="41" t="s">
        <v>3484</v>
      </c>
      <c r="G570" s="39" t="s">
        <v>3498</v>
      </c>
      <c r="H570" s="49" t="s">
        <v>3919</v>
      </c>
      <c r="I570" s="41" t="s">
        <v>3494</v>
      </c>
      <c r="J570" s="45" t="s">
        <v>2304</v>
      </c>
      <c r="K570" s="45" t="s">
        <v>2304</v>
      </c>
      <c r="L570" s="46">
        <v>45717</v>
      </c>
      <c r="M570" s="14"/>
      <c r="N570" s="45"/>
      <c r="O570" s="45"/>
      <c r="P570" s="45"/>
      <c r="Q570" s="45"/>
      <c r="R570" s="45"/>
      <c r="S570" s="45"/>
      <c r="T570" s="47" t="s">
        <v>4249</v>
      </c>
      <c r="U570" s="39" t="s">
        <v>3764</v>
      </c>
      <c r="V570" s="39" t="str">
        <f>CONCATENATE(U570, D570)</f>
        <v>https://example.websquare.kr/websquare/websquare.html?w2xPath=/guide/WidgetContainer/addWidgets_userIconClass_WidgetContainer.xml</v>
      </c>
      <c r="W570" s="39" t="s">
        <v>4512</v>
      </c>
      <c r="X570" s="39" t="str">
        <f>CONCATENATE(W570, D570)</f>
        <v>https://docs.inswave.com/websquare/websquare.html?w2xPath=/support/api/guide/WidgetContainer/addWidgets_userIconClass_WidgetContainer.xml</v>
      </c>
      <c r="Y570" s="48" t="str">
        <f>HYPERLINK(X570, H570)</f>
        <v>위젯 타이틀에 아이콘 이미지 표시</v>
      </c>
      <c r="Z570" s="4" t="str">
        <f>HYPERLINK(V570,H570)</f>
        <v>위젯 타이틀에 아이콘 이미지 표시</v>
      </c>
      <c r="AA570" s="45" t="s">
        <v>2304</v>
      </c>
      <c r="AB570" s="39" t="str">
        <f t="shared" si="13"/>
        <v>https://docs.inswave.com/websquare/websquare.html?w2xPath=/support/api/guide/WidgetContainer/addWidgets_userIconClass_WidgetContainer.xml</v>
      </c>
    </row>
    <row r="571" spans="1:30" s="39" customFormat="1" ht="102" x14ac:dyDescent="0.45">
      <c r="A571" s="37">
        <f>SUBTOTAL(3, $T$2:T571)</f>
        <v>470</v>
      </c>
      <c r="B571" s="38" t="s">
        <v>2086</v>
      </c>
      <c r="C571" s="38" t="s">
        <v>2086</v>
      </c>
      <c r="D571" s="39" t="s">
        <v>3490</v>
      </c>
      <c r="E571" s="41" t="s">
        <v>3487</v>
      </c>
      <c r="F571" s="41" t="s">
        <v>3486</v>
      </c>
      <c r="G571" s="39" t="s">
        <v>3924</v>
      </c>
      <c r="H571" s="49" t="s">
        <v>3924</v>
      </c>
      <c r="I571" s="41" t="s">
        <v>3495</v>
      </c>
      <c r="J571" s="45" t="s">
        <v>2304</v>
      </c>
      <c r="K571" s="45" t="s">
        <v>2304</v>
      </c>
      <c r="L571" s="46">
        <v>45717</v>
      </c>
      <c r="M571" s="14"/>
      <c r="N571" s="45"/>
      <c r="O571" s="45"/>
      <c r="P571" s="45"/>
      <c r="Q571" s="45"/>
      <c r="R571" s="45"/>
      <c r="S571" s="45"/>
      <c r="T571" s="47" t="s">
        <v>4249</v>
      </c>
      <c r="U571" s="39" t="s">
        <v>3764</v>
      </c>
      <c r="V571" s="39" t="str">
        <f>CONCATENATE(U571, D571)</f>
        <v>https://example.websquare.kr/websquare/websquare.html?w2xPath=/guide/WidgetContainer/addWidgets_buttonFormatter_WidgetContainer.xml</v>
      </c>
      <c r="W571" s="39" t="s">
        <v>4512</v>
      </c>
      <c r="X571" s="39" t="str">
        <f>CONCATENATE(W571, D571)</f>
        <v>https://docs.inswave.com/websquare/websquare.html?w2xPath=/support/api/guide/WidgetContainer/addWidgets_buttonFormatter_WidgetContainer.xml</v>
      </c>
      <c r="Y571" s="48" t="str">
        <f>HYPERLINK(X571, H571)</f>
        <v>위젯에 커스텀 버튼 추가</v>
      </c>
      <c r="Z571" s="4" t="str">
        <f>HYPERLINK(V571,H571)</f>
        <v>위젯에 커스텀 버튼 추가</v>
      </c>
      <c r="AA571" s="45" t="s">
        <v>2304</v>
      </c>
      <c r="AB571" s="39" t="str">
        <f t="shared" si="13"/>
        <v>https://docs.inswave.com/websquare/websquare.html?w2xPath=/support/api/guide/WidgetContainer/addWidgets_buttonFormatter_WidgetContainer.xml</v>
      </c>
    </row>
    <row r="572" spans="1:30" s="39" customFormat="1" ht="119" x14ac:dyDescent="0.45">
      <c r="A572" s="37">
        <f>SUBTOTAL(3, $T$2:T572)</f>
        <v>471</v>
      </c>
      <c r="B572" s="38" t="s">
        <v>2087</v>
      </c>
      <c r="C572" s="39" t="s">
        <v>2087</v>
      </c>
      <c r="D572" s="39" t="s">
        <v>3686</v>
      </c>
      <c r="E572" s="40" t="s">
        <v>2721</v>
      </c>
      <c r="F572" s="41" t="s">
        <v>2735</v>
      </c>
      <c r="G572" s="39" t="s">
        <v>2737</v>
      </c>
      <c r="H572" s="58" t="s">
        <v>4450</v>
      </c>
      <c r="I572" s="44" t="s">
        <v>2736</v>
      </c>
      <c r="J572" s="14" t="s">
        <v>2740</v>
      </c>
      <c r="K572" s="22" t="s">
        <v>3085</v>
      </c>
      <c r="L572" s="46">
        <v>45444</v>
      </c>
      <c r="M572" s="14"/>
      <c r="N572" s="45"/>
      <c r="O572" s="45"/>
      <c r="P572" s="45"/>
      <c r="Q572" s="45" t="s">
        <v>199</v>
      </c>
      <c r="R572" s="45" t="s">
        <v>199</v>
      </c>
      <c r="S572" s="45" t="s">
        <v>199</v>
      </c>
      <c r="T572" s="47" t="s">
        <v>4247</v>
      </c>
      <c r="U572" s="39" t="s">
        <v>3764</v>
      </c>
      <c r="V572" s="39" t="str">
        <f>CONCATENATE(U572, D572)</f>
        <v>https://example.websquare.kr/websquare/websquare.html?w2xPath=/guide/WindowContainer/pageFrame_createWindow_WindowContainer/pageFrame_createWindow_WindowContainer.xml</v>
      </c>
      <c r="W572" s="39" t="s">
        <v>4512</v>
      </c>
      <c r="X572" s="39" t="str">
        <f>CONCATENATE(W572, D572)</f>
        <v>https://docs.inswave.com/websquare/websquare.html?w2xPath=/support/api/guide/WindowContainer/pageFrame_createWindow_WindowContainer/pageFrame_createWindow_WindowContainer.xml</v>
      </c>
      <c r="Y572" s="48" t="str">
        <f>HYPERLINK(X572, H572)</f>
        <v>PageFrame 윈도우 생성</v>
      </c>
      <c r="Z572" s="4" t="str">
        <f>HYPERLINK(V572,H572)</f>
        <v>PageFrame 윈도우 생성</v>
      </c>
      <c r="AA572" s="4" t="str">
        <f>HYPERLINK(J572,H572)</f>
        <v>PageFrame 윈도우 생성</v>
      </c>
      <c r="AB572" s="39" t="str">
        <f t="shared" si="13"/>
        <v>https://docs.inswave.com/websquare/websquare.html?w2xPath=/support/api/guide/WindowContainer/pageFrame_createWindow_WindowContainer/pageFrame_createWindow_WindowContainer.xml</v>
      </c>
      <c r="AC572" s="45"/>
      <c r="AD572" s="45"/>
    </row>
    <row r="573" spans="1:30" s="39" customFormat="1" ht="102" x14ac:dyDescent="0.45">
      <c r="A573" s="37">
        <f>SUBTOTAL(3, $T$2:T573)</f>
        <v>472</v>
      </c>
      <c r="B573" s="38" t="s">
        <v>5</v>
      </c>
      <c r="C573" s="39" t="s">
        <v>5</v>
      </c>
      <c r="D573" s="39" t="s">
        <v>393</v>
      </c>
      <c r="E573" s="57" t="s">
        <v>3958</v>
      </c>
      <c r="F573" s="41" t="s">
        <v>392</v>
      </c>
      <c r="G573" s="39" t="s">
        <v>105</v>
      </c>
      <c r="H573" s="53" t="s">
        <v>4477</v>
      </c>
      <c r="I573" s="44" t="s">
        <v>248</v>
      </c>
      <c r="J573" s="14" t="s">
        <v>394</v>
      </c>
      <c r="K573" s="22" t="s">
        <v>3099</v>
      </c>
      <c r="L573" s="46">
        <v>44409</v>
      </c>
      <c r="M573" s="14"/>
      <c r="N573" s="45" t="s">
        <v>199</v>
      </c>
      <c r="O573" s="45" t="s">
        <v>199</v>
      </c>
      <c r="P573" s="45" t="s">
        <v>199</v>
      </c>
      <c r="Q573" s="45" t="s">
        <v>199</v>
      </c>
      <c r="R573" s="45" t="s">
        <v>199</v>
      </c>
      <c r="S573" s="45" t="s">
        <v>199</v>
      </c>
      <c r="T573" s="47" t="s">
        <v>4247</v>
      </c>
      <c r="U573" s="39" t="s">
        <v>3764</v>
      </c>
      <c r="V573" s="39" t="str">
        <f>CONCATENATE(U573, D573)</f>
        <v>https://example.websquare.kr/websquare/websquare.html?w2xPath=/guide/WindowContainer/useFixButton_nameLayerRearrange_WindowContainer.xml</v>
      </c>
      <c r="W573" s="39" t="s">
        <v>4512</v>
      </c>
      <c r="X573" s="39" t="str">
        <f>CONCATENATE(W573, D573)</f>
        <v>https://docs.inswave.com/websquare/websquare.html?w2xPath=/support/api/guide/WindowContainer/useFixButton_nameLayerRearrange_WindowContainer.xml</v>
      </c>
      <c r="Y573" s="48" t="str">
        <f>HYPERLINK(X573, H573)</f>
        <v>고정된 윈도우를 네임 레이어의 최앞단으로 이동</v>
      </c>
      <c r="Z573" s="4" t="str">
        <f>HYPERLINK(V573,H573)</f>
        <v>고정된 윈도우를 네임 레이어의 최앞단으로 이동</v>
      </c>
      <c r="AA573" s="4" t="str">
        <f>HYPERLINK(J573,H573)</f>
        <v>고정된 윈도우를 네임 레이어의 최앞단으로 이동</v>
      </c>
      <c r="AB573" s="39" t="str">
        <f t="shared" si="13"/>
        <v>https://docs.inswave.com/websquare/websquare.html?w2xPath=/support/api/guide/WindowContainer/useFixButton_nameLayerRearrange_WindowContainer.xml</v>
      </c>
    </row>
    <row r="574" spans="1:30" s="39" customFormat="1" ht="102" x14ac:dyDescent="0.45">
      <c r="A574" s="37">
        <f>SUBTOTAL(3, $T$2:T574)</f>
        <v>473</v>
      </c>
      <c r="B574" s="51" t="s">
        <v>2087</v>
      </c>
      <c r="C574" s="51" t="s">
        <v>2087</v>
      </c>
      <c r="D574" s="39" t="s">
        <v>3960</v>
      </c>
      <c r="E574" s="40" t="s">
        <v>2274</v>
      </c>
      <c r="F574" s="41" t="s">
        <v>2272</v>
      </c>
      <c r="G574" s="39" t="s">
        <v>2280</v>
      </c>
      <c r="H574" s="53" t="s">
        <v>3959</v>
      </c>
      <c r="I574" s="39" t="s">
        <v>2270</v>
      </c>
      <c r="J574" s="14" t="s">
        <v>2289</v>
      </c>
      <c r="K574" s="22" t="s">
        <v>3098</v>
      </c>
      <c r="L574" s="46">
        <v>45108</v>
      </c>
      <c r="M574" s="14"/>
      <c r="N574" s="45" t="s">
        <v>199</v>
      </c>
      <c r="O574" s="45" t="s">
        <v>199</v>
      </c>
      <c r="P574" s="45" t="s">
        <v>199</v>
      </c>
      <c r="Q574" s="45" t="s">
        <v>199</v>
      </c>
      <c r="R574" s="45" t="s">
        <v>199</v>
      </c>
      <c r="S574" s="45" t="s">
        <v>199</v>
      </c>
      <c r="T574" s="47" t="s">
        <v>4247</v>
      </c>
      <c r="U574" s="39" t="s">
        <v>3764</v>
      </c>
      <c r="V574" s="39" t="str">
        <f>CONCATENATE(U574, D574)</f>
        <v>https://example.websquare.kr/websquare/websquare.html?w2xPath=/guide/WindowContainer/setWindowTabOrder_WindowContainer.xml</v>
      </c>
      <c r="W574" s="39" t="s">
        <v>4512</v>
      </c>
      <c r="X574" s="39" t="str">
        <f>CONCATENATE(W574, D574)</f>
        <v>https://docs.inswave.com/websquare/websquare.html?w2xPath=/support/api/guide/WindowContainer/setWindowTabOrder_WindowContainer.xml</v>
      </c>
      <c r="Y574" s="48" t="str">
        <f>HYPERLINK(X574, H574)</f>
        <v>네임 레이어 상의 윈도우 순서 변경</v>
      </c>
      <c r="Z574" s="4" t="str">
        <f>HYPERLINK(V574,H574)</f>
        <v>네임 레이어 상의 윈도우 순서 변경</v>
      </c>
      <c r="AA574" s="4" t="str">
        <f>HYPERLINK(J574,H574)</f>
        <v>네임 레이어 상의 윈도우 순서 변경</v>
      </c>
      <c r="AB574" s="39" t="str">
        <f t="shared" si="13"/>
        <v>https://docs.inswave.com/websquare/websquare.html?w2xPath=/support/api/guide/WindowContainer/setWindowTabOrder_WindowContainer.xml</v>
      </c>
    </row>
    <row r="575" spans="1:30" s="39" customFormat="1" ht="119" x14ac:dyDescent="0.45">
      <c r="A575" s="37">
        <f>SUBTOTAL(3, $T$2:T575)</f>
        <v>474</v>
      </c>
      <c r="B575" s="38" t="s">
        <v>5</v>
      </c>
      <c r="C575" s="39" t="s">
        <v>5</v>
      </c>
      <c r="D575" s="39" t="s">
        <v>3690</v>
      </c>
      <c r="E575" s="40" t="s">
        <v>3938</v>
      </c>
      <c r="F575" s="41" t="s">
        <v>2361</v>
      </c>
      <c r="G575" s="39" t="s">
        <v>1348</v>
      </c>
      <c r="H575" s="53" t="s">
        <v>3939</v>
      </c>
      <c r="I575" s="39" t="s">
        <v>2360</v>
      </c>
      <c r="J575" s="14" t="s">
        <v>2362</v>
      </c>
      <c r="K575" s="22" t="s">
        <v>3089</v>
      </c>
      <c r="L575" s="46">
        <v>43800</v>
      </c>
      <c r="M575" s="14"/>
      <c r="N575" s="45" t="s">
        <v>199</v>
      </c>
      <c r="O575" s="45" t="s">
        <v>200</v>
      </c>
      <c r="P575" s="45" t="s">
        <v>199</v>
      </c>
      <c r="Q575" s="45" t="s">
        <v>199</v>
      </c>
      <c r="R575" s="45" t="s">
        <v>199</v>
      </c>
      <c r="S575" s="45" t="s">
        <v>199</v>
      </c>
      <c r="T575" s="47" t="s">
        <v>4247</v>
      </c>
      <c r="U575" s="39" t="s">
        <v>3764</v>
      </c>
      <c r="V575" s="39" t="str">
        <f>CONCATENATE(U575, D575)</f>
        <v>https://example.websquare.kr/websquare/websquare.html?w2xPath=/guide/WindowContainer/stopMinimizeOnNameLayer_WindowContainer/stopMinimizeOnNameLayer_WindowContainer.xml</v>
      </c>
      <c r="W575" s="39" t="s">
        <v>4512</v>
      </c>
      <c r="X575" s="39" t="str">
        <f>CONCATENATE(W575, D575)</f>
        <v>https://docs.inswave.com/websquare/websquare.html?w2xPath=/support/api/guide/WindowContainer/stopMinimizeOnNameLayer_WindowContainer/stopMinimizeOnNameLayer_WindowContainer.xml</v>
      </c>
      <c r="Y575" s="48" t="str">
        <f>HYPERLINK(X575, H575)</f>
        <v>네임 레이어를 통한 최소화 방지</v>
      </c>
      <c r="Z575" s="4" t="str">
        <f>HYPERLINK(V575,H575)</f>
        <v>네임 레이어를 통한 최소화 방지</v>
      </c>
      <c r="AA575" s="4" t="str">
        <f>HYPERLINK(J575,H575)</f>
        <v>네임 레이어를 통한 최소화 방지</v>
      </c>
      <c r="AB575" s="39" t="str">
        <f t="shared" ref="AB575:AB582" si="14">CONCATENATE(W575, D575)</f>
        <v>https://docs.inswave.com/websquare/websquare.html?w2xPath=/support/api/guide/WindowContainer/stopMinimizeOnNameLayer_WindowContainer/stopMinimizeOnNameLayer_WindowContainer.xml</v>
      </c>
    </row>
    <row r="576" spans="1:30" s="39" customFormat="1" ht="102" x14ac:dyDescent="0.45">
      <c r="A576" s="37">
        <f>SUBTOTAL(3, $T$2:T576)</f>
        <v>475</v>
      </c>
      <c r="B576" s="38" t="s">
        <v>5</v>
      </c>
      <c r="C576" s="39" t="s">
        <v>5</v>
      </c>
      <c r="D576" s="39" t="s">
        <v>1712</v>
      </c>
      <c r="E576" s="40" t="s">
        <v>1710</v>
      </c>
      <c r="F576" s="41" t="s">
        <v>1708</v>
      </c>
      <c r="G576" s="44" t="s">
        <v>1711</v>
      </c>
      <c r="H576" s="53" t="s">
        <v>3969</v>
      </c>
      <c r="I576" s="39" t="s">
        <v>1706</v>
      </c>
      <c r="J576" s="14" t="s">
        <v>1709</v>
      </c>
      <c r="K576" s="22" t="s">
        <v>3091</v>
      </c>
      <c r="L576" s="46">
        <v>44774</v>
      </c>
      <c r="M576" s="14"/>
      <c r="N576" s="45" t="s">
        <v>199</v>
      </c>
      <c r="O576" s="45" t="s">
        <v>199</v>
      </c>
      <c r="P576" s="45" t="s">
        <v>199</v>
      </c>
      <c r="Q576" s="45" t="s">
        <v>199</v>
      </c>
      <c r="R576" s="45" t="s">
        <v>199</v>
      </c>
      <c r="S576" s="45" t="s">
        <v>199</v>
      </c>
      <c r="T576" s="47" t="s">
        <v>4247</v>
      </c>
      <c r="U576" s="39" t="s">
        <v>3764</v>
      </c>
      <c r="V576" s="39" t="str">
        <f>CONCATENATE(U576, D576)</f>
        <v>https://example.websquare.kr/websquare/websquare.html?w2xPath=/guide/WindowContainer/changeActiveWindow_WindowContainer.xml</v>
      </c>
      <c r="W576" s="39" t="s">
        <v>4512</v>
      </c>
      <c r="X576" s="39" t="str">
        <f>CONCATENATE(W576, D576)</f>
        <v>https://docs.inswave.com/websquare/websquare.html?w2xPath=/support/api/guide/WindowContainer/changeActiveWindow_WindowContainer.xml</v>
      </c>
      <c r="Y576" s="48" t="str">
        <f>HYPERLINK(X576, H576)</f>
        <v>네임 레이어의 스크롤 버튼을 통한 윈도우 선택</v>
      </c>
      <c r="Z576" s="4" t="str">
        <f>HYPERLINK(V576,H576)</f>
        <v>네임 레이어의 스크롤 버튼을 통한 윈도우 선택</v>
      </c>
      <c r="AA576" s="4" t="str">
        <f>HYPERLINK(J576,H576)</f>
        <v>네임 레이어의 스크롤 버튼을 통한 윈도우 선택</v>
      </c>
      <c r="AB576" s="39" t="str">
        <f t="shared" si="14"/>
        <v>https://docs.inswave.com/websquare/websquare.html?w2xPath=/support/api/guide/WindowContainer/changeActiveWindow_WindowContainer.xml</v>
      </c>
    </row>
    <row r="577" spans="1:28" s="39" customFormat="1" ht="119" x14ac:dyDescent="0.45">
      <c r="A577" s="37">
        <f>SUBTOTAL(3, $T$2:T577)</f>
        <v>476</v>
      </c>
      <c r="B577" s="38" t="s">
        <v>2087</v>
      </c>
      <c r="C577" s="38" t="s">
        <v>2087</v>
      </c>
      <c r="D577" s="41" t="s">
        <v>3682</v>
      </c>
      <c r="E577" s="41" t="s">
        <v>3425</v>
      </c>
      <c r="F577" s="41" t="s">
        <v>3423</v>
      </c>
      <c r="G577" s="39" t="s">
        <v>3429</v>
      </c>
      <c r="H577" s="58" t="s">
        <v>4420</v>
      </c>
      <c r="I577" s="44"/>
      <c r="J577" s="45" t="s">
        <v>2304</v>
      </c>
      <c r="K577" s="45" t="s">
        <v>2304</v>
      </c>
      <c r="L577" s="46">
        <v>45658</v>
      </c>
      <c r="M577" s="14"/>
      <c r="N577" s="45"/>
      <c r="O577" s="45"/>
      <c r="P577" s="45"/>
      <c r="Q577" s="45"/>
      <c r="R577" s="45"/>
      <c r="S577" s="45"/>
      <c r="T577" s="47" t="s">
        <v>4249</v>
      </c>
      <c r="U577" s="39" t="s">
        <v>3764</v>
      </c>
      <c r="V577" s="39" t="str">
        <f>CONCATENATE(U577, D577)</f>
        <v>https://example.websquare.kr/websquare/websquare.html?w2xPath=/guide/WindowContainer/createWindow_scopeInherit_WindowContainer/createWindow_scopeInherit_WindowContainer.xml</v>
      </c>
      <c r="W577" s="39" t="s">
        <v>4512</v>
      </c>
      <c r="X577" s="39" t="str">
        <f>CONCATENATE(W577, D577)</f>
        <v>https://docs.inswave.com/websquare/websquare.html?w2xPath=/support/api/guide/WindowContainer/createWindow_scopeInherit_WindowContainer/createWindow_scopeInherit_WindowContainer.xml</v>
      </c>
      <c r="Y577" s="48" t="str">
        <f>HYPERLINK(X577, H577)</f>
        <v>부모의 Scope 상속</v>
      </c>
      <c r="Z577" s="4" t="str">
        <f>HYPERLINK(V577,H577)</f>
        <v>부모의 Scope 상속</v>
      </c>
      <c r="AA577" s="45" t="s">
        <v>2304</v>
      </c>
      <c r="AB577" s="39" t="str">
        <f t="shared" si="14"/>
        <v>https://docs.inswave.com/websquare/websquare.html?w2xPath=/support/api/guide/WindowContainer/createWindow_scopeInherit_WindowContainer/createWindow_scopeInherit_WindowContainer.xml</v>
      </c>
    </row>
    <row r="578" spans="1:28" s="39" customFormat="1" ht="136" hidden="1" x14ac:dyDescent="0.45">
      <c r="A578" s="37">
        <f>SUBTOTAL(3, $T$2:T578)</f>
        <v>476</v>
      </c>
      <c r="B578" s="38" t="s">
        <v>1814</v>
      </c>
      <c r="C578" s="38" t="s">
        <v>1999</v>
      </c>
      <c r="D578" s="39" t="s">
        <v>3716</v>
      </c>
      <c r="E578" s="40" t="s">
        <v>4074</v>
      </c>
      <c r="F578" s="41" t="s">
        <v>3507</v>
      </c>
      <c r="G578" s="39" t="s">
        <v>3510</v>
      </c>
      <c r="H578" s="58" t="s">
        <v>4433</v>
      </c>
      <c r="I578" s="44" t="s">
        <v>3512</v>
      </c>
      <c r="J578" s="45" t="s">
        <v>2304</v>
      </c>
      <c r="K578" s="45" t="s">
        <v>2304</v>
      </c>
      <c r="L578" s="46">
        <v>45748</v>
      </c>
      <c r="M578" s="14"/>
      <c r="N578" s="45"/>
      <c r="O578" s="45"/>
      <c r="P578" s="45"/>
      <c r="Q578" s="45"/>
      <c r="R578" s="45"/>
      <c r="S578" s="45"/>
      <c r="T578" s="47" t="s">
        <v>4491</v>
      </c>
      <c r="U578" s="39" t="s">
        <v>3764</v>
      </c>
      <c r="V578" s="39" t="str">
        <f>CONCATENATE(U578, D578)</f>
        <v>https://example.websquare.kr/websquare/websquare.html?w2xPath=/guide/GridView/inputType/inputType_drilldown_onbeforetoggleclick_gridView_column/inputType_drilldown_onbeforetoggleclick_gridView_column.xml</v>
      </c>
      <c r="W578" s="39" t="s">
        <v>4220</v>
      </c>
      <c r="X578" s="39" t="str">
        <f>CONCATENATE(W578, D578)</f>
        <v>https://docs.inswave.com/websquare/websquare.html?w2xPath=/support/api/samples/GridView/inputType/inputType_drilldown_onbeforetoggleclick_gridView_column/inputType_drilldown_onbeforetoggleclick_gridView_column.xml</v>
      </c>
      <c r="Y578" s="48"/>
      <c r="Z578" s="4"/>
      <c r="AA578" s="45" t="s">
        <v>2304</v>
      </c>
      <c r="AB578" s="39" t="str">
        <f t="shared" si="14"/>
        <v>https://docs.inswave.com/websquare/websquare.html?w2xPath=/support/api/samples/GridView/inputType/inputType_drilldown_onbeforetoggleclick_gridView_column/inputType_drilldown_onbeforetoggleclick_gridView_column.xml</v>
      </c>
    </row>
    <row r="579" spans="1:28" s="39" customFormat="1" ht="119" x14ac:dyDescent="0.45">
      <c r="A579" s="37">
        <f>SUBTOTAL(3, $T$2:T579)</f>
        <v>477</v>
      </c>
      <c r="B579" s="38" t="s">
        <v>5</v>
      </c>
      <c r="C579" s="39" t="s">
        <v>5</v>
      </c>
      <c r="D579" s="39" t="s">
        <v>3684</v>
      </c>
      <c r="E579" s="40" t="s">
        <v>1621</v>
      </c>
      <c r="F579" s="41" t="s">
        <v>1620</v>
      </c>
      <c r="G579" s="39" t="s">
        <v>1579</v>
      </c>
      <c r="H579" s="53" t="s">
        <v>3946</v>
      </c>
      <c r="I579" s="44" t="s">
        <v>1580</v>
      </c>
      <c r="J579" s="14" t="s">
        <v>1656</v>
      </c>
      <c r="K579" s="22" t="s">
        <v>3081</v>
      </c>
      <c r="L579" s="46">
        <v>44136</v>
      </c>
      <c r="M579" s="14"/>
      <c r="N579" s="45" t="s">
        <v>199</v>
      </c>
      <c r="O579" s="45" t="s">
        <v>199</v>
      </c>
      <c r="P579" s="45" t="s">
        <v>199</v>
      </c>
      <c r="Q579" s="45" t="s">
        <v>199</v>
      </c>
      <c r="R579" s="45" t="s">
        <v>199</v>
      </c>
      <c r="S579" s="45" t="s">
        <v>199</v>
      </c>
      <c r="T579" s="47" t="s">
        <v>4247</v>
      </c>
      <c r="U579" s="39" t="s">
        <v>3764</v>
      </c>
      <c r="V579" s="39" t="str">
        <f>CONCATENATE(U579, D579)</f>
        <v>https://example.websquare.kr/websquare/websquare.html?w2xPath=/guide/WindowContainer/frameMode_spaReplaceHistory_WindowContainer/frameMode_spaReplaceHistory_WindowContainer.xml</v>
      </c>
      <c r="W579" s="39" t="s">
        <v>4512</v>
      </c>
      <c r="X579" s="39" t="str">
        <f>CONCATENATE(W579, D579)</f>
        <v>https://docs.inswave.com/websquare/websquare.html?w2xPath=/support/api/guide/WindowContainer/frameMode_spaReplaceHistory_WindowContainer/frameMode_spaReplaceHistory_WindowContainer.xml</v>
      </c>
      <c r="Y579" s="48" t="str">
        <f>HYPERLINK(X579, H579)</f>
        <v>브라우저의 History 기능 사용</v>
      </c>
      <c r="Z579" s="4" t="str">
        <f>HYPERLINK(V579,H579)</f>
        <v>브라우저의 History 기능 사용</v>
      </c>
      <c r="AA579" s="4" t="str">
        <f>HYPERLINK(J579,H579)</f>
        <v>브라우저의 History 기능 사용</v>
      </c>
      <c r="AB579" s="39" t="str">
        <f t="shared" si="14"/>
        <v>https://docs.inswave.com/websquare/websquare.html?w2xPath=/support/api/guide/WindowContainer/frameMode_spaReplaceHistory_WindowContainer/frameMode_spaReplaceHistory_WindowContainer.xml</v>
      </c>
    </row>
    <row r="580" spans="1:28" s="39" customFormat="1" ht="102" x14ac:dyDescent="0.45">
      <c r="A580" s="37">
        <f>SUBTOTAL(3, $T$2:T580)</f>
        <v>478</v>
      </c>
      <c r="B580" s="38" t="s">
        <v>5</v>
      </c>
      <c r="C580" s="39" t="s">
        <v>5</v>
      </c>
      <c r="D580" s="39" t="s">
        <v>3687</v>
      </c>
      <c r="E580" s="40" t="s">
        <v>3943</v>
      </c>
      <c r="F580" s="41" t="s">
        <v>2120</v>
      </c>
      <c r="G580" s="39" t="s">
        <v>1420</v>
      </c>
      <c r="H580" s="53" t="s">
        <v>3942</v>
      </c>
      <c r="I580" s="44" t="s">
        <v>2126</v>
      </c>
      <c r="J580" s="14" t="s">
        <v>2127</v>
      </c>
      <c r="K580" s="22" t="s">
        <v>3086</v>
      </c>
      <c r="L580" s="46">
        <v>43922</v>
      </c>
      <c r="M580" s="14"/>
      <c r="N580" s="45" t="s">
        <v>199</v>
      </c>
      <c r="O580" s="45" t="s">
        <v>199</v>
      </c>
      <c r="P580" s="45" t="s">
        <v>199</v>
      </c>
      <c r="Q580" s="45" t="s">
        <v>199</v>
      </c>
      <c r="R580" s="45" t="s">
        <v>199</v>
      </c>
      <c r="S580" s="45" t="s">
        <v>199</v>
      </c>
      <c r="T580" s="47" t="s">
        <v>4247</v>
      </c>
      <c r="U580" s="39" t="s">
        <v>3764</v>
      </c>
      <c r="V580" s="39" t="str">
        <f>CONCATENATE(U580, D580)</f>
        <v>https://example.websquare.kr/websquare/websquare.html?w2xPath=/guide/WindowContainer/processMsgFrame_WindowContainer/processMsgFrame_WindowContainer.xml</v>
      </c>
      <c r="W580" s="39" t="s">
        <v>4512</v>
      </c>
      <c r="X580" s="39" t="str">
        <f>CONCATENATE(W580, D580)</f>
        <v>https://docs.inswave.com/websquare/websquare.html?w2xPath=/support/api/guide/WindowContainer/processMsgFrame_WindowContainer/processMsgFrame_WindowContainer.xml</v>
      </c>
      <c r="Y580" s="48" t="str">
        <f>HYPERLINK(X580, H580)</f>
        <v>서브미션 메시지 표시</v>
      </c>
      <c r="Z580" s="4" t="str">
        <f>HYPERLINK(V580,H580)</f>
        <v>서브미션 메시지 표시</v>
      </c>
      <c r="AA580" s="4" t="str">
        <f>HYPERLINK(J580,H580)</f>
        <v>서브미션 메시지 표시</v>
      </c>
      <c r="AB580" s="39" t="str">
        <f t="shared" si="14"/>
        <v>https://docs.inswave.com/websquare/websquare.html?w2xPath=/support/api/guide/WindowContainer/processMsgFrame_WindowContainer/processMsgFrame_WindowContainer.xml</v>
      </c>
    </row>
    <row r="581" spans="1:28" s="39" customFormat="1" ht="136" x14ac:dyDescent="0.45">
      <c r="A581" s="37">
        <f>SUBTOTAL(3, $T$2:T581)</f>
        <v>479</v>
      </c>
      <c r="B581" s="38" t="s">
        <v>5</v>
      </c>
      <c r="C581" s="39" t="s">
        <v>5</v>
      </c>
      <c r="D581" s="39" t="s">
        <v>3688</v>
      </c>
      <c r="E581" s="40" t="s">
        <v>2111</v>
      </c>
      <c r="F581" s="41" t="s">
        <v>2114</v>
      </c>
      <c r="G581" s="39" t="s">
        <v>1425</v>
      </c>
      <c r="H581" s="53" t="s">
        <v>3941</v>
      </c>
      <c r="I581" s="44" t="s">
        <v>2112</v>
      </c>
      <c r="J581" s="14" t="s">
        <v>2113</v>
      </c>
      <c r="K581" s="22" t="s">
        <v>3087</v>
      </c>
      <c r="L581" s="46">
        <v>43922</v>
      </c>
      <c r="M581" s="14"/>
      <c r="N581" s="45" t="s">
        <v>199</v>
      </c>
      <c r="O581" s="45" t="s">
        <v>199</v>
      </c>
      <c r="P581" s="45" t="s">
        <v>199</v>
      </c>
      <c r="Q581" s="45" t="s">
        <v>199</v>
      </c>
      <c r="R581" s="45" t="s">
        <v>199</v>
      </c>
      <c r="S581" s="45" t="s">
        <v>199</v>
      </c>
      <c r="T581" s="47" t="s">
        <v>4247</v>
      </c>
      <c r="U581" s="39" t="s">
        <v>3764</v>
      </c>
      <c r="V581" s="39" t="str">
        <f>CONCATENATE(U581, D581)</f>
        <v>https://example.websquare.kr/websquare/websquare.html?w2xPath=/guide/WindowContainer/processMsgFrameURL_config_processMsgFrame_WindowContainer/processMsgFrameURL_config_processMsgFrame_WindowContainer.xml</v>
      </c>
      <c r="W581" s="39" t="s">
        <v>4512</v>
      </c>
      <c r="X581" s="39" t="str">
        <f>CONCATENATE(W581, D581)</f>
        <v>https://docs.inswave.com/websquare/websquare.html?w2xPath=/support/api/guide/WindowContainer/processMsgFrameURL_config_processMsgFrame_WindowContainer/processMsgFrameURL_config_processMsgFrame_WindowContainer.xml</v>
      </c>
      <c r="Y581" s="48" t="str">
        <f>HYPERLINK(X581, H581)</f>
        <v>서브미션 상태 메시지 소스 변경</v>
      </c>
      <c r="Z581" s="4" t="str">
        <f>HYPERLINK(V581,H581)</f>
        <v>서브미션 상태 메시지 소스 변경</v>
      </c>
      <c r="AA581" s="4" t="str">
        <f>HYPERLINK(J581,H581)</f>
        <v>서브미션 상태 메시지 소스 변경</v>
      </c>
      <c r="AB581" s="39" t="str">
        <f t="shared" si="14"/>
        <v>https://docs.inswave.com/websquare/websquare.html?w2xPath=/support/api/guide/WindowContainer/processMsgFrameURL_config_processMsgFrame_WindowContainer/processMsgFrameURL_config_processMsgFrame_WindowContainer.xml</v>
      </c>
    </row>
    <row r="582" spans="1:28" s="39" customFormat="1" ht="136" x14ac:dyDescent="0.45">
      <c r="A582" s="37">
        <f>SUBTOTAL(3, $T$2:T582)</f>
        <v>480</v>
      </c>
      <c r="B582" s="38" t="s">
        <v>5</v>
      </c>
      <c r="C582" s="39" t="s">
        <v>5</v>
      </c>
      <c r="D582" s="39" t="s">
        <v>4268</v>
      </c>
      <c r="E582" s="40" t="s">
        <v>317</v>
      </c>
      <c r="F582" s="41" t="s">
        <v>4269</v>
      </c>
      <c r="G582" s="39" t="s">
        <v>320</v>
      </c>
      <c r="H582" s="53" t="s">
        <v>4479</v>
      </c>
      <c r="I582" s="44" t="s">
        <v>316</v>
      </c>
      <c r="J582" s="14" t="s">
        <v>350</v>
      </c>
      <c r="K582" s="22" t="s">
        <v>3082</v>
      </c>
      <c r="L582" s="46">
        <v>44501</v>
      </c>
      <c r="M582" s="14"/>
      <c r="N582" s="45" t="s">
        <v>199</v>
      </c>
      <c r="O582" s="45" t="s">
        <v>199</v>
      </c>
      <c r="P582" s="45" t="s">
        <v>199</v>
      </c>
      <c r="Q582" s="45" t="s">
        <v>199</v>
      </c>
      <c r="R582" s="45" t="s">
        <v>199</v>
      </c>
      <c r="S582" s="45" t="s">
        <v>199</v>
      </c>
      <c r="T582" s="47" t="s">
        <v>4247</v>
      </c>
      <c r="U582" s="39" t="s">
        <v>3764</v>
      </c>
      <c r="V582" s="39" t="str">
        <f>CONCATENATE(U582, D582)</f>
        <v>https://example.websquare.kr/websquare/websquare.html?w2xPath=/guide/WindowContainer/frameMode_windowContainer_window_openPopup_frameModal_p/frameMode_windowContainer_window_openPopup_frameModal_p.xml</v>
      </c>
      <c r="W582" s="39" t="s">
        <v>4512</v>
      </c>
      <c r="X582" s="39" t="str">
        <f>CONCATENATE(W582, D582)</f>
        <v>https://docs.inswave.com/websquare/websquare.html?w2xPath=/support/api/guide/WindowContainer/frameMode_windowContainer_window_openPopup_frameModal_p/frameMode_windowContainer_window_openPopup_frameModal_p.xml</v>
      </c>
      <c r="Y582" s="48" t="str">
        <f>HYPERLINK(X582, H582)</f>
        <v>윈도우 내부에서 프레임 기반 모달 팝업 생성</v>
      </c>
      <c r="Z582" s="4" t="str">
        <f>HYPERLINK(V582,H582)</f>
        <v>윈도우 내부에서 프레임 기반 모달 팝업 생성</v>
      </c>
      <c r="AA582" s="4" t="str">
        <f>HYPERLINK(J582,H582)</f>
        <v>윈도우 내부에서 프레임 기반 모달 팝업 생성</v>
      </c>
      <c r="AB582" s="39" t="str">
        <f t="shared" si="14"/>
        <v>https://docs.inswave.com/websquare/websquare.html?w2xPath=/support/api/guide/WindowContainer/frameMode_windowContainer_window_openPopup_frameModal_p/frameMode_windowContainer_window_openPopup_frameModal_p.xml</v>
      </c>
    </row>
    <row r="583" spans="1:28" s="39" customFormat="1" ht="102" x14ac:dyDescent="0.45">
      <c r="A583" s="37">
        <f>SUBTOTAL(3, $T$2:T583)</f>
        <v>481</v>
      </c>
      <c r="B583" s="38" t="s">
        <v>5</v>
      </c>
      <c r="C583" s="39" t="s">
        <v>5</v>
      </c>
      <c r="D583" s="39" t="s">
        <v>3678</v>
      </c>
      <c r="E583" s="40" t="s">
        <v>3948</v>
      </c>
      <c r="F583" s="41" t="s">
        <v>206</v>
      </c>
      <c r="G583" s="39" t="s">
        <v>65</v>
      </c>
      <c r="H583" s="53" t="s">
        <v>3947</v>
      </c>
      <c r="I583" s="44" t="s">
        <v>64</v>
      </c>
      <c r="J583" s="14" t="s">
        <v>493</v>
      </c>
      <c r="K583" s="22" t="s">
        <v>3077</v>
      </c>
      <c r="L583" s="46">
        <v>44287</v>
      </c>
      <c r="M583" s="45" t="s">
        <v>200</v>
      </c>
      <c r="N583" s="71" t="s">
        <v>199</v>
      </c>
      <c r="O583" s="72" t="s">
        <v>199</v>
      </c>
      <c r="P583" s="72" t="s">
        <v>199</v>
      </c>
      <c r="Q583" s="72" t="s">
        <v>199</v>
      </c>
      <c r="R583" s="72" t="s">
        <v>199</v>
      </c>
      <c r="S583" s="73" t="s">
        <v>199</v>
      </c>
      <c r="T583" s="47" t="s">
        <v>4247</v>
      </c>
      <c r="U583" s="39" t="s">
        <v>3764</v>
      </c>
      <c r="V583" s="39" t="str">
        <f>CONCATENATE(U583, D583)</f>
        <v>https://example.websquare.kr/websquare/websquare.html?w2xPath=/guide/WindowContainer/autoArrange_WindowContainer/autoArrange_WindowContainer.xml</v>
      </c>
      <c r="W583" s="39" t="s">
        <v>4512</v>
      </c>
      <c r="X583" s="39" t="str">
        <f>CONCATENATE(W583, D583)</f>
        <v>https://docs.inswave.com/websquare/websquare.html?w2xPath=/support/api/guide/WindowContainer/autoArrange_WindowContainer/autoArrange_WindowContainer.xml</v>
      </c>
      <c r="Y583" s="48" t="str">
        <f>HYPERLINK(X583, H583)</f>
        <v>윈도우 닫기 시 남아 있는 윈도우의 자동 정렬</v>
      </c>
      <c r="Z583" s="4" t="str">
        <f>HYPERLINK(V583,H583)</f>
        <v>윈도우 닫기 시 남아 있는 윈도우의 자동 정렬</v>
      </c>
      <c r="AA583" s="4" t="str">
        <f>HYPERLINK(J583,H583)</f>
        <v>윈도우 닫기 시 남아 있는 윈도우의 자동 정렬</v>
      </c>
    </row>
    <row r="584" spans="1:28" s="39" customFormat="1" ht="102" x14ac:dyDescent="0.45">
      <c r="A584" s="37">
        <f>SUBTOTAL(3, $T$2:T584)</f>
        <v>482</v>
      </c>
      <c r="B584" s="38" t="s">
        <v>5</v>
      </c>
      <c r="C584" s="39" t="s">
        <v>5</v>
      </c>
      <c r="D584" s="39" t="s">
        <v>3691</v>
      </c>
      <c r="E584" s="57" t="s">
        <v>3936</v>
      </c>
      <c r="F584" s="41" t="s">
        <v>397</v>
      </c>
      <c r="G584" s="39" t="s">
        <v>114</v>
      </c>
      <c r="H584" s="53" t="s">
        <v>3937</v>
      </c>
      <c r="I584" s="39" t="s">
        <v>112</v>
      </c>
      <c r="J584" s="14" t="s">
        <v>396</v>
      </c>
      <c r="K584" s="22" t="s">
        <v>3090</v>
      </c>
      <c r="L584" s="46">
        <v>44440</v>
      </c>
      <c r="M584" s="14"/>
      <c r="N584" s="71" t="s">
        <v>199</v>
      </c>
      <c r="O584" s="72" t="s">
        <v>199</v>
      </c>
      <c r="P584" s="72" t="s">
        <v>199</v>
      </c>
      <c r="Q584" s="72" t="s">
        <v>199</v>
      </c>
      <c r="R584" s="72" t="s">
        <v>199</v>
      </c>
      <c r="S584" s="73" t="s">
        <v>199</v>
      </c>
      <c r="T584" s="47" t="s">
        <v>4247</v>
      </c>
      <c r="U584" s="39" t="s">
        <v>3764</v>
      </c>
      <c r="V584" s="39" t="str">
        <f>CONCATENATE(U584, D584)</f>
        <v>https://example.websquare.kr/websquare/websquare.html?w2xPath=/guide/WindowContainer/windowMoveType_WindowContainer/windowMoveType_WindowContainer.xml</v>
      </c>
      <c r="W584" s="39" t="s">
        <v>4512</v>
      </c>
      <c r="X584" s="39" t="str">
        <f>CONCATENATE(W584, D584)</f>
        <v>https://docs.inswave.com/websquare/websquare.html?w2xPath=/support/api/guide/WindowContainer/windowMoveType_WindowContainer/windowMoveType_WindowContainer.xml</v>
      </c>
      <c r="Y584" s="48" t="str">
        <f>HYPERLINK(X584, H584)</f>
        <v>윈도우 드래깅 시 위치 설정</v>
      </c>
      <c r="Z584" s="4" t="str">
        <f>HYPERLINK(V584,H584)</f>
        <v>윈도우 드래깅 시 위치 설정</v>
      </c>
      <c r="AA584" s="4" t="str">
        <f>HYPERLINK(J584,H584)</f>
        <v>윈도우 드래깅 시 위치 설정</v>
      </c>
    </row>
    <row r="585" spans="1:28" s="27" customFormat="1" ht="102" x14ac:dyDescent="0.45">
      <c r="A585" s="37">
        <f>SUBTOTAL(3, $T$2:T585)</f>
        <v>483</v>
      </c>
      <c r="B585" s="38" t="s">
        <v>5</v>
      </c>
      <c r="C585" s="39" t="s">
        <v>5</v>
      </c>
      <c r="D585" s="39" t="s">
        <v>283</v>
      </c>
      <c r="E585" s="40" t="s">
        <v>214</v>
      </c>
      <c r="F585" s="41" t="s">
        <v>388</v>
      </c>
      <c r="G585" s="39" t="s">
        <v>95</v>
      </c>
      <c r="H585" s="53" t="s">
        <v>3956</v>
      </c>
      <c r="I585" s="78" t="s">
        <v>94</v>
      </c>
      <c r="J585" s="14" t="s">
        <v>387</v>
      </c>
      <c r="K585" s="22" t="s">
        <v>3100</v>
      </c>
      <c r="L585" s="46">
        <v>44409</v>
      </c>
      <c r="M585" s="14"/>
      <c r="N585" s="71" t="s">
        <v>199</v>
      </c>
      <c r="O585" s="72" t="s">
        <v>199</v>
      </c>
      <c r="P585" s="72" t="s">
        <v>199</v>
      </c>
      <c r="Q585" s="72" t="s">
        <v>199</v>
      </c>
      <c r="R585" s="72" t="s">
        <v>199</v>
      </c>
      <c r="S585" s="73" t="s">
        <v>199</v>
      </c>
      <c r="T585" s="47" t="s">
        <v>4247</v>
      </c>
      <c r="U585" s="39" t="s">
        <v>3764</v>
      </c>
      <c r="V585" s="39" t="str">
        <f>CONCATENATE(U585, D585)</f>
        <v>https://example.websquare.kr/websquare/websquare.html?w2xPath=/guide/WindowContainer/useWindowScrollButton_WindowContainer.xml</v>
      </c>
      <c r="W585" s="39" t="s">
        <v>4512</v>
      </c>
      <c r="X585" s="39" t="str">
        <f>CONCATENATE(W585, D585)</f>
        <v>https://docs.inswave.com/websquare/websquare.html?w2xPath=/support/api/guide/WindowContainer/useWindowScrollButton_WindowContainer.xml</v>
      </c>
      <c r="Y585" s="48" t="str">
        <f>HYPERLINK(X585, H585)</f>
        <v>윈도우 목록 보기 버튼 표시</v>
      </c>
      <c r="Z585" s="4" t="str">
        <f>HYPERLINK(V585,H585)</f>
        <v>윈도우 목록 보기 버튼 표시</v>
      </c>
      <c r="AA585" s="4" t="str">
        <f>HYPERLINK(J585,H585)</f>
        <v>윈도우 목록 보기 버튼 표시</v>
      </c>
    </row>
    <row r="586" spans="1:28" s="27" customFormat="1" ht="102" x14ac:dyDescent="0.45">
      <c r="A586" s="37">
        <f>SUBTOTAL(3, $T$2:T586)</f>
        <v>484</v>
      </c>
      <c r="B586" s="38" t="s">
        <v>5</v>
      </c>
      <c r="C586" s="39" t="s">
        <v>5</v>
      </c>
      <c r="D586" s="39" t="s">
        <v>499</v>
      </c>
      <c r="E586" s="40" t="s">
        <v>468</v>
      </c>
      <c r="F586" s="41" t="s">
        <v>207</v>
      </c>
      <c r="G586" s="39" t="s">
        <v>471</v>
      </c>
      <c r="H586" s="53" t="s">
        <v>3957</v>
      </c>
      <c r="I586" s="76" t="s">
        <v>469</v>
      </c>
      <c r="J586" s="14" t="s">
        <v>498</v>
      </c>
      <c r="K586" s="22" t="s">
        <v>3101</v>
      </c>
      <c r="L586" s="46">
        <v>44287</v>
      </c>
      <c r="M586" s="14"/>
      <c r="N586" s="71" t="s">
        <v>199</v>
      </c>
      <c r="O586" s="72" t="s">
        <v>199</v>
      </c>
      <c r="P586" s="72" t="s">
        <v>199</v>
      </c>
      <c r="Q586" s="72" t="s">
        <v>199</v>
      </c>
      <c r="R586" s="72" t="s">
        <v>199</v>
      </c>
      <c r="S586" s="73" t="s">
        <v>199</v>
      </c>
      <c r="T586" s="47" t="s">
        <v>4247</v>
      </c>
      <c r="U586" s="39" t="s">
        <v>3764</v>
      </c>
      <c r="V586" s="39" t="str">
        <f>CONCATENATE(U586, D586)</f>
        <v>https://example.websquare.kr/websquare/websquare.html?w2xPath=/guide/WindowContainer/useWindowScrollButton_windowScrollVisibleRowNum_WindowContainer.xml</v>
      </c>
      <c r="W586" s="39" t="s">
        <v>4512</v>
      </c>
      <c r="X586" s="39" t="str">
        <f>CONCATENATE(W586, D586)</f>
        <v>https://docs.inswave.com/websquare/websquare.html?w2xPath=/support/api/guide/WindowContainer/useWindowScrollButton_windowScrollVisibleRowNum_WindowContainer.xml</v>
      </c>
      <c r="Y586" s="48" t="str">
        <f>HYPERLINK(X586, H586)</f>
        <v>윈도우 목록에 표시할 항목 개수 설정</v>
      </c>
      <c r="Z586" s="4" t="str">
        <f>HYPERLINK(V586,H586)</f>
        <v>윈도우 목록에 표시할 항목 개수 설정</v>
      </c>
      <c r="AA586" s="4" t="str">
        <f>HYPERLINK(J586,H586)</f>
        <v>윈도우 목록에 표시할 항목 개수 설정</v>
      </c>
    </row>
    <row r="587" spans="1:28" s="27" customFormat="1" ht="102" x14ac:dyDescent="0.45">
      <c r="A587" s="37">
        <f>SUBTOTAL(3, $T$2:T587)</f>
        <v>485</v>
      </c>
      <c r="B587" s="38" t="s">
        <v>5</v>
      </c>
      <c r="C587" s="39" t="s">
        <v>5</v>
      </c>
      <c r="D587" s="39" t="s">
        <v>3683</v>
      </c>
      <c r="E587" s="40" t="s">
        <v>2367</v>
      </c>
      <c r="F587" s="41" t="s">
        <v>2368</v>
      </c>
      <c r="G587" s="39" t="s">
        <v>1355</v>
      </c>
      <c r="H587" s="53" t="s">
        <v>3950</v>
      </c>
      <c r="I587" s="76" t="s">
        <v>1327</v>
      </c>
      <c r="J587" s="14" t="s">
        <v>2369</v>
      </c>
      <c r="K587" s="22" t="s">
        <v>3080</v>
      </c>
      <c r="L587" s="46">
        <v>43800</v>
      </c>
      <c r="M587" s="14"/>
      <c r="N587" s="71" t="s">
        <v>199</v>
      </c>
      <c r="O587" s="72" t="s">
        <v>199</v>
      </c>
      <c r="P587" s="72" t="s">
        <v>199</v>
      </c>
      <c r="Q587" s="72" t="s">
        <v>199</v>
      </c>
      <c r="R587" s="72" t="s">
        <v>199</v>
      </c>
      <c r="S587" s="73" t="s">
        <v>199</v>
      </c>
      <c r="T587" s="47" t="s">
        <v>4247</v>
      </c>
      <c r="U587" s="39" t="s">
        <v>3764</v>
      </c>
      <c r="V587" s="39" t="str">
        <f>CONCATENATE(U587, D587)</f>
        <v>https://example.websquare.kr/websquare/websquare.html?w2xPath=/guide/WindowContainer/createWindow_WindowContainer/createWindow_WindowContainer.xml</v>
      </c>
      <c r="W587" s="39" t="s">
        <v>4512</v>
      </c>
      <c r="X587" s="39" t="str">
        <f>CONCATENATE(W587, D587)</f>
        <v>https://docs.inswave.com/websquare/websquare.html?w2xPath=/support/api/guide/WindowContainer/createWindow_WindowContainer/createWindow_WindowContainer.xml</v>
      </c>
      <c r="Y587" s="48" t="str">
        <f>HYPERLINK(X587, H587)</f>
        <v>윈도우 생성</v>
      </c>
      <c r="Z587" s="4" t="str">
        <f>HYPERLINK(V587,H587)</f>
        <v>윈도우 생성</v>
      </c>
      <c r="AA587" s="4" t="str">
        <f>HYPERLINK(J587,H587)</f>
        <v>윈도우 생성</v>
      </c>
    </row>
    <row r="588" spans="1:28" s="27" customFormat="1" ht="102" x14ac:dyDescent="0.45">
      <c r="A588" s="37">
        <f>SUBTOTAL(3, $T$2:T588)</f>
        <v>486</v>
      </c>
      <c r="B588" s="38" t="s">
        <v>5</v>
      </c>
      <c r="C588" s="39" t="s">
        <v>5</v>
      </c>
      <c r="D588" s="39" t="s">
        <v>4312</v>
      </c>
      <c r="E588" s="40" t="s">
        <v>4313</v>
      </c>
      <c r="F588" s="41" t="s">
        <v>4314</v>
      </c>
      <c r="G588" s="39" t="s">
        <v>1013</v>
      </c>
      <c r="H588" s="53" t="s">
        <v>3945</v>
      </c>
      <c r="I588" s="76" t="s">
        <v>1008</v>
      </c>
      <c r="J588" s="14" t="s">
        <v>2538</v>
      </c>
      <c r="K588" s="22" t="s">
        <v>3083</v>
      </c>
      <c r="L588" s="46">
        <v>43617</v>
      </c>
      <c r="M588" s="14"/>
      <c r="N588" s="71" t="s">
        <v>199</v>
      </c>
      <c r="O588" s="72" t="s">
        <v>199</v>
      </c>
      <c r="P588" s="72" t="s">
        <v>199</v>
      </c>
      <c r="Q588" s="72" t="s">
        <v>199</v>
      </c>
      <c r="R588" s="72" t="s">
        <v>199</v>
      </c>
      <c r="S588" s="73" t="s">
        <v>199</v>
      </c>
      <c r="T588" s="47" t="s">
        <v>4247</v>
      </c>
      <c r="U588" s="39" t="s">
        <v>3764</v>
      </c>
      <c r="V588" s="39" t="str">
        <f>CONCATENATE(U588, D588)</f>
        <v>https://example.websquare.kr/websquare/websquare.html?w2xPath=/guide/WindowContainer/getParameter_p_createWindow_WindowContainer/getParameter_p_createWindow_WindowContainer.xml</v>
      </c>
      <c r="W588" s="39" t="s">
        <v>4512</v>
      </c>
      <c r="X588" s="39" t="str">
        <f>CONCATENATE(W588, D588)</f>
        <v>https://docs.inswave.com/websquare/websquare.html?w2xPath=/support/api/guide/WindowContainer/getParameter_p_createWindow_WindowContainer/getParameter_p_createWindow_WindowContainer.xml</v>
      </c>
      <c r="Y588" s="48" t="str">
        <f>HYPERLINK(X588, H588)</f>
        <v>윈도우 생성 시 파라미터 전달</v>
      </c>
      <c r="Z588" s="4" t="str">
        <f>HYPERLINK(V588,H588)</f>
        <v>윈도우 생성 시 파라미터 전달</v>
      </c>
      <c r="AA588" s="4" t="str">
        <f>HYPERLINK(J588,H588)</f>
        <v>윈도우 생성 시 파라미터 전달</v>
      </c>
    </row>
    <row r="589" spans="1:28" s="27" customFormat="1" ht="102" x14ac:dyDescent="0.45">
      <c r="A589" s="37">
        <f>SUBTOTAL(3, $T$2:T589)</f>
        <v>487</v>
      </c>
      <c r="B589" s="38" t="s">
        <v>5</v>
      </c>
      <c r="C589" s="39" t="s">
        <v>5</v>
      </c>
      <c r="D589" s="39" t="s">
        <v>525</v>
      </c>
      <c r="E589" s="40" t="s">
        <v>518</v>
      </c>
      <c r="F589" s="41" t="s">
        <v>519</v>
      </c>
      <c r="G589" s="39" t="s">
        <v>513</v>
      </c>
      <c r="H589" s="53" t="s">
        <v>3964</v>
      </c>
      <c r="I589" s="76" t="s">
        <v>521</v>
      </c>
      <c r="J589" s="14" t="s">
        <v>526</v>
      </c>
      <c r="K589" s="22" t="s">
        <v>3093</v>
      </c>
      <c r="L589" s="46">
        <v>44531</v>
      </c>
      <c r="M589" s="14"/>
      <c r="N589" s="71" t="s">
        <v>199</v>
      </c>
      <c r="O589" s="72" t="s">
        <v>199</v>
      </c>
      <c r="P589" s="72" t="s">
        <v>199</v>
      </c>
      <c r="Q589" s="72" t="s">
        <v>199</v>
      </c>
      <c r="R589" s="72" t="s">
        <v>199</v>
      </c>
      <c r="S589" s="73" t="s">
        <v>199</v>
      </c>
      <c r="T589" s="47" t="s">
        <v>4247</v>
      </c>
      <c r="U589" s="39" t="s">
        <v>3764</v>
      </c>
      <c r="V589" s="39" t="str">
        <f>CONCATENATE(U589, D589)</f>
        <v>https://example.websquare.kr/websquare/websquare.html?w2xPath=/guide/WindowContainer/controlIconPosition_useNameContainer_WindowContainer.xml</v>
      </c>
      <c r="W589" s="39" t="s">
        <v>4512</v>
      </c>
      <c r="X589" s="39" t="str">
        <f>CONCATENATE(W589, D589)</f>
        <v>https://docs.inswave.com/websquare/websquare.html?w2xPath=/support/api/guide/WindowContainer/controlIconPosition_useNameContainer_WindowContainer.xml</v>
      </c>
      <c r="Y589" s="48" t="str">
        <f>HYPERLINK(X589, H589)</f>
        <v>윈도우 정렬 버튼 위치 설정</v>
      </c>
      <c r="Z589" s="4" t="str">
        <f>HYPERLINK(V589,H589)</f>
        <v>윈도우 정렬 버튼 위치 설정</v>
      </c>
      <c r="AA589" s="4" t="str">
        <f>HYPERLINK(J589,H589)</f>
        <v>윈도우 정렬 버튼 위치 설정</v>
      </c>
    </row>
    <row r="590" spans="1:28" s="27" customFormat="1" ht="102" x14ac:dyDescent="0.45">
      <c r="A590" s="37">
        <f>SUBTOTAL(3, $T$2:T590)</f>
        <v>488</v>
      </c>
      <c r="B590" s="38" t="s">
        <v>5</v>
      </c>
      <c r="C590" s="39" t="s">
        <v>5</v>
      </c>
      <c r="D590" s="39" t="s">
        <v>495</v>
      </c>
      <c r="E590" s="40" t="s">
        <v>1950</v>
      </c>
      <c r="F590" s="41" t="s">
        <v>2346</v>
      </c>
      <c r="G590" s="39" t="s">
        <v>2344</v>
      </c>
      <c r="H590" s="53" t="s">
        <v>3954</v>
      </c>
      <c r="I590" s="76"/>
      <c r="J590" s="14" t="s">
        <v>494</v>
      </c>
      <c r="K590" s="22" t="s">
        <v>3103</v>
      </c>
      <c r="L590" s="46">
        <v>44287</v>
      </c>
      <c r="M590" s="45" t="s">
        <v>200</v>
      </c>
      <c r="N590" s="71" t="s">
        <v>199</v>
      </c>
      <c r="O590" s="72" t="s">
        <v>199</v>
      </c>
      <c r="P590" s="72" t="s">
        <v>199</v>
      </c>
      <c r="Q590" s="72" t="s">
        <v>199</v>
      </c>
      <c r="R590" s="72" t="s">
        <v>199</v>
      </c>
      <c r="S590" s="73" t="s">
        <v>199</v>
      </c>
      <c r="T590" s="47" t="s">
        <v>4247</v>
      </c>
      <c r="U590" s="39" t="s">
        <v>3764</v>
      </c>
      <c r="V590" s="39" t="str">
        <f>CONCATENATE(U590, D590)</f>
        <v>https://example.websquare.kr/websquare/websquare.html?w2xPath=/guide/WindowContainer/window_maximization_WindowContainer.xml</v>
      </c>
      <c r="W590" s="39" t="s">
        <v>4512</v>
      </c>
      <c r="X590" s="39" t="str">
        <f>CONCATENATE(W590, D590)</f>
        <v>https://docs.inswave.com/websquare/websquare.html?w2xPath=/support/api/guide/WindowContainer/window_maximization_WindowContainer.xml</v>
      </c>
      <c r="Y590" s="48" t="str">
        <f>HYPERLINK(X590, H590)</f>
        <v>윈도우 최대화</v>
      </c>
      <c r="Z590" s="4" t="str">
        <f>HYPERLINK(V590,H590)</f>
        <v>윈도우 최대화</v>
      </c>
      <c r="AA590" s="4" t="str">
        <f>HYPERLINK(J590,H590)</f>
        <v>윈도우 최대화</v>
      </c>
    </row>
    <row r="591" spans="1:28" s="27" customFormat="1" ht="102" x14ac:dyDescent="0.45">
      <c r="A591" s="37">
        <f>SUBTOTAL(3, $T$2:T591)</f>
        <v>489</v>
      </c>
      <c r="B591" s="38" t="s">
        <v>5</v>
      </c>
      <c r="C591" s="39" t="s">
        <v>5</v>
      </c>
      <c r="D591" s="39" t="s">
        <v>3692</v>
      </c>
      <c r="E591" s="40" t="s">
        <v>1951</v>
      </c>
      <c r="F591" s="41" t="s">
        <v>497</v>
      </c>
      <c r="G591" s="39" t="s">
        <v>66</v>
      </c>
      <c r="H591" s="53" t="s">
        <v>3953</v>
      </c>
      <c r="I591" s="76"/>
      <c r="J591" s="14" t="s">
        <v>496</v>
      </c>
      <c r="K591" s="22" t="s">
        <v>3104</v>
      </c>
      <c r="L591" s="46">
        <v>44287</v>
      </c>
      <c r="M591" s="45" t="s">
        <v>200</v>
      </c>
      <c r="N591" s="71" t="s">
        <v>199</v>
      </c>
      <c r="O591" s="72" t="s">
        <v>199</v>
      </c>
      <c r="P591" s="72" t="s">
        <v>199</v>
      </c>
      <c r="Q591" s="72" t="s">
        <v>199</v>
      </c>
      <c r="R591" s="72" t="s">
        <v>199</v>
      </c>
      <c r="S591" s="73" t="s">
        <v>199</v>
      </c>
      <c r="T591" s="47" t="s">
        <v>4247</v>
      </c>
      <c r="U591" s="39" t="s">
        <v>3764</v>
      </c>
      <c r="V591" s="39" t="str">
        <f>CONCATENATE(U591, D591)</f>
        <v>https://example.websquare.kr/websquare/websquare.html?w2xPath=/guide/WindowContainer/window_minimization_WindowContainer.xml</v>
      </c>
      <c r="W591" s="39" t="s">
        <v>4512</v>
      </c>
      <c r="X591" s="39" t="str">
        <f>CONCATENATE(W591, D591)</f>
        <v>https://docs.inswave.com/websquare/websquare.html?w2xPath=/support/api/guide/WindowContainer/window_minimization_WindowContainer.xml</v>
      </c>
      <c r="Y591" s="48" t="str">
        <f>HYPERLINK(X591, H591)</f>
        <v>윈도우 최소화</v>
      </c>
      <c r="Z591" s="4" t="str">
        <f>HYPERLINK(V591,H591)</f>
        <v>윈도우 최소화</v>
      </c>
      <c r="AA591" s="4" t="str">
        <f>HYPERLINK(J591,H591)</f>
        <v>윈도우 최소화</v>
      </c>
    </row>
    <row r="592" spans="1:28" s="27" customFormat="1" ht="102" x14ac:dyDescent="0.45">
      <c r="A592" s="37">
        <f>SUBTOTAL(3, $T$2:T592)</f>
        <v>490</v>
      </c>
      <c r="B592" s="38" t="s">
        <v>2087</v>
      </c>
      <c r="C592" s="38" t="s">
        <v>2087</v>
      </c>
      <c r="D592" s="39" t="s">
        <v>3679</v>
      </c>
      <c r="E592" s="41" t="s">
        <v>3400</v>
      </c>
      <c r="F592" s="41" t="s">
        <v>3397</v>
      </c>
      <c r="G592" s="39" t="s">
        <v>3413</v>
      </c>
      <c r="H592" s="58" t="s">
        <v>3951</v>
      </c>
      <c r="I592" s="76" t="s">
        <v>3401</v>
      </c>
      <c r="J592" s="14" t="s">
        <v>3414</v>
      </c>
      <c r="K592" s="23" t="s">
        <v>3408</v>
      </c>
      <c r="L592" s="46">
        <v>45627</v>
      </c>
      <c r="M592" s="14"/>
      <c r="N592" s="71"/>
      <c r="O592" s="72"/>
      <c r="P592" s="72"/>
      <c r="Q592" s="72"/>
      <c r="R592" s="72"/>
      <c r="S592" s="73"/>
      <c r="T592" s="47" t="s">
        <v>4247</v>
      </c>
      <c r="U592" s="39" t="s">
        <v>3764</v>
      </c>
      <c r="V592" s="39" t="str">
        <f>CONCATENATE(U592, D592)</f>
        <v>https://example.websquare.kr/websquare/websquare.html?w2xPath=/guide/WindowContainer/createWindow_adaptiveFrame_WindowContainer/createWindow_adaptiveFrame_WindowContainer.xml</v>
      </c>
      <c r="W592" s="39" t="s">
        <v>4512</v>
      </c>
      <c r="X592" s="39" t="str">
        <f>CONCATENATE(W592, D592)</f>
        <v>https://docs.inswave.com/websquare/websquare.html?w2xPath=/support/api/guide/WindowContainer/createWindow_adaptiveFrame_WindowContainer/createWindow_adaptiveFrame_WindowContainer.xml</v>
      </c>
      <c r="Y592" s="48" t="str">
        <f>HYPERLINK(X592, H592)</f>
        <v>윈도우 크기 기반 적응형 디자인 적용</v>
      </c>
      <c r="Z592" s="4" t="str">
        <f>HYPERLINK(V592,H592)</f>
        <v>윈도우 크기 기반 적응형 디자인 적용</v>
      </c>
      <c r="AA592" s="4" t="str">
        <f>HYPERLINK(J592,H592)</f>
        <v>윈도우 크기 기반 적응형 디자인 적용</v>
      </c>
    </row>
    <row r="593" spans="1:27" s="27" customFormat="1" ht="119" x14ac:dyDescent="0.45">
      <c r="A593" s="37">
        <f>SUBTOTAL(3, $T$2:T593)</f>
        <v>491</v>
      </c>
      <c r="B593" s="38" t="s">
        <v>5</v>
      </c>
      <c r="C593" s="39" t="s">
        <v>5</v>
      </c>
      <c r="D593" s="39" t="s">
        <v>3680</v>
      </c>
      <c r="E593" s="57" t="s">
        <v>234</v>
      </c>
      <c r="F593" s="41" t="s">
        <v>188</v>
      </c>
      <c r="G593" s="39" t="s">
        <v>302</v>
      </c>
      <c r="H593" s="53" t="s">
        <v>3952</v>
      </c>
      <c r="I593" s="76" t="s">
        <v>249</v>
      </c>
      <c r="J593" s="14" t="s">
        <v>395</v>
      </c>
      <c r="K593" s="22" t="s">
        <v>3078</v>
      </c>
      <c r="L593" s="46">
        <v>44440</v>
      </c>
      <c r="M593" s="14"/>
      <c r="N593" s="71" t="s">
        <v>199</v>
      </c>
      <c r="O593" s="72" t="s">
        <v>199</v>
      </c>
      <c r="P593" s="72" t="s">
        <v>199</v>
      </c>
      <c r="Q593" s="72" t="s">
        <v>199</v>
      </c>
      <c r="R593" s="72" t="s">
        <v>199</v>
      </c>
      <c r="S593" s="73" t="s">
        <v>199</v>
      </c>
      <c r="T593" s="47" t="s">
        <v>4247</v>
      </c>
      <c r="U593" s="39" t="s">
        <v>3764</v>
      </c>
      <c r="V593" s="39" t="str">
        <f>CONCATENATE(U593, D593)</f>
        <v>https://example.websquare.kr/websquare/websquare.html?w2xPath=/guide/WindowContainer/createWindow_defaultWidth_defaultHeight_WindowContainer/createWindow_defaultWidth_defaultHeight_WindowContainer.xml</v>
      </c>
      <c r="W593" s="39" t="s">
        <v>4512</v>
      </c>
      <c r="X593" s="39" t="str">
        <f>CONCATENATE(W593, D593)</f>
        <v>https://docs.inswave.com/websquare/websquare.html?w2xPath=/support/api/guide/WindowContainer/createWindow_defaultWidth_defaultHeight_WindowContainer/createWindow_defaultWidth_defaultHeight_WindowContainer.xml</v>
      </c>
      <c r="Y593" s="48" t="str">
        <f>HYPERLINK(X593, H593)</f>
        <v>윈도우 크기 설정</v>
      </c>
      <c r="Z593" s="4" t="str">
        <f>HYPERLINK(V593,H593)</f>
        <v>윈도우 크기 설정</v>
      </c>
      <c r="AA593" s="4" t="str">
        <f>HYPERLINK(J593,H593)</f>
        <v>윈도우 크기 설정</v>
      </c>
    </row>
    <row r="594" spans="1:27" s="27" customFormat="1" ht="102" x14ac:dyDescent="0.45">
      <c r="A594" s="37">
        <f>SUBTOTAL(3, $T$2:T594)</f>
        <v>492</v>
      </c>
      <c r="B594" s="38" t="s">
        <v>5</v>
      </c>
      <c r="C594" s="39" t="s">
        <v>5</v>
      </c>
      <c r="D594" s="39" t="s">
        <v>3689</v>
      </c>
      <c r="E594" s="40" t="s">
        <v>2210</v>
      </c>
      <c r="F594" s="41" t="s">
        <v>2212</v>
      </c>
      <c r="G594" s="39" t="s">
        <v>1408</v>
      </c>
      <c r="H594" s="53" t="s">
        <v>3940</v>
      </c>
      <c r="I594" s="78" t="s">
        <v>1404</v>
      </c>
      <c r="J594" s="14" t="s">
        <v>2211</v>
      </c>
      <c r="K594" s="22" t="s">
        <v>3088</v>
      </c>
      <c r="L594" s="46">
        <v>43891</v>
      </c>
      <c r="M594" s="14"/>
      <c r="N594" s="71" t="s">
        <v>199</v>
      </c>
      <c r="O594" s="72" t="s">
        <v>199</v>
      </c>
      <c r="P594" s="72" t="s">
        <v>199</v>
      </c>
      <c r="Q594" s="72" t="s">
        <v>199</v>
      </c>
      <c r="R594" s="72" t="s">
        <v>199</v>
      </c>
      <c r="S594" s="73" t="s">
        <v>199</v>
      </c>
      <c r="T594" s="47" t="s">
        <v>4247</v>
      </c>
      <c r="U594" s="39" t="s">
        <v>3764</v>
      </c>
      <c r="V594" s="39" t="str">
        <f>CONCATENATE(U594, D594)</f>
        <v>https://example.websquare.kr/websquare/websquare.html?w2xPath=/guide/WindowContainer/setArrangeWindows_WindowContainer/setArrangeWindows_WindowContainer.xml</v>
      </c>
      <c r="W594" s="39" t="s">
        <v>4512</v>
      </c>
      <c r="X594" s="39" t="str">
        <f>CONCATENATE(W594, D594)</f>
        <v>https://docs.inswave.com/websquare/websquare.html?w2xPath=/support/api/guide/WindowContainer/setArrangeWindows_WindowContainer/setArrangeWindows_WindowContainer.xml</v>
      </c>
      <c r="Y594" s="48" t="str">
        <f>HYPERLINK(X594, H594)</f>
        <v>윈도우 표시 및 배열 순서 설정</v>
      </c>
      <c r="Z594" s="4" t="str">
        <f>HYPERLINK(V594,H594)</f>
        <v>윈도우 표시 및 배열 순서 설정</v>
      </c>
      <c r="AA594" s="4" t="str">
        <f>HYPERLINK(J594,H594)</f>
        <v>윈도우 표시 및 배열 순서 설정</v>
      </c>
    </row>
    <row r="595" spans="1:27" s="27" customFormat="1" ht="102" x14ac:dyDescent="0.45">
      <c r="A595" s="37">
        <f>SUBTOTAL(3, $T$2:T595)</f>
        <v>493</v>
      </c>
      <c r="B595" s="38" t="s">
        <v>5</v>
      </c>
      <c r="C595" s="39" t="s">
        <v>5</v>
      </c>
      <c r="D595" s="39" t="s">
        <v>3681</v>
      </c>
      <c r="E595" s="40" t="s">
        <v>326</v>
      </c>
      <c r="F595" s="41" t="s">
        <v>362</v>
      </c>
      <c r="G595" s="39" t="s">
        <v>321</v>
      </c>
      <c r="H595" s="53" t="s">
        <v>4193</v>
      </c>
      <c r="I595" s="44" t="s">
        <v>325</v>
      </c>
      <c r="J595" s="14" t="s">
        <v>349</v>
      </c>
      <c r="K595" s="22" t="s">
        <v>3079</v>
      </c>
      <c r="L595" s="46">
        <v>44501</v>
      </c>
      <c r="M595" s="14"/>
      <c r="N595" s="71" t="s">
        <v>199</v>
      </c>
      <c r="O595" s="72" t="s">
        <v>199</v>
      </c>
      <c r="P595" s="72" t="s">
        <v>199</v>
      </c>
      <c r="Q595" s="72" t="s">
        <v>199</v>
      </c>
      <c r="R595" s="72" t="s">
        <v>199</v>
      </c>
      <c r="S595" s="73" t="s">
        <v>199</v>
      </c>
      <c r="T595" s="47" t="s">
        <v>4247</v>
      </c>
      <c r="U595" s="39" t="s">
        <v>3764</v>
      </c>
      <c r="V595" s="39" t="str">
        <f>CONCATENATE(U595, D595)</f>
        <v>https://example.websquare.kr/websquare/websquare.html?w2xPath=/guide/WindowContainer/createWindow_frameModal_WindowContainer/createWindow_frameModal_WindowContainer.xml</v>
      </c>
      <c r="W595" s="39" t="s">
        <v>4512</v>
      </c>
      <c r="X595" s="39" t="str">
        <f>CONCATENATE(W595, D595)</f>
        <v>https://docs.inswave.com/websquare/websquare.html?w2xPath=/support/api/guide/WindowContainer/createWindow_frameModal_WindowContainer/createWindow_frameModal_WindowContainer.xml</v>
      </c>
      <c r="Y595" s="48" t="str">
        <f>HYPERLINK(X595, H595)</f>
        <v>윈도우에서 생성한 부모-자식 팝업 함께 닫기</v>
      </c>
      <c r="Z595" s="4" t="str">
        <f>HYPERLINK(V595,H595)</f>
        <v>윈도우에서 생성한 부모-자식 팝업 함께 닫기</v>
      </c>
      <c r="AA595" s="4" t="str">
        <f>HYPERLINK(J595,H595)</f>
        <v>윈도우에서 생성한 부모-자식 팝업 함께 닫기</v>
      </c>
    </row>
    <row r="596" spans="1:27" s="27" customFormat="1" ht="102" x14ac:dyDescent="0.45">
      <c r="A596" s="37">
        <f>SUBTOTAL(3, $T$2:T596)</f>
        <v>494</v>
      </c>
      <c r="B596" s="51" t="s">
        <v>2087</v>
      </c>
      <c r="C596" s="51" t="s">
        <v>2087</v>
      </c>
      <c r="D596" s="39" t="s">
        <v>2279</v>
      </c>
      <c r="E596" s="40" t="s">
        <v>3965</v>
      </c>
      <c r="F596" s="41" t="s">
        <v>2273</v>
      </c>
      <c r="G596" s="39" t="s">
        <v>2281</v>
      </c>
      <c r="H596" s="53" t="s">
        <v>3966</v>
      </c>
      <c r="I596" s="44" t="s">
        <v>2275</v>
      </c>
      <c r="J596" s="14" t="s">
        <v>2290</v>
      </c>
      <c r="K596" s="22" t="s">
        <v>3096</v>
      </c>
      <c r="L596" s="46">
        <v>45108</v>
      </c>
      <c r="M596" s="14"/>
      <c r="N596" s="71" t="s">
        <v>199</v>
      </c>
      <c r="O596" s="72" t="s">
        <v>199</v>
      </c>
      <c r="P596" s="72" t="s">
        <v>199</v>
      </c>
      <c r="Q596" s="72" t="s">
        <v>199</v>
      </c>
      <c r="R596" s="72" t="s">
        <v>199</v>
      </c>
      <c r="S596" s="73" t="s">
        <v>199</v>
      </c>
      <c r="T596" s="47" t="s">
        <v>4247</v>
      </c>
      <c r="U596" s="39" t="s">
        <v>3764</v>
      </c>
      <c r="V596" s="39" t="str">
        <f>CONCATENATE(U596, D596)</f>
        <v>https://example.websquare.kr/websquare/websquare.html?w2xPath=/guide/WindowContainer/ondragstart_ondragend_WindowContainer.xml</v>
      </c>
      <c r="W596" s="39" t="s">
        <v>4512</v>
      </c>
      <c r="X596" s="39" t="str">
        <f>CONCATENATE(W596, D596)</f>
        <v>https://docs.inswave.com/websquare/websquare.html?w2xPath=/support/api/guide/WindowContainer/ondragstart_ondragend_WindowContainer.xml</v>
      </c>
      <c r="Y596" s="48" t="str">
        <f>HYPERLINK(X596, H596)</f>
        <v>이벤트 - ondragstart &amp; ondragend</v>
      </c>
      <c r="Z596" s="4" t="str">
        <f>HYPERLINK(V596,H596)</f>
        <v>이벤트 - ondragstart &amp; ondragend</v>
      </c>
      <c r="AA596" s="4" t="str">
        <f>HYPERLINK(J596,H596)</f>
        <v>이벤트 - ondragstart &amp; ondragend</v>
      </c>
    </row>
    <row r="597" spans="1:27" s="27" customFormat="1" ht="102" x14ac:dyDescent="0.45">
      <c r="A597" s="37">
        <f>SUBTOTAL(3, $T$2:T597)</f>
        <v>495</v>
      </c>
      <c r="B597" s="38" t="s">
        <v>5</v>
      </c>
      <c r="C597" s="39" t="s">
        <v>5</v>
      </c>
      <c r="D597" s="39" t="s">
        <v>3685</v>
      </c>
      <c r="E597" s="40" t="s">
        <v>1060</v>
      </c>
      <c r="F597" s="41" t="s">
        <v>1070</v>
      </c>
      <c r="G597" s="39" t="s">
        <v>1059</v>
      </c>
      <c r="H597" s="53" t="s">
        <v>3944</v>
      </c>
      <c r="I597" s="44" t="s">
        <v>1071</v>
      </c>
      <c r="J597" s="14" t="s">
        <v>1069</v>
      </c>
      <c r="K597" s="22" t="s">
        <v>3084</v>
      </c>
      <c r="L597" s="46">
        <v>44652</v>
      </c>
      <c r="M597" s="14"/>
      <c r="N597" s="71" t="s">
        <v>199</v>
      </c>
      <c r="O597" s="72" t="s">
        <v>199</v>
      </c>
      <c r="P597" s="80" t="s">
        <v>199</v>
      </c>
      <c r="Q597" s="72" t="s">
        <v>199</v>
      </c>
      <c r="R597" s="72" t="s">
        <v>199</v>
      </c>
      <c r="S597" s="73" t="s">
        <v>199</v>
      </c>
      <c r="T597" s="47" t="s">
        <v>4247</v>
      </c>
      <c r="U597" s="39" t="s">
        <v>3764</v>
      </c>
      <c r="V597" s="39" t="str">
        <f>CONCATENATE(U597, D597)</f>
        <v>https://example.websquare.kr/websquare/websquare.html?w2xPath=/guide/WindowContainer/onminimizebtnclick_onrestorebtnclick_WindowContainer/onminimizebtnclick_onrestorebtnclick_WindowContainer.xml</v>
      </c>
      <c r="W597" s="39" t="s">
        <v>4512</v>
      </c>
      <c r="X597" s="39" t="str">
        <f>CONCATENATE(W597, D597)</f>
        <v>https://docs.inswave.com/websquare/websquare.html?w2xPath=/support/api/guide/WindowContainer/onminimizebtnclick_onrestorebtnclick_WindowContainer/onminimizebtnclick_onrestorebtnclick_WindowContainer.xml</v>
      </c>
      <c r="Y597" s="48" t="str">
        <f>HYPERLINK(X597, H597)</f>
        <v>이벤트 - onminimizebtnclick &amp; onrestorebtnclick</v>
      </c>
      <c r="Z597" s="4" t="str">
        <f>HYPERLINK(V597,H597)</f>
        <v>이벤트 - onminimizebtnclick &amp; onrestorebtnclick</v>
      </c>
      <c r="AA597" s="4" t="str">
        <f>HYPERLINK(J597,H597)</f>
        <v>이벤트 - onminimizebtnclick &amp; onrestorebtnclick</v>
      </c>
    </row>
    <row r="598" spans="1:27" s="27" customFormat="1" ht="102" x14ac:dyDescent="0.45">
      <c r="A598" s="37">
        <f>SUBTOTAL(3, $T$2:T598)</f>
        <v>496</v>
      </c>
      <c r="B598" s="38" t="s">
        <v>5</v>
      </c>
      <c r="C598" s="39" t="s">
        <v>5</v>
      </c>
      <c r="D598" s="39" t="s">
        <v>1870</v>
      </c>
      <c r="E598" s="40" t="s">
        <v>3220</v>
      </c>
      <c r="F598" s="41" t="s">
        <v>1872</v>
      </c>
      <c r="G598" s="39" t="s">
        <v>1868</v>
      </c>
      <c r="H598" s="53" t="s">
        <v>3961</v>
      </c>
      <c r="I598" s="44" t="s">
        <v>1869</v>
      </c>
      <c r="J598" s="14" t="s">
        <v>1871</v>
      </c>
      <c r="K598" s="22" t="s">
        <v>3097</v>
      </c>
      <c r="L598" s="46">
        <v>44896</v>
      </c>
      <c r="M598" s="14"/>
      <c r="N598" s="71" t="s">
        <v>199</v>
      </c>
      <c r="O598" s="72" t="s">
        <v>199</v>
      </c>
      <c r="P598" s="72" t="s">
        <v>199</v>
      </c>
      <c r="Q598" s="72" t="s">
        <v>199</v>
      </c>
      <c r="R598" s="72" t="s">
        <v>199</v>
      </c>
      <c r="S598" s="73" t="s">
        <v>199</v>
      </c>
      <c r="T598" s="47" t="s">
        <v>4247</v>
      </c>
      <c r="U598" s="39" t="s">
        <v>3764</v>
      </c>
      <c r="V598" s="39" t="str">
        <f>CONCATENATE(U598, D598)</f>
        <v>https://example.websquare.kr/websquare/websquare.html?w2xPath=/guide/WindowContainer/setFocus_WindowContainer.xml</v>
      </c>
      <c r="W598" s="39" t="s">
        <v>4512</v>
      </c>
      <c r="X598" s="39" t="str">
        <f>CONCATENATE(W598, D598)</f>
        <v>https://docs.inswave.com/websquare/websquare.html?w2xPath=/support/api/guide/WindowContainer/setFocus_WindowContainer.xml</v>
      </c>
      <c r="Y598" s="48" t="str">
        <f>HYPERLINK(X598, H598)</f>
        <v>지정한 윈도우에 포커스 주기</v>
      </c>
      <c r="Z598" s="4" t="str">
        <f>HYPERLINK(V598,H598)</f>
        <v>지정한 윈도우에 포커스 주기</v>
      </c>
      <c r="AA598" s="4" t="str">
        <f>HYPERLINK(J598,H598)</f>
        <v>지정한 윈도우에 포커스 주기</v>
      </c>
    </row>
    <row r="599" spans="1:27" s="27" customFormat="1" ht="102" x14ac:dyDescent="0.45">
      <c r="A599" s="37">
        <f>SUBTOTAL(3, $T$2:T599)</f>
        <v>497</v>
      </c>
      <c r="B599" s="38" t="s">
        <v>2087</v>
      </c>
      <c r="C599" s="38" t="s">
        <v>2087</v>
      </c>
      <c r="D599" s="39" t="s">
        <v>2585</v>
      </c>
      <c r="E599" s="39" t="s">
        <v>3968</v>
      </c>
      <c r="F599" s="41" t="s">
        <v>2576</v>
      </c>
      <c r="G599" s="39" t="s">
        <v>2583</v>
      </c>
      <c r="H599" s="53" t="s">
        <v>3967</v>
      </c>
      <c r="I599" s="39" t="s">
        <v>2584</v>
      </c>
      <c r="J599" s="14" t="s">
        <v>2589</v>
      </c>
      <c r="K599" s="22" t="s">
        <v>3095</v>
      </c>
      <c r="L599" s="46">
        <v>45292</v>
      </c>
      <c r="M599" s="60"/>
      <c r="N599" s="71"/>
      <c r="O599" s="72"/>
      <c r="P599" s="72"/>
      <c r="Q599" s="72" t="s">
        <v>199</v>
      </c>
      <c r="R599" s="72" t="s">
        <v>199</v>
      </c>
      <c r="S599" s="73" t="s">
        <v>199</v>
      </c>
      <c r="T599" s="47" t="s">
        <v>4247</v>
      </c>
      <c r="U599" s="39" t="s">
        <v>3764</v>
      </c>
      <c r="V599" s="39" t="str">
        <f>CONCATENATE(U599, D599)</f>
        <v>https://example.websquare.kr/websquare/websquare.html?w2xPath=/guide/WindowContainer/includeMinimizeWindow_WindowContainer.xml</v>
      </c>
      <c r="W599" s="39" t="s">
        <v>4512</v>
      </c>
      <c r="X599" s="39" t="str">
        <f>CONCATENATE(W599, D599)</f>
        <v>https://docs.inswave.com/websquare/websquare.html?w2xPath=/support/api/guide/WindowContainer/includeMinimizeWindow_WindowContainer.xml</v>
      </c>
      <c r="Y599" s="48" t="str">
        <f>HYPERLINK(X599, H599)</f>
        <v>최소화된 윈도우 포함 정렬</v>
      </c>
      <c r="Z599" s="4" t="str">
        <f>HYPERLINK(V599,H599)</f>
        <v>최소화된 윈도우 포함 정렬</v>
      </c>
      <c r="AA599" s="4" t="str">
        <f>HYPERLINK(J599,H599)</f>
        <v>최소화된 윈도우 포함 정렬</v>
      </c>
    </row>
    <row r="600" spans="1:27" s="27" customFormat="1" ht="102" x14ac:dyDescent="0.45">
      <c r="A600" s="37">
        <f>SUBTOTAL(3, $T$2:T600)</f>
        <v>498</v>
      </c>
      <c r="B600" s="38" t="s">
        <v>5</v>
      </c>
      <c r="C600" s="39" t="s">
        <v>5</v>
      </c>
      <c r="D600" s="39" t="s">
        <v>530</v>
      </c>
      <c r="E600" s="40" t="s">
        <v>527</v>
      </c>
      <c r="F600" s="41" t="s">
        <v>532</v>
      </c>
      <c r="G600" s="39" t="s">
        <v>529</v>
      </c>
      <c r="H600" s="53" t="s">
        <v>3963</v>
      </c>
      <c r="I600" s="44" t="s">
        <v>528</v>
      </c>
      <c r="J600" s="14" t="s">
        <v>531</v>
      </c>
      <c r="K600" s="22" t="s">
        <v>3092</v>
      </c>
      <c r="L600" s="46">
        <v>44562</v>
      </c>
      <c r="M600" s="14"/>
      <c r="N600" s="71" t="s">
        <v>199</v>
      </c>
      <c r="O600" s="72" t="s">
        <v>199</v>
      </c>
      <c r="P600" s="72" t="s">
        <v>199</v>
      </c>
      <c r="Q600" s="72" t="s">
        <v>199</v>
      </c>
      <c r="R600" s="72" t="s">
        <v>199</v>
      </c>
      <c r="S600" s="73" t="s">
        <v>199</v>
      </c>
      <c r="T600" s="47" t="s">
        <v>4247</v>
      </c>
      <c r="U600" s="39" t="s">
        <v>3764</v>
      </c>
      <c r="V600" s="39" t="str">
        <f>CONCATENATE(U600, D600)</f>
        <v>https://example.websquare.kr/websquare/websquare.html?w2xPath=/guide/WindowContainer/closeOthers_WindowContainer.xml</v>
      </c>
      <c r="W600" s="39" t="s">
        <v>4512</v>
      </c>
      <c r="X600" s="39" t="str">
        <f>CONCATENATE(W600, D600)</f>
        <v>https://docs.inswave.com/websquare/websquare.html?w2xPath=/support/api/guide/WindowContainer/closeOthers_WindowContainer.xml</v>
      </c>
      <c r="Y600" s="48" t="str">
        <f>HYPERLINK(X600, H600)</f>
        <v>특정 윈도우 제외 나머지 윈도우 닫기</v>
      </c>
      <c r="Z600" s="4" t="str">
        <f>HYPERLINK(V600,H600)</f>
        <v>특정 윈도우 제외 나머지 윈도우 닫기</v>
      </c>
      <c r="AA600" s="4" t="str">
        <f>HYPERLINK(J600,H600)</f>
        <v>특정 윈도우 제외 나머지 윈도우 닫기</v>
      </c>
    </row>
    <row r="601" spans="1:27" s="27" customFormat="1" ht="102" x14ac:dyDescent="0.45">
      <c r="A601" s="37">
        <f>SUBTOTAL(3, $T$2:T601)</f>
        <v>499</v>
      </c>
      <c r="B601" s="38" t="s">
        <v>5</v>
      </c>
      <c r="C601" s="39" t="s">
        <v>5</v>
      </c>
      <c r="D601" s="39" t="s">
        <v>284</v>
      </c>
      <c r="E601" s="57" t="s">
        <v>229</v>
      </c>
      <c r="F601" s="41" t="s">
        <v>162</v>
      </c>
      <c r="G601" s="39" t="s">
        <v>128</v>
      </c>
      <c r="H601" s="53" t="s">
        <v>3955</v>
      </c>
      <c r="I601" s="39" t="s">
        <v>124</v>
      </c>
      <c r="J601" s="14" t="s">
        <v>163</v>
      </c>
      <c r="K601" s="22" t="s">
        <v>3102</v>
      </c>
      <c r="L601" s="46">
        <v>44470</v>
      </c>
      <c r="M601" s="14"/>
      <c r="N601" s="71" t="s">
        <v>199</v>
      </c>
      <c r="O601" s="72" t="s">
        <v>199</v>
      </c>
      <c r="P601" s="72" t="s">
        <v>199</v>
      </c>
      <c r="Q601" s="72" t="s">
        <v>199</v>
      </c>
      <c r="R601" s="72" t="s">
        <v>199</v>
      </c>
      <c r="S601" s="73" t="s">
        <v>199</v>
      </c>
      <c r="T601" s="47" t="s">
        <v>4247</v>
      </c>
      <c r="U601" s="39" t="s">
        <v>3764</v>
      </c>
      <c r="V601" s="39" t="str">
        <f>CONCATENATE(U601, D601)</f>
        <v>https://example.websquare.kr/websquare/websquare.html?w2xPath=/guide/WindowContainer/w2window_selected_WindowContainer.xml</v>
      </c>
      <c r="W601" s="39" t="s">
        <v>4512</v>
      </c>
      <c r="X601" s="39" t="str">
        <f>CONCATENATE(W601, D601)</f>
        <v>https://docs.inswave.com/websquare/websquare.html?w2xPath=/support/api/guide/WindowContainer/w2window_selected_WindowContainer.xml</v>
      </c>
      <c r="Y601" s="48" t="str">
        <f>HYPERLINK(X601, H601)</f>
        <v>현재 선택된 윈도우에 적용할 스타일 설정</v>
      </c>
      <c r="Z601" s="4" t="str">
        <f>HYPERLINK(V601,H601)</f>
        <v>현재 선택된 윈도우에 적용할 스타일 설정</v>
      </c>
      <c r="AA601" s="4" t="str">
        <f>HYPERLINK(J601,H601)</f>
        <v>현재 선택된 윈도우에 적용할 스타일 설정</v>
      </c>
    </row>
    <row r="602" spans="1:27" s="27" customFormat="1" ht="102" x14ac:dyDescent="0.45">
      <c r="A602" s="37">
        <f>SUBTOTAL(3, $T$2:T602)</f>
        <v>500</v>
      </c>
      <c r="B602" s="38" t="s">
        <v>5</v>
      </c>
      <c r="C602" s="39" t="s">
        <v>5</v>
      </c>
      <c r="D602" s="39" t="s">
        <v>379</v>
      </c>
      <c r="E602" s="40" t="s">
        <v>373</v>
      </c>
      <c r="F602" s="41" t="s">
        <v>378</v>
      </c>
      <c r="G602" s="39" t="s">
        <v>372</v>
      </c>
      <c r="H602" s="53" t="s">
        <v>3962</v>
      </c>
      <c r="I602" s="39" t="s">
        <v>329</v>
      </c>
      <c r="J602" s="14" t="s">
        <v>377</v>
      </c>
      <c r="K602" s="22" t="s">
        <v>3094</v>
      </c>
      <c r="L602" s="46">
        <v>44531</v>
      </c>
      <c r="M602" s="14"/>
      <c r="N602" s="71" t="s">
        <v>199</v>
      </c>
      <c r="O602" s="72" t="s">
        <v>199</v>
      </c>
      <c r="P602" s="72" t="s">
        <v>199</v>
      </c>
      <c r="Q602" s="72" t="s">
        <v>199</v>
      </c>
      <c r="R602" s="72" t="s">
        <v>199</v>
      </c>
      <c r="S602" s="73" t="s">
        <v>199</v>
      </c>
      <c r="T602" s="47" t="s">
        <v>4247</v>
      </c>
      <c r="U602" s="39" t="s">
        <v>3764</v>
      </c>
      <c r="V602" s="39" t="str">
        <f>CONCATENATE(U602, D602)</f>
        <v>https://example.websquare.kr/websquare/websquare.html?w2xPath=/guide/WindowContainer/getSelectedIndex_WindowContainer.xml</v>
      </c>
      <c r="W602" s="39" t="s">
        <v>4512</v>
      </c>
      <c r="X602" s="39" t="str">
        <f>CONCATENATE(W602, D602)</f>
        <v>https://docs.inswave.com/websquare/websquare.html?w2xPath=/support/api/guide/WindowContainer/getSelectedIndex_WindowContainer.xml</v>
      </c>
      <c r="Y602" s="48" t="str">
        <f>HYPERLINK(X602, H602)</f>
        <v>현재 선택된 윈도우의 인덱스 확인</v>
      </c>
      <c r="Z602" s="4" t="str">
        <f>HYPERLINK(V602,H602)</f>
        <v>현재 선택된 윈도우의 인덱스 확인</v>
      </c>
      <c r="AA602" s="4" t="str">
        <f>HYPERLINK(J602,H602)</f>
        <v>현재 선택된 윈도우의 인덱스 확인</v>
      </c>
    </row>
    <row r="603" spans="1:27" s="27" customFormat="1" ht="102" x14ac:dyDescent="0.45">
      <c r="A603" s="37">
        <f>SUBTOTAL(3, $T$2:T603)</f>
        <v>501</v>
      </c>
      <c r="B603" s="38" t="s">
        <v>4361</v>
      </c>
      <c r="C603" s="39" t="s">
        <v>4361</v>
      </c>
      <c r="D603" s="39" t="s">
        <v>4362</v>
      </c>
      <c r="E603" s="40" t="s">
        <v>4361</v>
      </c>
      <c r="F603" s="41" t="s">
        <v>4363</v>
      </c>
      <c r="G603" s="39" t="s">
        <v>4364</v>
      </c>
      <c r="H603" s="42" t="s">
        <v>4364</v>
      </c>
      <c r="I603" s="45" t="s">
        <v>2304</v>
      </c>
      <c r="J603" s="45" t="s">
        <v>2304</v>
      </c>
      <c r="K603" s="45" t="s">
        <v>2304</v>
      </c>
      <c r="L603" s="46">
        <v>45992</v>
      </c>
      <c r="M603" s="60"/>
      <c r="N603" s="71"/>
      <c r="O603" s="72"/>
      <c r="P603" s="72"/>
      <c r="Q603" s="72"/>
      <c r="R603" s="72"/>
      <c r="S603" s="73"/>
      <c r="T603" s="47" t="s">
        <v>4249</v>
      </c>
      <c r="U603" s="39" t="s">
        <v>3764</v>
      </c>
      <c r="V603" s="39" t="str">
        <f>CONCATENATE(U603, D603)</f>
        <v>https://example.websquare.kr/websquare/websquare.html?w2xPath=/guide/__sample/user_info.xml</v>
      </c>
      <c r="W603" s="39" t="s">
        <v>4512</v>
      </c>
      <c r="X603" s="39" t="str">
        <f>CONCATENATE(W603, D603)</f>
        <v>https://docs.inswave.com/websquare/websquare.html?w2xPath=/support/api/guide/__sample/user_info.xml</v>
      </c>
      <c r="Y603" s="48" t="str">
        <f>HYPERLINK(X603, H603)</f>
        <v>화면 개발 예제</v>
      </c>
      <c r="Z603" s="4" t="str">
        <f>HYPERLINK(V603,H603)</f>
        <v>화면 개발 예제</v>
      </c>
      <c r="AA603" s="45" t="s">
        <v>2304</v>
      </c>
    </row>
    <row r="604" spans="1:27" s="27" customFormat="1" ht="102" x14ac:dyDescent="0.45">
      <c r="A604" s="37">
        <f>SUBTOTAL(3, $T$2:T604)</f>
        <v>502</v>
      </c>
      <c r="B604" s="38" t="s">
        <v>4361</v>
      </c>
      <c r="C604" s="38" t="s">
        <v>4617</v>
      </c>
      <c r="D604" s="39" t="s">
        <v>4616</v>
      </c>
      <c r="E604" s="38" t="s">
        <v>4617</v>
      </c>
      <c r="F604" s="41" t="s">
        <v>4618</v>
      </c>
      <c r="G604" s="38" t="s">
        <v>4617</v>
      </c>
      <c r="H604" s="38" t="s">
        <v>4617</v>
      </c>
      <c r="I604" s="45" t="s">
        <v>2304</v>
      </c>
      <c r="J604" s="45" t="s">
        <v>2304</v>
      </c>
      <c r="K604" s="45" t="s">
        <v>2304</v>
      </c>
      <c r="L604" s="50" t="s">
        <v>4540</v>
      </c>
      <c r="M604" s="60"/>
      <c r="N604" s="71"/>
      <c r="O604" s="72"/>
      <c r="P604" s="72"/>
      <c r="Q604" s="72"/>
      <c r="R604" s="72"/>
      <c r="S604" s="73"/>
      <c r="T604" s="47" t="s">
        <v>4249</v>
      </c>
      <c r="U604" s="39" t="s">
        <v>3764</v>
      </c>
      <c r="V604" s="39" t="str">
        <f>CONCATENATE(U604, D604)</f>
        <v>https://example.websquare.kr/websquare/websquare.html?w2xPath=/guide/__sample/intro.xml</v>
      </c>
      <c r="W604" s="39" t="s">
        <v>4512</v>
      </c>
      <c r="X604" s="39" t="str">
        <f>CONCATENATE(W604, D604)</f>
        <v>https://docs.inswave.com/websquare/websquare.html?w2xPath=/support/api/guide/__sample/intro.xml</v>
      </c>
      <c r="Y604" s="48" t="str">
        <f>HYPERLINK(X604, H604)</f>
        <v>가이드 샘플 다운로드 페이지</v>
      </c>
      <c r="Z604" s="4" t="str">
        <f>HYPERLINK(V604,H604)</f>
        <v>가이드 샘플 다운로드 페이지</v>
      </c>
      <c r="AA604" s="45" t="s">
        <v>2304</v>
      </c>
    </row>
  </sheetData>
  <autoFilter ref="A1:AB603" xr:uid="{211019CC-C759-4D2E-BEE5-96C61114220F}">
    <filterColumn colId="19">
      <filters>
        <filter val="All"/>
        <filter val="Sample Only"/>
      </filters>
    </filterColumn>
  </autoFilter>
  <sortState xmlns:xlrd2="http://schemas.microsoft.com/office/spreadsheetml/2017/richdata2" ref="A5:AA604">
    <sortCondition ref="B2:B604"/>
    <sortCondition ref="C2:C604"/>
    <sortCondition ref="H2:H604"/>
  </sortState>
  <phoneticPr fontId="2" type="noConversion"/>
  <hyperlinks>
    <hyperlink ref="J2" r:id="rId1" xr:uid="{45689CAB-7218-4F85-9B3A-CC779553C461}"/>
    <hyperlink ref="J12" r:id="rId2" xr:uid="{CD822611-A4D5-4B89-8320-3E5DA5CFC538}"/>
    <hyperlink ref="J10" r:id="rId3" xr:uid="{9D1595AF-10BA-4FD7-AD96-0E1618E89D99}"/>
    <hyperlink ref="J6" r:id="rId4" xr:uid="{788D0A9A-126F-4957-B7A4-9F650FECAB6C}"/>
    <hyperlink ref="J14" r:id="rId5" xr:uid="{1C3B8325-03C7-412F-A9F4-522E5A227D40}"/>
    <hyperlink ref="J13" r:id="rId6" xr:uid="{E35DD53D-B7A2-402B-ACBE-63AFE861F9B1}"/>
    <hyperlink ref="J9" r:id="rId7" xr:uid="{23FCACB3-A15E-4EDA-958D-6F78E574F998}"/>
    <hyperlink ref="J506" r:id="rId8" xr:uid="{56E2D0FC-7B7E-44BB-B4B8-65F1B07D0E98}"/>
    <hyperlink ref="J8" r:id="rId9" xr:uid="{7110B341-9A66-44A1-8946-3147DB34E72B}"/>
    <hyperlink ref="J22" r:id="rId10" xr:uid="{78D48F47-C61F-4406-B541-7D7EECFF830E}"/>
    <hyperlink ref="J24" r:id="rId11" xr:uid="{15E09FCE-F0F9-475D-B3BF-1ADB5CDC8AAC}"/>
    <hyperlink ref="J20" r:id="rId12" xr:uid="{121F9431-1380-4D35-9B28-1C36C6D498AA}"/>
    <hyperlink ref="J18" r:id="rId13" xr:uid="{9DE7B0DC-465D-4755-8DDA-65B4EA912518}"/>
    <hyperlink ref="J21" r:id="rId14" xr:uid="{3F6D1A6F-F39B-4F47-B31B-3F9E4ACCBD82}"/>
    <hyperlink ref="J19" r:id="rId15" xr:uid="{1E03119C-CC24-4ECD-88FA-8A7804E510A3}"/>
    <hyperlink ref="J7" r:id="rId16" xr:uid="{880659CE-7FD4-4D07-8C01-2F0F525F500D}"/>
    <hyperlink ref="J357" r:id="rId17" xr:uid="{9C65A0DC-15CA-4048-8400-8D5B37C3D394}"/>
    <hyperlink ref="J3" r:id="rId18" xr:uid="{90C717B4-501C-4483-9973-9A9D1AED9A26}"/>
    <hyperlink ref="J15" r:id="rId19" xr:uid="{0C4E0E81-5B8D-4E68-B2C3-39F4A31FEA9F}"/>
    <hyperlink ref="J17" r:id="rId20" xr:uid="{CC160ED6-4AA0-456D-BC37-A9812CAD754F}"/>
    <hyperlink ref="J23" r:id="rId21" xr:uid="{4F011F12-00EB-4E6F-800F-88F7F3118B4F}"/>
    <hyperlink ref="J16" r:id="rId22" xr:uid="{9939F0D0-2FCC-4C48-A935-C710FEFB3DFA}"/>
    <hyperlink ref="J4" r:id="rId23" xr:uid="{4647CBDB-D8FF-461A-B78B-64C4AFFB29AA}"/>
    <hyperlink ref="J25" r:id="rId24" xr:uid="{AF5037D4-4761-4AC2-8105-091DBC9BC4D2}"/>
    <hyperlink ref="J27" r:id="rId25" xr:uid="{964EBDAD-415B-43CF-AA73-A51FB8082100}"/>
    <hyperlink ref="J26" r:id="rId26" xr:uid="{95E9B9EC-BA41-4453-9FD2-81B1A3F1185D}"/>
    <hyperlink ref="J28" r:id="rId27" xr:uid="{57961E79-9953-4D04-A275-EEAB75182B6C}"/>
    <hyperlink ref="J29" r:id="rId28" xr:uid="{9231717A-13CD-4FAA-9BB2-22CA8A878152}"/>
    <hyperlink ref="J30" r:id="rId29" xr:uid="{51EC7143-6A09-4FC5-B1F2-1A3384FDE774}"/>
    <hyperlink ref="J31" r:id="rId30" xr:uid="{83E37B24-F74C-4979-96DB-CBAC0A32B5A9}"/>
    <hyperlink ref="J32" r:id="rId31" xr:uid="{838AF478-4225-4564-B935-FE945926857B}"/>
    <hyperlink ref="J33" r:id="rId32" xr:uid="{C2B2B4BB-A788-4C71-8A40-4701DD6229B8}"/>
    <hyperlink ref="J34" r:id="rId33" xr:uid="{04083E6D-4C26-46CA-A279-F14233F4BF2F}"/>
    <hyperlink ref="J35" r:id="rId34" xr:uid="{B6A5288B-5C23-460E-8DB0-2E9380959AD6}"/>
    <hyperlink ref="J36" r:id="rId35" xr:uid="{F735CF6F-EF60-46C0-8C39-01AD9DF6EA87}"/>
    <hyperlink ref="J37" r:id="rId36" xr:uid="{E03C566E-DE62-43AA-95B2-3A53B0E1D155}"/>
    <hyperlink ref="J38" r:id="rId37" xr:uid="{21D2ADE6-0F1A-44CE-90FE-3874FB16A378}"/>
    <hyperlink ref="J39" r:id="rId38" xr:uid="{BBD09BA2-269A-43D3-8B5B-9E1D028631F4}"/>
    <hyperlink ref="J542" r:id="rId39" xr:uid="{D2F46C8D-8F56-483A-A121-790F5B4AEAE3}"/>
    <hyperlink ref="J543" r:id="rId40" xr:uid="{D2F301F4-9F2E-42FF-AED2-A9DE15BB528D}"/>
    <hyperlink ref="J42" r:id="rId41" xr:uid="{DEEB71D7-10A3-4FB2-93E1-95FA2C3D0B8D}"/>
    <hyperlink ref="J43" r:id="rId42" xr:uid="{A35CFE04-601A-4E28-BF9D-D0EDA1C9120A}"/>
    <hyperlink ref="J44" r:id="rId43" xr:uid="{DFAC3755-4024-4487-A43A-E4EEAEAB9125}"/>
    <hyperlink ref="J509" r:id="rId44" xr:uid="{3836A2C5-0302-4528-9EFE-90BEBBCB0C56}"/>
    <hyperlink ref="J508" r:id="rId45" xr:uid="{C536D5CE-E056-4516-B833-53C2FDC7392E}"/>
    <hyperlink ref="J507" r:id="rId46" xr:uid="{F33516EA-78E1-4247-A805-0C87F15BF5E7}"/>
    <hyperlink ref="J48" r:id="rId47" xr:uid="{D8F945E2-30C4-47F0-92CD-040D3503CB35}"/>
    <hyperlink ref="J49" r:id="rId48" xr:uid="{921679E1-3D1D-4C60-8E69-B991114BAED5}"/>
    <hyperlink ref="J50" r:id="rId49" xr:uid="{D7027577-51F2-4E0D-8CA0-34B789311D36}"/>
    <hyperlink ref="J51" r:id="rId50" xr:uid="{3290C98C-8288-445A-BD3D-5FEAB6A48186}"/>
    <hyperlink ref="J53" r:id="rId51" xr:uid="{AE606763-0449-4309-8F9C-E39FA02B34CA}"/>
    <hyperlink ref="J54" r:id="rId52" xr:uid="{ED2D9D34-3B1D-4825-82F8-C1FEB03441D8}"/>
    <hyperlink ref="J426" r:id="rId53" xr:uid="{3B95B330-13C8-44B0-8EF5-B782A2CB64B6}"/>
    <hyperlink ref="J442" r:id="rId54" xr:uid="{7C733BDE-A2C2-40F7-BB5E-2564D9C19152}"/>
    <hyperlink ref="J83" r:id="rId55" xr:uid="{641DB111-1B16-43A7-B3D9-39223B187CB8}"/>
    <hyperlink ref="J523" r:id="rId56" xr:uid="{5009796B-B77A-4296-8A7C-2868EA91CA6C}"/>
    <hyperlink ref="J251" r:id="rId57" xr:uid="{C584983F-195C-4A55-B4E1-9319C7769F72}"/>
    <hyperlink ref="J407" r:id="rId58" xr:uid="{6969AC7C-2235-441A-9141-20F55204A05D}"/>
    <hyperlink ref="J107" r:id="rId59" xr:uid="{DE637B6C-E54F-4E5B-9B93-C91F5DC97368}"/>
    <hyperlink ref="J486" r:id="rId60" xr:uid="{BEC974F9-F2BF-474B-9972-0527695DFEDC}"/>
    <hyperlink ref="J412" r:id="rId61" xr:uid="{C2727BDA-1FC9-4A31-AA8E-43BF92DAAA99}"/>
    <hyperlink ref="J451" r:id="rId62" xr:uid="{A9B0C3B1-4861-4753-8893-EFCAC8F32CD0}"/>
    <hyperlink ref="J65" r:id="rId63" xr:uid="{6C463ACE-98C5-4AB3-9055-F948A8D36B1E}"/>
    <hyperlink ref="J98" r:id="rId64" xr:uid="{9942B709-A2BE-437B-90B3-2A949925FBF4}"/>
    <hyperlink ref="J270" r:id="rId65" xr:uid="{19B009B8-A959-49A1-A712-DE2BD62C702E}"/>
    <hyperlink ref="J448" r:id="rId66" xr:uid="{4459116B-52EA-4400-84B5-AE360F5DA0DA}"/>
    <hyperlink ref="J70" r:id="rId67" xr:uid="{0E826869-659C-4580-B0CE-2336DB125324}"/>
    <hyperlink ref="J58" r:id="rId68" xr:uid="{BF327F86-4BFB-4080-A2BB-584C007206D7}"/>
    <hyperlink ref="J372" r:id="rId69" xr:uid="{9189B2B7-B407-4F7D-A345-AA5F642A7B13}"/>
    <hyperlink ref="J196" r:id="rId70" xr:uid="{46EA35AD-ACA6-4531-83EC-0B6CBDB43BCE}"/>
    <hyperlink ref="J585" r:id="rId71" xr:uid="{6568B894-56F4-45FA-9950-D5DEC1DFC625}"/>
    <hyperlink ref="J74" r:id="rId72" xr:uid="{2F06F446-6F5F-4308-BBF2-3F95E7C6B458}"/>
    <hyperlink ref="J75" r:id="rId73" xr:uid="{ABEA68C5-4D7A-4E12-9868-F7AB2CFE8D8E}"/>
    <hyperlink ref="J76" r:id="rId74" xr:uid="{68213F08-2AAF-4F2B-B495-84FB32F31C32}"/>
    <hyperlink ref="J77" r:id="rId75" xr:uid="{11B6283B-47C5-4E70-8817-013E4923F54C}"/>
    <hyperlink ref="J88" r:id="rId76" xr:uid="{C3F67BCF-B734-4F3C-B2DF-D82FD3EF9513}"/>
    <hyperlink ref="J443" r:id="rId77" xr:uid="{1034E995-58A2-4D82-B62A-E0C51F5948B6}"/>
    <hyperlink ref="J573" r:id="rId78" xr:uid="{A0ACDE8F-F49A-457D-AC34-B15091C01F1C}"/>
    <hyperlink ref="J593" r:id="rId79" xr:uid="{904A92BB-DCC0-46F6-B731-70A629F8D935}"/>
    <hyperlink ref="J140" r:id="rId80" xr:uid="{3448CEAF-A106-4E99-B344-311779E81BBF}"/>
    <hyperlink ref="J135" r:id="rId81" xr:uid="{AA8D45B3-FA99-4905-9AA1-A1860E41E526}"/>
    <hyperlink ref="J131" r:id="rId82" xr:uid="{46C26D8E-CCAE-4CE2-9B82-95E7398C19E9}"/>
    <hyperlink ref="J141" r:id="rId83" xr:uid="{0C6C0456-8C23-4254-8A75-680A75789A12}"/>
    <hyperlink ref="J139" r:id="rId84" xr:uid="{F9E79EEF-B993-45A1-97D1-A8E9BB0B41A3}"/>
    <hyperlink ref="J584" r:id="rId85" xr:uid="{D7C9158E-1891-4EC1-9A75-FA8F456D5A18}"/>
    <hyperlink ref="J299" r:id="rId86" xr:uid="{55A7554A-1E2D-42B5-AFBA-A734BBE7DEA1}"/>
    <hyperlink ref="J247" r:id="rId87" xr:uid="{FD614371-737A-426A-A557-C856E1D75FC4}"/>
    <hyperlink ref="J277" r:id="rId88" xr:uid="{A0B28D5D-A5F1-46BD-9EB4-CC5225C31F61}"/>
    <hyperlink ref="J271" r:id="rId89" xr:uid="{AC5E4C56-0B41-4E0D-A9F0-0BB74EC6061E}"/>
    <hyperlink ref="J214" r:id="rId90" xr:uid="{BED2C636-396E-4080-B332-111518C77331}"/>
    <hyperlink ref="J257" r:id="rId91" xr:uid="{4333975B-04E3-4ADE-8D9D-DAA788C77755}"/>
    <hyperlink ref="J254" r:id="rId92" xr:uid="{6AF34E7C-E2EA-48FF-9984-03909764C374}"/>
    <hyperlink ref="J482" r:id="rId93" xr:uid="{B87FD533-1673-4A16-BC80-57086472444D}"/>
    <hyperlink ref="J601" r:id="rId94" xr:uid="{7B0F0106-AB53-4996-A4E5-2B0476A72D0E}"/>
    <hyperlink ref="J324" r:id="rId95" xr:uid="{B077A636-B4BC-4B08-91F8-AD44FA7E43F0}"/>
    <hyperlink ref="J322" r:id="rId96" xr:uid="{3190A63D-E9B9-40BD-9173-4C28BCCF3196}"/>
    <hyperlink ref="J321" r:id="rId97" xr:uid="{EA996B01-3B6C-442F-B685-07372EA5BCEF}"/>
    <hyperlink ref="J318" r:id="rId98" xr:uid="{6392B0AC-7BA4-4C3D-A50E-B6042F90192D}"/>
    <hyperlink ref="J319" r:id="rId99" xr:uid="{36A4AA77-EA06-4F29-B143-1CF44E7B0DCF}"/>
    <hyperlink ref="J317" r:id="rId100" xr:uid="{25A8CA73-3284-4E18-AB71-86A3986BD448}"/>
    <hyperlink ref="J316" r:id="rId101" xr:uid="{1EE4A241-1EA2-408A-BE4D-36E6CA0961DD}"/>
    <hyperlink ref="J323" r:id="rId102" xr:uid="{11ABB1E2-6C47-4AFF-B7F7-8089BAC97E0F}"/>
    <hyperlink ref="J201" r:id="rId103" xr:uid="{85EF4C6D-EDE4-4ECB-A8E4-EC127AB744E6}"/>
    <hyperlink ref="J345" r:id="rId104" xr:uid="{AA0CBC23-B04E-4E25-B2FE-0A8A8E5F61AE}"/>
    <hyperlink ref="J366" r:id="rId105" xr:uid="{AF543E34-82B0-4156-9178-71096966757D}"/>
    <hyperlink ref="J432" r:id="rId106" xr:uid="{25D3A7B9-5FB7-4F71-BED9-4A8C85FA460D}"/>
    <hyperlink ref="J73" r:id="rId107" xr:uid="{356F1733-2BAA-46BB-8FDA-5AD6DF8489FF}"/>
    <hyperlink ref="J556" r:id="rId108" xr:uid="{C5DE4E94-B05E-4D74-9780-29CABBA9F9F3}"/>
    <hyperlink ref="J533" r:id="rId109" xr:uid="{3C8FEBB7-002A-436F-A513-227845ACD516}"/>
    <hyperlink ref="J595" r:id="rId110" xr:uid="{CD3388E7-E5E0-4000-999E-6937A66B846A}"/>
    <hyperlink ref="J527" r:id="rId111" xr:uid="{E033D176-02DA-4007-BE30-D035EAC13EBB}"/>
    <hyperlink ref="J582" r:id="rId112" xr:uid="{68F34556-53B0-44F4-9BFF-1506C3DFFDCD}"/>
    <hyperlink ref="J116" r:id="rId113" xr:uid="{576C47B6-0E44-494A-99F3-64F30ED23778}"/>
    <hyperlink ref="J416" r:id="rId114" xr:uid="{526278AA-A874-4657-80D0-2111F71AC2D5}"/>
    <hyperlink ref="J198" r:id="rId115" xr:uid="{DF655E25-2B2F-40EF-A2B7-FF1E12C5BC60}"/>
    <hyperlink ref="J602" r:id="rId116" xr:uid="{592AE357-4BEE-4182-9800-DE86414DC755}"/>
    <hyperlink ref="J390" r:id="rId117" xr:uid="{3116B107-ECA6-4B5C-8148-A16921EF8361}"/>
    <hyperlink ref="J256" r:id="rId118" xr:uid="{DA1F7297-FB37-4F3B-94C3-71D562300CC0}"/>
    <hyperlink ref="J414" r:id="rId119" xr:uid="{B2193110-FA07-404C-A925-7772093B0938}"/>
    <hyperlink ref="J425" r:id="rId120" xr:uid="{1ACA07F9-57AA-4C49-920B-C96F242146B0}"/>
    <hyperlink ref="J518" r:id="rId121" xr:uid="{4C6A8594-5937-4556-BFFC-0A6BBE8203F5}"/>
    <hyperlink ref="J405" r:id="rId122" xr:uid="{D2B64410-E9B8-48D3-9B9B-49FC46E2C7D0}"/>
    <hyperlink ref="J106" r:id="rId123" xr:uid="{186D1918-82B2-42E0-8AAB-55918D67EC3A}"/>
    <hyperlink ref="J105" r:id="rId124" xr:uid="{6BAA2069-5DC7-4329-9B58-E30D66DB9457}"/>
    <hyperlink ref="J93" r:id="rId125" xr:uid="{D52F3E86-4FB4-4A6A-BFF0-DB8D610061D4}"/>
    <hyperlink ref="J397" r:id="rId126" xr:uid="{8F8F1823-2561-49F1-8863-30097C5E400E}"/>
    <hyperlink ref="J404" r:id="rId127" xr:uid="{4D4654E8-2D9F-4EA1-811C-A97208B40C4E}"/>
    <hyperlink ref="J332" r:id="rId128" xr:uid="{EE6E7F74-3887-4244-A604-07EFE8B20BE2}"/>
    <hyperlink ref="J282" r:id="rId129" xr:uid="{2062F133-0EDF-415C-8AED-1926F6373D6A}"/>
    <hyperlink ref="J283" r:id="rId130" xr:uid="{E31F0EBC-913D-420A-9B43-436259D085A6}"/>
    <hyperlink ref="J278" r:id="rId131" xr:uid="{2970979B-258A-4393-9EA5-D8EE759739B6}"/>
    <hyperlink ref="J279" r:id="rId132" xr:uid="{82DFEF24-5A5F-49A8-BD3D-C7CD171CE0D6}"/>
    <hyperlink ref="J583" r:id="rId133" xr:uid="{A7080D13-61D9-4053-9869-D9F20E6ECC0D}"/>
    <hyperlink ref="J590" r:id="rId134" xr:uid="{265C6A7C-6FC9-4C35-85E6-A42C4C02D8E8}"/>
    <hyperlink ref="J591" r:id="rId135" xr:uid="{17911108-DCBB-43F0-8C35-EEF159A327B1}"/>
    <hyperlink ref="J586" r:id="rId136" xr:uid="{7CC72754-CA87-4ED8-A846-2F9C790A9C7C}"/>
    <hyperlink ref="J499" r:id="rId137" xr:uid="{7AB60144-1242-4319-9D73-C9F7E04CEE16}"/>
    <hyperlink ref="J291" r:id="rId138" xr:uid="{5EDD5FE0-CDBF-4BFA-AC75-CBAAD3567572}"/>
    <hyperlink ref="J112" r:id="rId139" xr:uid="{FD6C83D6-5084-4C2E-9A4E-D501061D1CA5}"/>
    <hyperlink ref="J525" r:id="rId140" xr:uid="{20B35B31-CFFE-471B-B7D5-2F6090DE9F21}"/>
    <hyperlink ref="J341" r:id="rId141" xr:uid="{622C8C71-1F7F-41B4-92B8-0321B50D6B61}"/>
    <hyperlink ref="J409" r:id="rId142" xr:uid="{C921F071-6F86-476B-AD1E-4E981EACEF0E}"/>
    <hyperlink ref="J148" r:id="rId143" xr:uid="{E2AE3159-55FA-4DE2-A4DA-FA348DE84489}"/>
    <hyperlink ref="J589" r:id="rId144" xr:uid="{F976C0BC-2B3C-4303-8803-E9978C238D90}"/>
    <hyperlink ref="J600" r:id="rId145" xr:uid="{151BBC32-F98B-4C53-B40E-6F8E4389D98B}"/>
    <hyperlink ref="J531" r:id="rId146" xr:uid="{1A12C064-20C6-4A60-8D78-11A1B2D21806}"/>
    <hyperlink ref="J151" r:id="rId147" xr:uid="{9EA7F0B7-C013-433A-9AB5-E936235407E2}"/>
    <hyperlink ref="J152" r:id="rId148" xr:uid="{5BFEAA78-BC04-4B48-BDBE-5F5CC57DFFE3}"/>
    <hyperlink ref="J269" r:id="rId149" xr:uid="{692007E9-47B6-4B6F-976B-F1553A987B6B}"/>
    <hyperlink ref="J194" r:id="rId150" xr:uid="{80D8ABF1-9BCF-4E6C-A002-E60BCF9151B2}"/>
    <hyperlink ref="J532" r:id="rId151" xr:uid="{E524272F-8AD9-471F-8F38-71C0B61C91A5}"/>
    <hyperlink ref="J156" r:id="rId152" xr:uid="{9B006F6C-733A-4E28-AB54-79157246D7F7}"/>
    <hyperlink ref="J110" r:id="rId153" xr:uid="{D87EAAAD-2E57-4B74-8EEB-3BDFC34A1073}"/>
    <hyperlink ref="J158" r:id="rId154" xr:uid="{171B8AB3-1141-49BA-84CB-6BCCB1EB6DB1}"/>
    <hyperlink ref="J109" r:id="rId155" xr:uid="{889E1DAF-4D25-4345-8226-F4FE561BD752}"/>
    <hyperlink ref="J111" r:id="rId156" xr:uid="{B6A65345-C418-4179-80F0-98E5BA704908}"/>
    <hyperlink ref="J125" r:id="rId157" xr:uid="{ED295153-C225-40C2-A790-EA79287283C9}"/>
    <hyperlink ref="J225" r:id="rId158" xr:uid="{48C59A96-A06D-42F0-8997-D61E3F80F106}"/>
    <hyperlink ref="J226" r:id="rId159" xr:uid="{0187BBD8-6D68-4A4F-95BF-703A4DE56939}"/>
    <hyperlink ref="J138" r:id="rId160" xr:uid="{BF27A384-A9A3-46B4-95F8-5988656556BC}"/>
    <hyperlink ref="J458" r:id="rId161" xr:uid="{892ED13C-A163-45D0-9FCE-7CB05306AB68}"/>
    <hyperlink ref="J489" r:id="rId162" xr:uid="{495C195E-63C9-4D41-92AE-AC1BC57D9BB5}"/>
    <hyperlink ref="J137" r:id="rId163" xr:uid="{2F845343-2114-402E-8237-A87601CB8C70}"/>
    <hyperlink ref="J457" r:id="rId164" xr:uid="{3CB18996-1775-4590-9B6A-75A36F288F7D}"/>
    <hyperlink ref="J488" r:id="rId165" xr:uid="{982B0EA1-C487-4543-BA63-FF8CE673A971}"/>
    <hyperlink ref="J124" r:id="rId166" xr:uid="{8311FF36-4C49-4310-8E65-B3A43A65C40F}"/>
    <hyperlink ref="J123" r:id="rId167" xr:uid="{E97B4BD8-6171-40A9-8C2E-88DA397D02F0}"/>
    <hyperlink ref="J173" r:id="rId168" xr:uid="{56984D25-0174-418C-9782-20CA9896B019}"/>
    <hyperlink ref="J136" r:id="rId169" xr:uid="{432D8610-8BF5-4F64-A707-2F574B6E9AE1}"/>
    <hyperlink ref="J456" r:id="rId170" xr:uid="{D4A3090A-B87E-4E0D-98DF-106015BF13AB}"/>
    <hyperlink ref="J487" r:id="rId171" xr:uid="{9CE481CD-15E0-43E3-9EC9-C963F45E7EBE}"/>
    <hyperlink ref="J207" r:id="rId172" xr:uid="{89D656F0-D0CB-4792-BCBD-7DA27F2B3BBD}"/>
    <hyperlink ref="J208" r:id="rId173" xr:uid="{529158A9-CB62-450E-A8CE-FA25DEE0CE57}"/>
    <hyperlink ref="J328" r:id="rId174" xr:uid="{F0176377-8DC9-4499-984B-7A131AFFE1D9}"/>
    <hyperlink ref="J330" r:id="rId175" xr:uid="{194824C1-856C-401B-B230-24B3907DC0E2}"/>
    <hyperlink ref="J117" r:id="rId176" xr:uid="{670FF496-58D8-4FC0-B8E6-4427F36615BF}"/>
    <hyperlink ref="J203" r:id="rId177" xr:uid="{A8D87892-3E05-43BA-97E6-2085AF7D3C20}"/>
    <hyperlink ref="J298" r:id="rId178" xr:uid="{B68235FA-FCF9-4109-A352-AA8749FB41DC}"/>
    <hyperlink ref="J517" r:id="rId179" xr:uid="{C69BF805-0890-4CA9-B19B-FAA24FF7C466}"/>
    <hyperlink ref="J515" r:id="rId180" xr:uid="{CD2C9F26-089A-4043-82AF-7599E7F4810D}"/>
    <hyperlink ref="J418" r:id="rId181" xr:uid="{80DD5ED2-7914-4483-A0B1-83B1465DEB9D}"/>
    <hyperlink ref="J503" r:id="rId182" xr:uid="{7BC466FA-5057-43C4-9EE1-157104A8441A}"/>
    <hyperlink ref="J435" r:id="rId183" xr:uid="{26767EA2-DA78-4AB8-A74F-33B1760DEA9E}"/>
    <hyperlink ref="J121" r:id="rId184" xr:uid="{E9F67298-B19D-4A07-94D0-EA560668D54B}"/>
    <hyperlink ref="J115" r:id="rId185" xr:uid="{0260F862-0D1B-46CB-AD9D-F5B3045F3787}"/>
    <hyperlink ref="J120" r:id="rId186" xr:uid="{056726E4-A405-42DA-A952-0E5D066698A3}"/>
    <hyperlink ref="J199" r:id="rId187" xr:uid="{897FD7EB-D991-4EC9-8243-4E847509649E}"/>
    <hyperlink ref="J250" r:id="rId188" xr:uid="{DD34A778-6F2C-436F-8D84-49356942CF26}"/>
    <hyperlink ref="J534" r:id="rId189" xr:uid="{C73B9E10-423E-4AC1-B053-8692BAEC30F1}"/>
    <hyperlink ref="J234" r:id="rId190" xr:uid="{5288590E-C78E-4451-BB67-DAEA89A77CB8}"/>
    <hyperlink ref="J210" r:id="rId191" xr:uid="{6EBD4DAC-53BD-4F9B-B4D8-ACC7B6681374}"/>
    <hyperlink ref="J104" r:id="rId192" xr:uid="{F9C12803-0E8F-4868-83D4-A7919ABAEA95}"/>
    <hyperlink ref="J5" r:id="rId193" xr:uid="{94314134-9926-4178-80E8-433CBD4EAB96}"/>
    <hyperlink ref="J433" r:id="rId194" xr:uid="{EDFEBA04-CF61-47C7-8EAC-8024881A0E93}"/>
    <hyperlink ref="J301" r:id="rId195" xr:uid="{EBAF54EA-DA5B-4F7E-9D85-16A4F3A75FD7}"/>
    <hyperlink ref="J302" r:id="rId196" xr:uid="{D2933398-C9EB-4FC3-8D26-7388594EFFB1}"/>
    <hyperlink ref="J67" r:id="rId197" xr:uid="{6207E94B-D876-4FA9-805D-E9C85DF6F0FE}"/>
    <hyperlink ref="J348" r:id="rId198" xr:uid="{8E8FB351-150E-4452-9EE6-142CC5F2A86A}"/>
    <hyperlink ref="J419" r:id="rId199" xr:uid="{09EDF745-3BC0-44A1-A373-5486E233DEAC}"/>
    <hyperlink ref="J420" r:id="rId200" xr:uid="{96187F8E-575B-4710-833F-A669FF80256E}"/>
    <hyperlink ref="J243" r:id="rId201" xr:uid="{DFE1F0A8-32CF-4051-BAF1-C2882FEE3F95}"/>
    <hyperlink ref="J178" r:id="rId202" xr:uid="{9AD6F346-E3E9-47EA-B1C7-F9CB53C17E4A}"/>
    <hyperlink ref="J597" r:id="rId203" xr:uid="{45900459-2FB0-4D07-B06E-6BAAD856D082}"/>
    <hyperlink ref="J119" r:id="rId204" xr:uid="{AF1E309F-705E-4EBB-B0D6-DA00077B077D}"/>
    <hyperlink ref="J498" r:id="rId205" xr:uid="{411E1432-70DB-48CA-AB37-FAB971ED8285}"/>
    <hyperlink ref="J484" r:id="rId206" xr:uid="{0E1AC9DD-B431-484E-B84F-949CAF590E90}"/>
    <hyperlink ref="J290" r:id="rId207" xr:uid="{53BCA7F7-99CB-4BE6-9885-D4CFE8B462BD}"/>
    <hyperlink ref="J392" r:id="rId208" xr:uid="{5824E6C9-754F-485F-800E-AE57772604BC}"/>
    <hyperlink ref="J174" r:id="rId209" xr:uid="{63469F0B-C49B-4C45-A613-F1EDC5ADF5D0}"/>
    <hyperlink ref="J219" r:id="rId210" xr:uid="{8ABFF204-1A86-4CEA-8CA4-E00881203D5C}"/>
    <hyperlink ref="J218" r:id="rId211" xr:uid="{C5053D42-4D08-4F8A-A564-8DACF2098760}"/>
    <hyperlink ref="J192" r:id="rId212" xr:uid="{412ADA65-07A8-4F54-BBF1-10AA1C06CABF}"/>
    <hyperlink ref="J541" r:id="rId213" xr:uid="{89A8AEF0-9D85-4754-9C42-2AAB1D2D8038}"/>
    <hyperlink ref="J544" r:id="rId214" xr:uid="{9731F18C-52E5-444D-8868-A7C015368E64}"/>
    <hyperlink ref="J221" r:id="rId215" xr:uid="{491571D8-9C5F-46F5-BAF8-78D7FF4FBF24}"/>
    <hyperlink ref="J223" r:id="rId216" xr:uid="{A21310F0-C4BC-4B66-B53A-4034B458A12C}"/>
    <hyperlink ref="J222" r:id="rId217" xr:uid="{3AF65F0A-B69C-4EB4-BCB3-E22303FA4FB2}"/>
    <hyperlink ref="J80" r:id="rId218" xr:uid="{DCBE6B2B-5C2E-4D74-BD02-ECFD82DDAB43}"/>
    <hyperlink ref="J52" r:id="rId219" xr:uid="{5C6041FB-A54B-451F-B26A-3F81F38198F7}"/>
    <hyperlink ref="J395" r:id="rId220" xr:uid="{90953F41-AAB3-4ECF-A2F0-9DCC742BFF11}"/>
    <hyperlink ref="J535" r:id="rId221" xr:uid="{25BED6E4-B395-4AF5-B0AA-DCB593F304CD}"/>
    <hyperlink ref="J537" r:id="rId222" xr:uid="{7CCA5D51-8166-4AAF-86C2-B4A3E4A23365}"/>
    <hyperlink ref="J539" r:id="rId223" xr:uid="{CDBFEFB8-5FC8-4471-8B45-C93F9090520E}"/>
    <hyperlink ref="J478" r:id="rId224" xr:uid="{3ED80DB8-155E-480F-8EF4-B96B0260ECDC}"/>
    <hyperlink ref="J553" r:id="rId225" xr:uid="{D853C752-AE00-44B8-8327-248618D69E15}"/>
    <hyperlink ref="J538" r:id="rId226" xr:uid="{CF3ACDA2-E473-4EB6-A7E0-A0DA77E4D1C5}"/>
    <hyperlink ref="J86" r:id="rId227" xr:uid="{DA84B4DB-5782-4E94-86DA-AB27D5C5F6A3}"/>
    <hyperlink ref="J424" r:id="rId228" xr:uid="{56E53C4B-B95F-46D4-847E-093AA4FACE80}"/>
    <hyperlink ref="J255" r:id="rId229" xr:uid="{B379CFE5-BDFA-4FE6-A31C-17109EDBF01E}"/>
    <hyperlink ref="J264" r:id="rId230" xr:uid="{AEE69671-9B1B-4D51-8D17-2B4E7BE2CE7E}"/>
    <hyperlink ref="J516" r:id="rId231" xr:uid="{ADF48BF5-7A54-41E0-8517-2F81F1761DA2}"/>
    <hyperlink ref="J114" r:id="rId232" xr:uid="{995A93DD-189D-4EAE-97DC-7E6747935013}"/>
    <hyperlink ref="J331" r:id="rId233" xr:uid="{68F94487-4A71-435A-B959-A7823CEC9719}"/>
    <hyperlink ref="J237" r:id="rId234" xr:uid="{FF9D0160-738E-4FBA-8F09-EEA50616B051}"/>
    <hyperlink ref="J238" r:id="rId235" xr:uid="{111A5E24-8B7B-462A-B893-CD3BED7FC4E3}"/>
    <hyperlink ref="J524" r:id="rId236" xr:uid="{0BC56D0F-C2B2-4994-B989-C8C7606FD332}"/>
    <hyperlink ref="J281" r:id="rId237" xr:uid="{4D338CB3-FA9C-410A-86BA-2CAB5459AFD5}"/>
    <hyperlink ref="J438" r:id="rId238" xr:uid="{56A1CD17-4167-4E6E-88A7-050880C8F463}"/>
    <hyperlink ref="J242" r:id="rId239" xr:uid="{536F6D65-C864-42B9-81AF-48A857426FE5}"/>
    <hyperlink ref="J540" r:id="rId240" xr:uid="{CD39B61B-6445-4B62-8800-228717854582}"/>
    <hyperlink ref="J563" r:id="rId241" xr:uid="{B196D2DD-8374-4839-96FD-F2FEEDBF6409}"/>
    <hyperlink ref="J82" r:id="rId242" xr:uid="{8296828E-4493-4519-BFAA-C498516AC5E7}"/>
    <hyperlink ref="J346" r:id="rId243" xr:uid="{115E5847-1B99-44DF-8D62-35993DBF13A9}"/>
    <hyperlink ref="J479" r:id="rId244" xr:uid="{7075D3AE-0A43-4EA1-AFA2-40F75B233190}"/>
    <hyperlink ref="J87" r:id="rId245" xr:uid="{34F60EC0-547A-40C7-BB69-96A2020F33C9}"/>
    <hyperlink ref="J90" r:id="rId246" xr:uid="{91C2F765-C904-4B66-B9B1-9BD3F52A6A3A}"/>
    <hyperlink ref="J473" r:id="rId247" xr:uid="{042868C5-E61A-4B3D-847C-93D221549114}"/>
    <hyperlink ref="J179" r:id="rId248" xr:uid="{4340452D-57CC-437F-906E-DF0F1CB163BB}"/>
    <hyperlink ref="J399" r:id="rId249" xr:uid="{69EA72F1-95A0-4FB1-9D8C-8B074518A54A}"/>
    <hyperlink ref="J579" r:id="rId250" xr:uid="{A812959E-A490-4D6C-9500-C5DD88D0370E}"/>
    <hyperlink ref="J422" r:id="rId251" xr:uid="{C874AC84-8B4A-4428-8537-ADED46D3A08B}"/>
    <hyperlink ref="J466" r:id="rId252" xr:uid="{29C0B3BE-0CB5-4D42-A475-3B67D27519B5}"/>
    <hyperlink ref="J467" r:id="rId253" xr:uid="{3CEC6699-A38A-493A-8038-7A342012B563}"/>
    <hyperlink ref="J555" r:id="rId254" xr:uid="{7A8A7729-A7FC-4C18-9602-A17E048BAF67}"/>
    <hyperlink ref="J177" r:id="rId255" xr:uid="{49BFCD43-522D-45B5-BBE0-8377C7F0E939}"/>
    <hyperlink ref="J246" r:id="rId256" xr:uid="{C8780CDD-034E-44A4-A3DC-3231D93B07E0}"/>
    <hyperlink ref="J260" r:id="rId257" xr:uid="{3468649A-CAF4-486A-BF9C-1202571575DF}"/>
    <hyperlink ref="J502" r:id="rId258" xr:uid="{213E34CD-0FF2-4EA2-AE67-11873F5277BF}"/>
    <hyperlink ref="J175" r:id="rId259" xr:uid="{7F053261-751C-4906-BC39-4E7B6005A17A}"/>
    <hyperlink ref="J483" r:id="rId260" xr:uid="{EDEB8E08-5C7B-4BC3-BBDA-D67C3C7B0DFC}"/>
    <hyperlink ref="J272" r:id="rId261" xr:uid="{F785F723-66E5-4F85-88C6-9A699908D77A}"/>
    <hyperlink ref="J377" r:id="rId262" xr:uid="{72FB27EE-F298-4681-AEA7-F33148E2DF97}"/>
    <hyperlink ref="J275" r:id="rId263" xr:uid="{9203056B-D2DB-463A-8266-EB43BC9EB1B5}"/>
    <hyperlink ref="J176" r:id="rId264" xr:uid="{11DE560B-94DE-4950-8D82-B19FB8D1DB40}"/>
    <hyperlink ref="J576" r:id="rId265" xr:uid="{A4ED0AE1-DDEE-406F-85CC-55D0032F5D3E}"/>
    <hyperlink ref="J430" r:id="rId266" xr:uid="{A9E5434D-F942-414A-B3EA-0B984734270A}"/>
    <hyperlink ref="J101" r:id="rId267" xr:uid="{6E3BDA67-AF36-437F-BE46-B13D83A66538}"/>
    <hyperlink ref="J113" r:id="rId268" xr:uid="{72D8CF47-7554-4C37-8F76-03CAB2E57EEC}"/>
    <hyperlink ref="J202" r:id="rId269" xr:uid="{94B62F58-BEAE-40E3-BD39-9A441117E4E1}"/>
    <hyperlink ref="J465" r:id="rId270" xr:uid="{B0C80856-5105-4DE6-80CA-AC3E86E3F988}"/>
    <hyperlink ref="J462" r:id="rId271" xr:uid="{2EDA9D94-6412-4372-AC22-FBA4322F9C93}"/>
    <hyperlink ref="J471" r:id="rId272" xr:uid="{999CA9D6-FF08-4103-833B-B2C46D01C21C}"/>
    <hyperlink ref="J369" r:id="rId273" xr:uid="{14466411-620E-4253-B530-837555D8FBE7}"/>
    <hyperlink ref="J294" r:id="rId274" xr:uid="{310F861D-41BC-4BBA-8DDB-A9EABCAF678D}"/>
    <hyperlink ref="J248" r:id="rId275" xr:uid="{5FB9F0C2-B006-492C-81FA-0265C0D820F3}"/>
    <hyperlink ref="J548" r:id="rId276" xr:uid="{98118687-4FCB-42B1-A426-FC5BB2FC72F9}"/>
    <hyperlink ref="J261" r:id="rId277" xr:uid="{D8229A35-98F9-4D97-ABA9-39F775ED5E95}"/>
    <hyperlink ref="J421" r:id="rId278" xr:uid="{B3C78008-CCDA-47E3-AB6A-F722ED420DEA}"/>
    <hyperlink ref="J284" r:id="rId279" xr:uid="{BBD050FD-CB6C-4EA3-BF54-F85183680082}"/>
    <hyperlink ref="J285" r:id="rId280" xr:uid="{FED184CE-6FF4-4D0D-8630-0279AC6C8FC9}"/>
    <hyperlink ref="J286" r:id="rId281" xr:uid="{1AC349DF-F666-4A74-8625-1F52B3ECE01C}"/>
    <hyperlink ref="J287" r:id="rId282" xr:uid="{6EEB24BA-C978-44FA-8B7F-5AA5BBD001B8}"/>
    <hyperlink ref="J288" r:id="rId283" xr:uid="{E1EFE392-0190-41C8-B50B-628EB5454FA9}"/>
    <hyperlink ref="J289" r:id="rId284" xr:uid="{62163BF8-A891-4B28-BC1E-635E62281238}"/>
    <hyperlink ref="J232" r:id="rId285" xr:uid="{553E4C0B-982E-44BC-A0E1-7B712D177995}"/>
    <hyperlink ref="J549" r:id="rId286" xr:uid="{4F5ABD8C-D767-41BE-8F53-B42520D613D5}"/>
    <hyperlink ref="J550" r:id="rId287" xr:uid="{A1AB57A0-7D0A-4DF4-B912-21F385CB6BE6}"/>
    <hyperlink ref="J40" r:id="rId288" xr:uid="{5D65674A-5F06-4995-8DD3-A3823E8CB077}"/>
    <hyperlink ref="J293" r:id="rId289" xr:uid="{DB01D32C-E969-4E36-A944-E216BA34800E}"/>
    <hyperlink ref="J295" r:id="rId290" xr:uid="{523BBEFC-51BE-4718-95A4-937A6D6D3E99}"/>
    <hyperlink ref="J296" r:id="rId291" xr:uid="{B048FFF6-17F4-486E-84C0-AE43393EC215}"/>
    <hyperlink ref="J274" r:id="rId292" xr:uid="{FFFF6925-3D0F-4CDD-96DC-337F7228ECE8}"/>
    <hyperlink ref="J91" r:id="rId293" xr:uid="{2F9F53D7-C07B-446B-8821-801DF412FB2E}"/>
    <hyperlink ref="J387" r:id="rId294" xr:uid="{94EE54CA-E69B-44E8-9ED9-C241DF4884FD}"/>
    <hyperlink ref="J206" r:id="rId295" xr:uid="{CA41FE84-4B7D-4147-9BD0-DA4E0262ABED}"/>
    <hyperlink ref="J376" r:id="rId296" xr:uid="{FD2EE13E-FF61-400D-8C89-D304AD7A8D8D}"/>
    <hyperlink ref="J403" r:id="rId297" xr:uid="{8F2595DE-33F1-4B0E-BF02-1DAA5ACDA8CE}"/>
    <hyperlink ref="J349" r:id="rId298" xr:uid="{F8037AC6-9034-4219-8B94-1847815BCC59}"/>
    <hyperlink ref="J197" r:id="rId299" xr:uid="{901B9166-A739-4769-AF53-8FAFFD1E405A}"/>
    <hyperlink ref="J311" r:id="rId300" xr:uid="{E0FD024C-82E3-4353-B9BB-81772DB061FA}"/>
    <hyperlink ref="J450" r:id="rId301" xr:uid="{3FBD285B-4105-4722-96A7-838717259DA2}"/>
    <hyperlink ref="J445" r:id="rId302" xr:uid="{2BEDCA32-5D3B-449A-A374-A8BD1E412D20}"/>
    <hyperlink ref="J444" r:id="rId303" xr:uid="{587CF691-0B17-45E6-AE16-6EF17B59BB5A}"/>
    <hyperlink ref="J276" r:id="rId304" xr:uid="{092D70EF-2DCD-45BE-AE0D-00B55FD14FB8}"/>
    <hyperlink ref="J391" r:id="rId305" xr:uid="{82B27CFB-5AB8-43EB-ADED-EFE06D81C3F5}"/>
    <hyperlink ref="J310" r:id="rId306" xr:uid="{5F21120B-B578-4FB9-8992-13E3F79EA184}"/>
    <hyperlink ref="J304" r:id="rId307" xr:uid="{04D7531D-2070-4403-B9C9-4FE5947C0868}"/>
    <hyperlink ref="J393" r:id="rId308" xr:uid="{6B5B92A0-F79F-4079-BE07-5F27FABF5FD5}"/>
    <hyperlink ref="J446" r:id="rId309" xr:uid="{59B319EF-87F9-4D29-8B65-8E4D99F0CEA2}"/>
    <hyperlink ref="J191" r:id="rId310" xr:uid="{1FC60AFE-2E7E-42F1-ACCD-D265669BBD5F}"/>
    <hyperlink ref="J598" r:id="rId311" xr:uid="{7557EB77-28CB-422B-8EC1-7F6A2FD974FA}"/>
    <hyperlink ref="J447" r:id="rId312" xr:uid="{77556E4A-801E-4C1D-A41D-EE0C3F523746}"/>
    <hyperlink ref="J59" r:id="rId313" xr:uid="{6E9E14BD-CAAB-4935-B253-EC64E90888A4}"/>
    <hyperlink ref="J64" r:id="rId314" xr:uid="{96F66B61-EDB3-42D2-933E-52A96558512A}"/>
    <hyperlink ref="J195" r:id="rId315" xr:uid="{E55FCE0E-57A5-46C5-883D-FD5FF8E566E7}"/>
    <hyperlink ref="J402" r:id="rId316" xr:uid="{E10AC0F9-F14E-4050-846A-DAF8A1179B2E}"/>
    <hyperlink ref="J163" r:id="rId317" xr:uid="{429FA50D-43A5-45F7-8C0C-3553EABCD53E}"/>
    <hyperlink ref="J314" r:id="rId318" xr:uid="{3243BA91-5928-4BB4-A7EC-69C80A5DC73C}"/>
    <hyperlink ref="J312" r:id="rId319" xr:uid="{9A2E3438-7BD0-482E-A386-BF3DF99D3803}"/>
    <hyperlink ref="J313" r:id="rId320" xr:uid="{E119440E-9ADE-4B80-A5D5-EE14F026881C}"/>
    <hyperlink ref="J280" r:id="rId321" xr:uid="{080A83B3-1ED5-4353-B8CE-B27802B522D3}"/>
    <hyperlink ref="J327" r:id="rId322" xr:uid="{60D9256B-0D88-4805-AAD2-B770A1523C43}"/>
    <hyperlink ref="J552" r:id="rId323" xr:uid="{09A2B9BF-78F2-4585-8CBC-91852F2AF5E6}"/>
    <hyperlink ref="J63" r:id="rId324" xr:uid="{CA4D9C94-BBF1-471A-A992-5826CFC4F557}"/>
    <hyperlink ref="J66" r:id="rId325" xr:uid="{02FB72E2-98EF-4154-8B0A-A8A809503F9A}"/>
    <hyperlink ref="J268" r:id="rId326" xr:uid="{EF36D6D1-074F-47F0-B1EC-A195F37F3E6D}"/>
    <hyperlink ref="J258" r:id="rId327" xr:uid="{55412A95-D28A-43C8-85D4-D394611AEFC8}"/>
    <hyperlink ref="J266" r:id="rId328" xr:uid="{B7B386CE-CA23-490A-AC68-78D445C6592B}"/>
    <hyperlink ref="J134" r:id="rId329" xr:uid="{7DBA8E53-C93B-444B-ABA6-059F43739479}"/>
    <hyperlink ref="J480" r:id="rId330" xr:uid="{B4D391FD-7614-4D1D-A9C9-4F03B7931EED}"/>
    <hyperlink ref="J370" r:id="rId331" xr:uid="{2EFF4979-EA11-436A-87EF-9672DBA74D37}"/>
    <hyperlink ref="J205" r:id="rId332" xr:uid="{FAABAE72-0529-43E9-94B1-D46D95803FD0}"/>
    <hyperlink ref="J320" r:id="rId333" xr:uid="{C556668E-F264-4680-9902-729D6FAFD9FC}"/>
    <hyperlink ref="J339" r:id="rId334" xr:uid="{C4279BF9-5525-4BB4-A702-F2070430824E}"/>
    <hyperlink ref="J413" r:id="rId335" xr:uid="{6BBB8B6F-0CF6-4EC5-9F75-3DF1F8F87BB0}"/>
    <hyperlink ref="J337" r:id="rId336" xr:uid="{D8226263-8A3D-4C74-9FCE-7C54DB64DB67}"/>
    <hyperlink ref="J342" r:id="rId337" xr:uid="{D0303F24-9A7C-4E0B-9838-698312C8B6E1}"/>
    <hyperlink ref="J364" r:id="rId338" xr:uid="{3A2A639B-D4A4-48C9-B8C3-D9B4F6051527}"/>
    <hyperlink ref="J326" r:id="rId339" xr:uid="{AA6DAEB3-D786-43A3-BE02-336CF7FCCD9E}"/>
    <hyperlink ref="J365" r:id="rId340" xr:uid="{1ADD4A06-2C05-412F-BDE0-4D490A1AB7CA}"/>
    <hyperlink ref="J212" r:id="rId341" xr:uid="{E37F5EFC-3CF0-493A-92F4-2C7091D2A7E7}"/>
    <hyperlink ref="J437" r:id="rId342" xr:uid="{7059D8E9-E35C-4004-B8A7-1F54DF9A9092}"/>
    <hyperlink ref="J71" r:id="rId343" xr:uid="{4E7AC0E0-7C13-46BD-83A2-C66E9F890B95}"/>
    <hyperlink ref="J561" r:id="rId344" xr:uid="{B804F9BE-A026-4D8A-905A-2D6C9B2827A2}"/>
    <hyperlink ref="J95" r:id="rId345" xr:uid="{18786CF2-E542-4A0F-83BB-32C19E4A60FE}"/>
    <hyperlink ref="J97" r:id="rId346" xr:uid="{2D84B9AC-4DBF-490F-AE23-66A63E0E76D7}"/>
    <hyperlink ref="J476" r:id="rId347" xr:uid="{37B0B72C-7115-4A61-8742-B892FC7E6E83}"/>
    <hyperlink ref="J481" r:id="rId348" xr:uid="{A6E4523F-C439-452C-A4C1-213F2CE018F7}"/>
    <hyperlink ref="J340" r:id="rId349" xr:uid="{F6C6655C-9847-4E43-A2BC-E374336D742D}"/>
    <hyperlink ref="J336" r:id="rId350" xr:uid="{B01A1399-75FC-4E9A-B5E4-9A70C09BE4A4}"/>
    <hyperlink ref="J128" r:id="rId351" xr:uid="{3B7A556B-7C30-49C3-820B-7507668EC776}"/>
    <hyperlink ref="J130" r:id="rId352" xr:uid="{352266E3-3CE0-4D2B-AF2E-F8D7C44E8DC0}"/>
    <hyperlink ref="J545" r:id="rId353" xr:uid="{F694DD64-88DA-405E-8947-BA8EAEC103F6}"/>
    <hyperlink ref="J546" r:id="rId354" xr:uid="{AEC35F76-8FE4-49A0-A112-941A98A45169}"/>
    <hyperlink ref="J160" r:id="rId355" xr:uid="{C3168B47-575F-487E-969B-DCA7194AB4CB}"/>
    <hyperlink ref="J159" r:id="rId356" xr:uid="{CFE79E45-11A1-4EA7-9311-E397C58C16A2}"/>
    <hyperlink ref="J165" r:id="rId357" xr:uid="{E6BD4460-7040-4A1C-B964-E57422FDD1E6}"/>
    <hyperlink ref="J157" r:id="rId358" xr:uid="{F2C913A2-23C4-4AEC-887E-F883EE7E0D3A}"/>
    <hyperlink ref="J220" r:id="rId359" xr:uid="{604636B8-7706-4DF6-9BC5-B05A30E01AEF}"/>
    <hyperlink ref="J55" r:id="rId360" xr:uid="{6B6A2614-F4A9-458A-AABB-2640126F4FD6}"/>
    <hyperlink ref="J581" r:id="rId361" xr:uid="{E0CC1EC9-4221-45DC-B5F5-7FB97B2A0AA1}"/>
    <hyperlink ref="J265" r:id="rId362" xr:uid="{00C60954-5986-4FA4-A124-E5BD151EE985}"/>
    <hyperlink ref="J259" r:id="rId363" xr:uid="{7EB77634-74D6-4AAF-9343-7413E289935F}"/>
    <hyperlink ref="J521" r:id="rId364" xr:uid="{42CA3433-F150-40CA-B03F-62EA2E70EE54}"/>
    <hyperlink ref="J522" r:id="rId365" xr:uid="{55F79974-2038-4296-9215-C77AECB063F4}"/>
    <hyperlink ref="J580" r:id="rId366" xr:uid="{83D95139-18D6-4FDD-8A9B-6418D4DF590C}"/>
    <hyperlink ref="J558" r:id="rId367" xr:uid="{380ECDAC-CA4C-4EA3-BDC6-E1FE4E028E65}"/>
    <hyperlink ref="J559" r:id="rId368" xr:uid="{7F34A5A8-46E7-4906-B7A5-121E24FE8E4B}"/>
    <hyperlink ref="J252" r:id="rId369" xr:uid="{6A6E642B-7000-4424-968E-820C697FED6F}"/>
    <hyperlink ref="J68" r:id="rId370" xr:uid="{EF265834-3B8B-4366-ACDE-FBAA2550E62E}"/>
    <hyperlink ref="J410" r:id="rId371" xr:uid="{466E27B4-68FF-444F-B580-C9F8EC07F65D}"/>
    <hyperlink ref="J455" r:id="rId372" xr:uid="{77DCBC43-C602-4909-A686-712A543C9D17}"/>
    <hyperlink ref="J240" r:id="rId373" xr:uid="{BB8C6960-B990-482F-BF9D-99F670945614}"/>
    <hyperlink ref="J236" r:id="rId374" xr:uid="{E0E36AEC-BDF6-4381-9B7C-23B19B09A79F}"/>
    <hyperlink ref="J565" r:id="rId375" xr:uid="{2EDDC38B-525A-4A77-8520-183C9E289C32}"/>
    <hyperlink ref="J350" r:id="rId376" xr:uid="{60ADF878-E2E8-4639-BA45-0F7B0B179B57}"/>
    <hyperlink ref="J428" r:id="rId377" xr:uid="{E9B9EB8D-17FF-4CCC-9DF3-8FFCDB6871F5}"/>
    <hyperlink ref="J383" r:id="rId378" xr:uid="{94068EC4-8A44-4693-B9DD-C1F646853706}"/>
    <hyperlink ref="J384" r:id="rId379" xr:uid="{354FABCD-69B3-420D-A48C-F6F1E088F242}"/>
    <hyperlink ref="J470" r:id="rId380" xr:uid="{21046368-8FC1-4B24-87A7-DEE2A01F9F58}"/>
    <hyperlink ref="J351" r:id="rId381" xr:uid="{958C805D-0C6A-4523-B0EC-1A6D23A8DDE2}"/>
    <hyperlink ref="J594" r:id="rId382" xr:uid="{CEB41E9E-1EA7-48A1-9578-61699BF88EBE}"/>
    <hyperlink ref="J164" r:id="rId383" xr:uid="{048822CE-90F3-4EC4-AA00-148DC45808B6}"/>
    <hyperlink ref="J230" r:id="rId384" xr:uid="{3F973D12-3270-456F-BF04-134E7639E3B3}"/>
    <hyperlink ref="J388" r:id="rId385" xr:uid="{BEAD95E5-5069-41D5-97FF-62405EAF2A98}"/>
    <hyperlink ref="J155" r:id="rId386" xr:uid="{16FE7211-3B95-4E31-9FB5-50451985D645}"/>
    <hyperlink ref="J244" r:id="rId387" xr:uid="{F78E1992-39A8-4BAF-97EA-B116EF58E614}"/>
    <hyperlink ref="J231" r:id="rId388" xr:uid="{316CB99A-32AE-4ED3-9519-41C281FAA473}"/>
    <hyperlink ref="J11" r:id="rId389" xr:uid="{22488553-7361-47E8-91C4-55DB32C444CE}"/>
    <hyperlink ref="J153" r:id="rId390" xr:uid="{2FBBA30F-8E68-4D38-8005-94F6D84A4AFB}"/>
    <hyperlink ref="J239" r:id="rId391" xr:uid="{117ED96A-C09E-467A-93B3-86C819F45C79}"/>
    <hyperlink ref="J241" r:id="rId392" xr:uid="{33F73591-48AA-44C5-8CEB-2521F0969BFB}"/>
    <hyperlink ref="J303" r:id="rId393" xr:uid="{8A711371-92EB-4023-876F-B290635EBE27}"/>
    <hyperlink ref="J367" r:id="rId394" xr:uid="{B63BB337-2583-4BC2-9696-44012FC1E039}"/>
    <hyperlink ref="J352" r:id="rId395" xr:uid="{68C11C65-D734-41AB-A9BE-A0F52323AC79}"/>
    <hyperlink ref="J209" r:id="rId396" xr:uid="{F1045638-D684-4C66-980F-4793CC8A99C5}"/>
    <hyperlink ref="J354" r:id="rId397" xr:uid="{A9D2AC61-5ECC-4A6B-A7E6-D34DD346F00F}"/>
    <hyperlink ref="J211" r:id="rId398" xr:uid="{308D4AF9-723E-4D9F-BE2B-C9FF515D69C5}"/>
    <hyperlink ref="J530" r:id="rId399" xr:uid="{CA11BBB5-DB99-4B32-9C84-090EFBA8A203}"/>
    <hyperlink ref="J574" r:id="rId400" xr:uid="{28DBB197-E49B-41C7-97AD-14D9E59C8D4D}"/>
    <hyperlink ref="J596" r:id="rId401" xr:uid="{1EF60DCC-43EB-44D3-9827-C6E8AF1A7074}"/>
    <hyperlink ref="J84" r:id="rId402" xr:uid="{711A6816-A7C7-45A5-A501-66BAB33FD6BC}"/>
    <hyperlink ref="J85" r:id="rId403" xr:uid="{A86B8F48-D768-4A3D-8F65-0DF3EA315D58}"/>
    <hyperlink ref="J41" r:id="rId404" xr:uid="{894485F5-C2C7-4D56-88C6-90061AFAC63B}"/>
    <hyperlink ref="J382" r:id="rId405" xr:uid="{56BE6081-EBC3-48D3-9378-24FF9C7F8A4E}"/>
    <hyperlink ref="J460" r:id="rId406" xr:uid="{6370CBCE-7142-419B-903F-35A38B5C0806}"/>
    <hyperlink ref="J568" r:id="rId407" xr:uid="{8B092E5B-4958-4629-9569-8CD1400726AE}"/>
    <hyperlink ref="J233" r:id="rId408" xr:uid="{B8BADFA0-C200-461A-960B-8CF834BB2A86}"/>
    <hyperlink ref="J554" r:id="rId409" xr:uid="{753DC9A7-AD33-4BE3-B2CE-834EF6552EB9}"/>
    <hyperlink ref="J423" r:id="rId410" xr:uid="{E98E92CB-A276-459D-84D2-A9FB6B7342F1}"/>
    <hyperlink ref="J227" r:id="rId411" xr:uid="{69A9A0BB-97B0-4B68-8C2A-19A1FB8E30A2}"/>
    <hyperlink ref="J396" r:id="rId412" xr:uid="{B961C025-FD38-46B4-87C0-41F2667030C3}"/>
    <hyperlink ref="J398" r:id="rId413" xr:uid="{30A3A5FF-9226-4754-B752-D26AD9F4E7CF}"/>
    <hyperlink ref="J79" r:id="rId414" xr:uid="{0704B1DF-8BF0-4034-B9A3-625BCF43C6C4}"/>
    <hyperlink ref="J78" r:id="rId415" xr:uid="{94BF9C21-578B-4402-9C3E-02DA92302BA5}"/>
    <hyperlink ref="J490" r:id="rId416" xr:uid="{6F68B8CC-B1A6-4D3D-A990-DF9707D34471}"/>
    <hyperlink ref="J99" r:id="rId417" xr:uid="{978E9FC7-53DF-47E1-9423-C5499329AE01}"/>
    <hyperlink ref="J245" r:id="rId418" xr:uid="{8F11E35D-FB82-461E-AB6E-049D8CECE36E}"/>
    <hyperlink ref="J126" r:id="rId419" xr:uid="{7E61020C-31D1-4587-86DC-EE8453C960A1}"/>
    <hyperlink ref="J108" r:id="rId420" xr:uid="{5EAB21D2-B0B8-4075-AD5B-03C038C9FAF8}"/>
    <hyperlink ref="J187" r:id="rId421" xr:uid="{7F44FA9F-2F9F-49AE-8F5E-F686E7803CA5}"/>
    <hyperlink ref="J575" r:id="rId422" xr:uid="{0DB7A695-D523-4827-91B8-0B01C3E45B19}"/>
    <hyperlink ref="J474" r:id="rId423" xr:uid="{93F6A701-2494-44BC-8FC1-7E7E8B3E1F2C}"/>
    <hyperlink ref="J587" r:id="rId424" xr:uid="{262A39E5-1893-451F-9F70-438238B64B89}"/>
    <hyperlink ref="J417" r:id="rId425" xr:uid="{157BE6F3-C6D0-45D6-925B-C0574C9025A0}"/>
    <hyperlink ref="J389" r:id="rId426" xr:uid="{EFECBCD3-9D80-453E-8EFD-6F749C3498F7}"/>
    <hyperlink ref="J434" r:id="rId427" xr:uid="{A050A2D2-3E7E-4725-85D1-88EE35C94BC7}"/>
    <hyperlink ref="J411" r:id="rId428" xr:uid="{675327C1-9FA8-4960-9890-097B0F7A0979}"/>
    <hyperlink ref="J161" r:id="rId429" xr:uid="{EBFA679E-BB7E-4FCA-90B9-47FF9E1DED75}"/>
    <hyperlink ref="J371" r:id="rId430" xr:uid="{C8B54406-8B1B-41F4-84D9-828377FB52A3}"/>
    <hyperlink ref="J368" r:id="rId431" xr:uid="{0F1480EE-DEB2-4430-994A-A1B0A6BA998D}"/>
    <hyperlink ref="J143" r:id="rId432" xr:uid="{DE816B6E-3182-452D-80DD-1D16ED1A1C47}"/>
    <hyperlink ref="J564" r:id="rId433" xr:uid="{235A47A5-AF48-48E1-97FB-6FC3137607D6}"/>
    <hyperlink ref="J566" r:id="rId434" xr:uid="{C7F6CE15-0D7E-4FB2-8496-9A475B6B8F83}"/>
    <hyperlink ref="J406" r:id="rId435" xr:uid="{FAA7A658-3F75-4DCC-885B-8C4AE2797757}"/>
    <hyperlink ref="J459" r:id="rId436" xr:uid="{43B6E96D-8929-4A01-95E3-A2E06C0F593A}"/>
    <hyperlink ref="J427" r:id="rId437" xr:uid="{357750FE-4924-4217-A538-942C8D086528}"/>
    <hyperlink ref="J190" r:id="rId438" xr:uid="{20A53DD4-1DC7-4C05-B97A-DF3F373F1AA3}"/>
    <hyperlink ref="J338" r:id="rId439" xr:uid="{261218C0-AE1C-4043-854B-520423EEA9DE}"/>
    <hyperlink ref="J381" r:id="rId440" xr:uid="{A3E25E00-FFE5-41A7-B8DB-C6F7271F9177}"/>
    <hyperlink ref="J380" r:id="rId441" xr:uid="{2F747DA9-C463-4A98-ACBE-C9D378183478}"/>
    <hyperlink ref="J379" r:id="rId442" xr:uid="{2D967F0A-9261-4360-B509-11F752C59DEC}"/>
    <hyperlink ref="J386" r:id="rId443" xr:uid="{6C9CD3A1-92FE-4017-864A-27CA053FB501}"/>
    <hyperlink ref="J408" r:id="rId444" xr:uid="{EF4CBF12-2F7F-4FFC-80DB-9C05BAD908BD}"/>
    <hyperlink ref="J415" r:id="rId445" xr:uid="{47E640EB-DD46-4D10-803C-D821EA4AFC0E}"/>
    <hyperlink ref="J184" r:id="rId446" xr:uid="{7E36A6CE-AA01-408A-8F86-42A504007DE1}"/>
    <hyperlink ref="J235" r:id="rId447" xr:uid="{41914D04-93BE-4773-BE19-B7FA31DD0663}"/>
    <hyperlink ref="J118" r:id="rId448" xr:uid="{61D3E3DF-48B9-418B-8C8E-7CEA65AF1751}"/>
    <hyperlink ref="J469" r:id="rId449" xr:uid="{69D65682-8C47-4CD4-A80F-C540468D42B2}"/>
    <hyperlink ref="J567" r:id="rId450" xr:uid="{F7ACA06F-6745-443F-8429-116A98E62593}"/>
    <hyperlink ref="J329" r:id="rId451" xr:uid="{70468F6F-817E-459C-834A-BD33DE249EC0}"/>
    <hyperlink ref="J144" r:id="rId452" xr:uid="{841656EA-E88D-41C2-917A-326E546AE149}"/>
    <hyperlink ref="J217" r:id="rId453" xr:uid="{C06E72D0-BD1E-477B-B273-474E0A343AE5}"/>
    <hyperlink ref="J92" r:id="rId454" xr:uid="{695D5E93-5D49-45C6-B729-42CBD630FA6F}"/>
    <hyperlink ref="J122" r:id="rId455" xr:uid="{F63D8DB5-A42E-4D8F-A175-FCC5839EB8D4}"/>
    <hyperlink ref="J127" r:id="rId456" xr:uid="{94BB68EA-5855-493F-8D9A-EFAC6953D261}"/>
    <hyperlink ref="J129" r:id="rId457" xr:uid="{B1014001-DDCE-4E60-85E4-8170958ECCAB}"/>
    <hyperlink ref="J477" r:id="rId458" xr:uid="{005C7BCE-9A6C-4374-A15E-6052D424B6F3}"/>
    <hyperlink ref="J96" r:id="rId459" xr:uid="{4EB01B8E-1187-404D-9B61-A98E344A858C}"/>
    <hyperlink ref="J429" r:id="rId460" xr:uid="{FC77D71F-A280-4D24-B624-99C65000B540}"/>
    <hyperlink ref="J401" r:id="rId461" xr:uid="{CA3CF388-5ADD-4925-B053-C3DABF1A13F2}"/>
    <hyperlink ref="J475" r:id="rId462" xr:uid="{1CB639F1-E55C-4A97-9F0F-494BBAA42BB3}"/>
    <hyperlink ref="J60" r:id="rId463" xr:uid="{01C0AFE6-9CF4-45FF-82D7-E584F71FF2C2}"/>
    <hyperlink ref="J297" r:id="rId464" xr:uid="{2FD78A8E-3075-4CE0-9E9F-2901B86C1B13}"/>
    <hyperlink ref="J453" r:id="rId465" xr:uid="{40B32AAC-E27A-4892-BCB0-276E00ADDE46}"/>
    <hyperlink ref="J81" r:id="rId466" xr:uid="{7B8B69EE-73CB-4AEB-B985-2AEB45633673}"/>
    <hyperlink ref="J145" r:id="rId467" xr:uid="{9085E2A4-627B-4C4C-BDE6-BE0F99638194}"/>
    <hyperlink ref="J154" r:id="rId468" xr:uid="{0CA15D38-4CB8-42B0-9836-7A9D4F77CC69}"/>
    <hyperlink ref="J69" r:id="rId469" xr:uid="{FD2F6C6F-EFEE-43F5-B609-BA1868B55E77}"/>
    <hyperlink ref="J529" r:id="rId470" xr:uid="{88F2A6B3-3DFC-4BC2-AEC7-D6D753A62CB0}"/>
    <hyperlink ref="J588" r:id="rId471" xr:uid="{0E744FE7-94A5-4BAD-9028-69227A36304E}"/>
    <hyperlink ref="J560" r:id="rId472" xr:uid="{32C116B5-59B2-4B04-8CA9-8C396504D84A}"/>
    <hyperlink ref="J189" r:id="rId473" xr:uid="{0B1C902D-911E-4A28-98DE-B97F4A86A59F}"/>
    <hyperlink ref="J185" r:id="rId474" xr:uid="{80745F42-0716-407B-9550-016E016BFE7B}"/>
    <hyperlink ref="J551" r:id="rId475" xr:uid="{84D1C5AF-934D-4D3A-A3DE-B75277A73DB8}"/>
    <hyperlink ref="J215" r:id="rId476" xr:uid="{7D05CA3F-7165-4E26-AF0F-35ABB56B2C26}"/>
    <hyperlink ref="J162" r:id="rId477" xr:uid="{C5EBAD12-2616-4C17-B7D9-C103A96D52A6}"/>
    <hyperlink ref="J186" r:id="rId478" xr:uid="{9B82A4AC-03BF-4FB3-956F-7508A5F64244}"/>
    <hyperlink ref="J183" r:id="rId479" xr:uid="{03B3E037-EA4A-4052-B441-07C699B2C471}"/>
    <hyperlink ref="J249" r:id="rId480" xr:uid="{6CCF0A70-FF35-4699-9209-44A58596E8AE}"/>
    <hyperlink ref="J599" r:id="rId481" xr:uid="{5FC3E0B7-C066-4AF2-8647-E2E885352EAC}"/>
    <hyperlink ref="J373" r:id="rId482" xr:uid="{CA2B350A-13F7-4378-9008-22A1905D45A5}"/>
    <hyperlink ref="J335" r:id="rId483" xr:uid="{3B696328-8058-4888-AF2F-B728323DC29C}"/>
    <hyperlink ref="J200" r:id="rId484" xr:uid="{A4E282A4-7E2C-4E95-AACA-12DA1B4E86C7}"/>
    <hyperlink ref="J495" r:id="rId485" xr:uid="{E508982E-7D9F-4B63-A7D3-CFB2ED47C94E}"/>
    <hyperlink ref="J505" r:id="rId486" xr:uid="{ED358D64-9465-4C14-9AC8-A6BE10F3F264}"/>
    <hyperlink ref="J510" r:id="rId487" xr:uid="{E8E927FC-C6FF-4BD8-A4E8-940221B69758}"/>
    <hyperlink ref="J496" r:id="rId488" xr:uid="{9FE407AC-DDDA-4410-9E9C-399E8E22FD05}"/>
    <hyperlink ref="J504" r:id="rId489" xr:uid="{929C30C7-F83E-4BA7-AEB1-A6DD4A9F5EC9}"/>
    <hyperlink ref="J494" r:id="rId490" xr:uid="{6E35EFB6-BEEB-4B16-8B44-BD498661DBC6}"/>
    <hyperlink ref="J497" r:id="rId491" xr:uid="{2CF91CF1-329D-4D03-A8C8-49845F234297}"/>
    <hyperlink ref="J133" r:id="rId492" xr:uid="{7B5198A3-17B0-4C03-82C2-BEFE4516F39F}"/>
    <hyperlink ref="J132" r:id="rId493" xr:uid="{F3F90E7F-B7DB-4DC3-8F6C-A3B6A5680F03}"/>
    <hyperlink ref="J263" r:id="rId494" xr:uid="{1DE8AFE8-1556-41C5-9682-CCC42CF85D30}"/>
    <hyperlink ref="J224" r:id="rId495" xr:uid="{8187F89E-C76D-4975-A342-02D2FF030835}"/>
    <hyperlink ref="J547" r:id="rId496" xr:uid="{F5644227-AD19-48D0-A9B0-A615C80646AB}"/>
    <hyperlink ref="J216" r:id="rId497" xr:uid="{47055E54-93C9-41B4-8D03-D9A60BA1C93C}"/>
    <hyperlink ref="J491" r:id="rId498" xr:uid="{FAE98A96-AF58-4F10-8F6D-AD4CDAB68D36}"/>
    <hyperlink ref="J47" r:id="rId499" xr:uid="{ADA09DA6-5FDF-4DFA-8D2D-CE30BAFFEF62}"/>
    <hyperlink ref="J45" r:id="rId500" xr:uid="{E0DE0E16-610D-4D21-A9C4-07334F2F80D0}"/>
    <hyperlink ref="J394" r:id="rId501" xr:uid="{24423121-382A-40C1-AAEA-64AB72B00561}"/>
    <hyperlink ref="J46" r:id="rId502" xr:uid="{C6105427-8DC6-4242-894E-61018B7F21A7}"/>
    <hyperlink ref="J492" r:id="rId503" xr:uid="{001E6273-DCF8-4359-8A29-25D01900D814}"/>
    <hyperlink ref="J493" r:id="rId504" xr:uid="{0380F2CB-F037-4D94-BAC9-6E55BB81CC73}"/>
    <hyperlink ref="J511" r:id="rId505" xr:uid="{9C72D3DD-EB83-46F5-B538-498AA9D759D5}"/>
    <hyperlink ref="J512" r:id="rId506" xr:uid="{B1AEE3C2-FA5B-4D30-A936-CC9BD16AEBD3}"/>
    <hyperlink ref="J513" r:id="rId507" xr:uid="{21FE5812-C882-4744-9E7B-E2684660A8CD}"/>
    <hyperlink ref="J514" r:id="rId508" xr:uid="{0BE0C3CB-1F85-4732-9747-DCF1CDD06B04}"/>
    <hyperlink ref="J229" r:id="rId509" xr:uid="{4C889C1E-8BA9-47BA-B78A-D48CC99ACFFC}"/>
    <hyperlink ref="J142" r:id="rId510" xr:uid="{73884716-6EFC-49CB-8F96-8842220FAF35}"/>
    <hyperlink ref="J347" r:id="rId511" xr:uid="{D5B0757A-3BC9-4E93-91D5-071E265F2B40}"/>
    <hyperlink ref="J519" r:id="rId512" xr:uid="{04E64CCF-D000-41FD-BE71-6F7399E2FB98}"/>
    <hyperlink ref="J572" r:id="rId513" xr:uid="{2D8FDB80-586B-45FC-9973-923C516D63F1}"/>
    <hyperlink ref="J57" r:id="rId514" xr:uid="{2D1702A5-302A-4FBE-9D10-AAE27C71784A}"/>
    <hyperlink ref="J500" r:id="rId515" xr:uid="{E92EAD83-4913-4BC9-9745-7AD970C87460}"/>
    <hyperlink ref="J273" r:id="rId516" xr:uid="{E9ACABF9-2E65-4C94-838C-57BAC5BCA73D}"/>
    <hyperlink ref="J439" r:id="rId517" xr:uid="{1EB03A65-9F71-4AE1-936C-C945592B00C8}"/>
    <hyperlink ref="J431" r:id="rId518" xr:uid="{594B5C3B-622E-4727-B089-D14F5AC69449}"/>
    <hyperlink ref="K431" r:id="rId519" xr:uid="{3E3A6CB1-E342-4DE5-9AC7-9E5D7F6665BA}"/>
    <hyperlink ref="K41" r:id="rId520" xr:uid="{7DD3D395-50B7-4769-B3F6-EB1094DF00F6}"/>
    <hyperlink ref="K285" r:id="rId521" xr:uid="{2A2D557D-088C-4464-B944-CE02400E444A}"/>
    <hyperlink ref="K40" r:id="rId522" xr:uid="{BA5DD5FB-6D47-4AFF-879D-65D2E383D4DF}"/>
    <hyperlink ref="K5" r:id="rId523" xr:uid="{C03D8739-9B1B-4AE6-9043-38A3EA441CFA}"/>
    <hyperlink ref="K63" r:id="rId524" xr:uid="{6A12CC61-22AD-4D75-A761-C728F71A474F}"/>
    <hyperlink ref="K66" r:id="rId525" xr:uid="{797E398B-8EF0-4214-95F3-6AA3DC6BE0DF}"/>
    <hyperlink ref="K69" r:id="rId526" xr:uid="{F7FC69CD-EF71-4F6C-A350-E75B7A89BB59}"/>
    <hyperlink ref="K59" r:id="rId527" xr:uid="{7F21EDEC-998C-432B-A75B-37315BA729F3}"/>
    <hyperlink ref="K70" r:id="rId528" xr:uid="{760430D5-2552-4C99-9E3A-20497B8B986D}"/>
    <hyperlink ref="K58" r:id="rId529" xr:uid="{1CA6E187-6270-47E5-8B7A-8D688CB46EF9}"/>
    <hyperlink ref="K68" r:id="rId530" xr:uid="{AAE1C368-102E-46E5-80D1-597CD458CA62}"/>
    <hyperlink ref="K73" r:id="rId531" xr:uid="{474C68F2-26EA-4063-80D7-6C6C48D9BAA8}"/>
    <hyperlink ref="K60" r:id="rId532" xr:uid="{0266335D-99D9-42F4-856E-602A0DCD6DAB}"/>
    <hyperlink ref="K67" r:id="rId533" xr:uid="{D73D64DB-27D0-4422-830E-26F2A50108CE}"/>
    <hyperlink ref="K71" r:id="rId534" xr:uid="{F4EAD31A-6961-474F-90FC-4BE830310CE5}"/>
    <hyperlink ref="K57" r:id="rId535" xr:uid="{4051F9A3-7E62-4E9D-8915-A16A72655590}"/>
    <hyperlink ref="K64" r:id="rId536" xr:uid="{D3FAB3DA-72C4-4E6C-AA91-F3634985870F}"/>
    <hyperlink ref="K83" r:id="rId537" xr:uid="{CC405D39-DDD2-477F-A4D9-81C8D2A73B2A}"/>
    <hyperlink ref="K81" r:id="rId538" xr:uid="{01A7CEB1-0D5F-46D4-B4B0-928529E4696D}"/>
    <hyperlink ref="K132" r:id="rId539" xr:uid="{DF604C20-D9D2-4731-B061-BF98957CB0B3}"/>
    <hyperlink ref="K133" r:id="rId540" xr:uid="{5C9AB089-6A5D-47E6-BE90-FF00348FB2E3}"/>
    <hyperlink ref="K142" r:id="rId541" xr:uid="{78C4E78C-6BF9-4B4D-AD7E-8FF5C80794D3}"/>
    <hyperlink ref="K183" r:id="rId542" xr:uid="{C78DCBF2-8218-48A3-AC42-3271EF1F24D4}"/>
    <hyperlink ref="K185" r:id="rId543" xr:uid="{57C06AC8-0402-4D2B-92A4-A1012D027F7D}"/>
    <hyperlink ref="K186" r:id="rId544" xr:uid="{46915D24-2AE9-42B7-9B7B-C8637CEB7571}"/>
    <hyperlink ref="K189" r:id="rId545" xr:uid="{5B12AAF7-102C-4602-BDD9-4C8BEF6ADF44}"/>
    <hyperlink ref="K200" r:id="rId546" xr:uid="{9230AB69-86FB-4965-8B10-0B204F3DF17F}"/>
    <hyperlink ref="K221" r:id="rId547" xr:uid="{4E5051C9-71C6-4311-9806-B84F773B8119}"/>
    <hyperlink ref="K229" r:id="rId548" xr:uid="{304F78FD-C15D-4AF1-A990-94DAC97FEE06}"/>
    <hyperlink ref="K224" r:id="rId549" xr:uid="{52469717-218D-4522-87C6-D8458E8A95A6}"/>
    <hyperlink ref="K216" r:id="rId550" xr:uid="{D7FCABD2-21BA-46DE-8453-9557E4A62FC8}"/>
    <hyperlink ref="K215" r:id="rId551" xr:uid="{6787E25D-FE93-43E5-BEF2-20543656010A}"/>
    <hyperlink ref="K244" r:id="rId552" xr:uid="{BC174EAA-7EA8-469C-B36F-DA998CC550DF}"/>
    <hyperlink ref="K340" r:id="rId553" xr:uid="{1B7D0A88-65B0-4A96-B446-881E19F35C6D}"/>
    <hyperlink ref="K347" r:id="rId554" xr:uid="{746A6420-AD70-4E09-86BF-E1510438B210}"/>
    <hyperlink ref="K330" r:id="rId555" xr:uid="{D48F16B4-6110-4E24-B1DB-B6BF8ED360DA}"/>
    <hyperlink ref="K335" r:id="rId556" xr:uid="{B126766F-C4BF-4604-9F2B-D22110D04A79}"/>
    <hyperlink ref="K354" r:id="rId557" xr:uid="{3A161617-06EC-4700-A577-11DF32BF86C9}"/>
    <hyperlink ref="K434" r:id="rId558" xr:uid="{BE14B20D-E381-4BD0-A18E-008009C24E9D}"/>
    <hyperlink ref="K439" r:id="rId559" xr:uid="{02A201EF-DDF3-4544-9044-CF58404763DD}"/>
    <hyperlink ref="K480" r:id="rId560" xr:uid="{3CE6CDDA-7AE3-4E64-BDC8-DA28E46D061A}"/>
    <hyperlink ref="K500" r:id="rId561" xr:uid="{61B59B24-C88F-4435-8303-2016A88F3D34}"/>
    <hyperlink ref="K519" r:id="rId562" xr:uid="{BACB92D2-B68D-4A74-9405-E2F98BBC822A}"/>
    <hyperlink ref="K547" r:id="rId563" xr:uid="{5B0751C0-4866-447D-A457-87C6C697B373}"/>
    <hyperlink ref="K162" r:id="rId564" xr:uid="{EF8616C9-B135-4FD1-8A64-ABFA07CDD693}"/>
    <hyperlink ref="K572" r:id="rId565" xr:uid="{C1C4B4BF-1D75-44BC-8121-84C09429BCD5}"/>
    <hyperlink ref="K551" r:id="rId566" xr:uid="{C7FB9A98-2A81-4A28-BFDE-F73375DDB688}"/>
    <hyperlink ref="K249" r:id="rId567" xr:uid="{5C35FF04-CA9C-424C-A879-ED21478EF47A}"/>
    <hyperlink ref="K263" r:id="rId568" xr:uid="{FCFD3D38-9700-497D-8810-295768A652F1}"/>
    <hyperlink ref="K273" r:id="rId569" xr:uid="{E78480EC-74A0-4CA5-85F4-6608334ACFFB}"/>
    <hyperlink ref="K440" r:id="rId570" xr:uid="{833A7E24-878D-4D9E-A378-1E2FE5344847}"/>
    <hyperlink ref="J440" r:id="rId571" xr:uid="{474CBB7F-000F-4A8F-9211-F49E217F9BF5}"/>
    <hyperlink ref="J464" r:id="rId572" xr:uid="{FD53180F-A38D-42FD-B131-23CFAA724CB7}"/>
    <hyperlink ref="K464" r:id="rId573" xr:uid="{E674AC1E-1DDF-4E9B-98C8-CD0A38FA8F77}"/>
    <hyperlink ref="K463" r:id="rId574" xr:uid="{FB4F4CC3-F8FB-4111-9F01-334D61AE8F7A}"/>
    <hyperlink ref="K468" r:id="rId575" xr:uid="{7D42375A-EAE5-43C9-9F61-76CB1799E6C5}"/>
    <hyperlink ref="J463" r:id="rId576" xr:uid="{0B4CA345-F5CF-455D-A3E9-98721029C076}"/>
    <hyperlink ref="J468" r:id="rId577" xr:uid="{BA1E661B-95DD-4902-88D4-32B2488DF1DB}"/>
    <hyperlink ref="K599" r:id="rId578" xr:uid="{9FB4A438-64EF-4566-A309-4EF25B665D61}"/>
    <hyperlink ref="K154" r:id="rId579" xr:uid="{B2193C52-033C-485C-BD4B-7F5EF1389016}"/>
    <hyperlink ref="K469" r:id="rId580" xr:uid="{E2390723-1C3D-40F4-BFDE-50CADDE9229A}"/>
    <hyperlink ref="K408" r:id="rId581" xr:uid="{3B58AAD4-6089-4322-B15F-551F377C1E54}"/>
    <hyperlink ref="K161" r:id="rId582" xr:uid="{3881C6EC-2902-4D97-A9A0-D171B0128113}"/>
    <hyperlink ref="K474" r:id="rId583" xr:uid="{CDD6E756-15C8-4226-967F-195AA5E4AC88}"/>
    <hyperlink ref="K230" r:id="rId584" xr:uid="{AC3FE54D-753A-4428-9D2D-140B553E2340}"/>
    <hyperlink ref="K384" r:id="rId585" xr:uid="{4E000B7A-D132-4A86-AA15-28182D843EB6}"/>
    <hyperlink ref="K342" r:id="rId586" xr:uid="{9BE0D049-4E88-4126-ACF6-B857785C13AF}"/>
    <hyperlink ref="K320" r:id="rId587" xr:uid="{135F1935-7B6C-4A9D-933C-713DEDF1BE4C}"/>
    <hyperlink ref="K393" r:id="rId588" xr:uid="{E4617F4E-2B43-4E86-883A-E9FFCA557D2D}"/>
    <hyperlink ref="K147" r:id="rId589" xr:uid="{3DEDD2F4-1485-41D1-BE3B-15DA8EC86D7E}"/>
    <hyperlink ref="K170" r:id="rId590" xr:uid="{D80E2FBB-0BE3-4CD4-9E53-F9FE5DEB156F}"/>
    <hyperlink ref="J147" r:id="rId591" xr:uid="{1D36ECF1-C61D-4B62-ADC1-C8D4B4D91D35}"/>
    <hyperlink ref="J170" r:id="rId592" xr:uid="{A4D0B121-9AD2-4867-9FA2-4E6D3E9FF1DC}"/>
    <hyperlink ref="K146" r:id="rId593" xr:uid="{3D237C49-CEDE-4967-8D13-E055392FD081}"/>
    <hyperlink ref="K169" r:id="rId594" xr:uid="{24C20358-1BAD-4164-B461-1C05AB9B7CB7}"/>
    <hyperlink ref="J146" r:id="rId595" xr:uid="{20BD39D2-A4BF-43B6-8F12-B314EBD06BC7}"/>
    <hyperlink ref="J169" r:id="rId596" xr:uid="{A505C108-013B-4A7C-9FEC-36F74E2DF195}"/>
    <hyperlink ref="K102" r:id="rId597" xr:uid="{E35D0D93-3F4E-478F-9E64-3B2C9D52D61F}"/>
    <hyperlink ref="K375" r:id="rId598" xr:uid="{4B89AE2D-B295-4A24-AD6C-31C114DB4BBA}"/>
    <hyperlink ref="J102" r:id="rId599" xr:uid="{236AEAAB-7F41-46BF-B5EB-DADE4C6BB481}"/>
    <hyperlink ref="J375" r:id="rId600" xr:uid="{D1EEFD4B-09BE-4C2C-96B2-11E73F31302A}"/>
    <hyperlink ref="K388" r:id="rId601" xr:uid="{1F0E4811-01BA-4863-9A5C-ED096BE75C3C}"/>
    <hyperlink ref="K389" r:id="rId602" xr:uid="{46C89E18-8FEB-4BED-8AD9-3C577A2B1057}"/>
    <hyperlink ref="K373" r:id="rId603" xr:uid="{92BBD8A6-6310-4A54-9007-8AB8C9728DD1}"/>
    <hyperlink ref="K239" r:id="rId604" xr:uid="{E12478C4-5604-4C0F-956C-16D690958B18}"/>
    <hyperlink ref="K376" r:id="rId605" xr:uid="{7D2CB24A-2519-4993-B2BB-1DA0CE1D38CC}"/>
    <hyperlink ref="K377" r:id="rId606" xr:uid="{694B88E7-C2A9-410E-B9F9-D8CB189DEC2E}"/>
    <hyperlink ref="K379" r:id="rId607" xr:uid="{B22017A0-0B1D-45FA-96AC-4B2DFDC3C596}"/>
    <hyperlink ref="K378" r:id="rId608" xr:uid="{F2B7BB94-E5CA-4E1E-A879-8E2A411E3D31}"/>
    <hyperlink ref="K381" r:id="rId609" xr:uid="{70EEE841-99BD-4FB5-820C-A391B32877E3}"/>
    <hyperlink ref="K380" r:id="rId610" xr:uid="{FE8D4212-908B-4795-AE74-390D57B717D2}"/>
    <hyperlink ref="K382" r:id="rId611" xr:uid="{F72FA9D8-AD72-44FA-87A2-5CF4631127B5}"/>
    <hyperlink ref="K387" r:id="rId612" xr:uid="{60ADF91D-CB6A-4DE1-A94C-A17D739ADA0D}"/>
    <hyperlink ref="K472" r:id="rId613" xr:uid="{AC591826-4D34-4D4B-8AB7-B5DCD8E0A29F}"/>
    <hyperlink ref="J472" r:id="rId614" xr:uid="{72423BF7-CC31-4575-B2AD-2F2CB26F3157}"/>
    <hyperlink ref="K536" r:id="rId615" xr:uid="{2C2C9EE5-6C93-41DA-AA19-C1240886CD2E}"/>
    <hyperlink ref="J536" r:id="rId616" xr:uid="{5159D66A-1F79-4240-882E-00AD83F24BAE}"/>
    <hyperlink ref="K204" r:id="rId617" xr:uid="{95A30702-BF2D-49E6-BB75-990EFCDF2837}"/>
    <hyperlink ref="J204" r:id="rId618" xr:uid="{8C9F9497-B1AE-44A9-A8AF-0B4BDED33327}"/>
    <hyperlink ref="J315" r:id="rId619" xr:uid="{25770FAC-4D3C-4152-9D1A-53DC379C3715}"/>
    <hyperlink ref="K315" r:id="rId620" xr:uid="{24E68719-285C-4F16-A63E-125CDADF73A4}"/>
    <hyperlink ref="K461" r:id="rId621" xr:uid="{B36C59D3-7000-405C-89AC-7DA428D34832}"/>
    <hyperlink ref="J461" r:id="rId622" xr:uid="{1455748A-690B-4884-8C47-37CDCD0478DC}"/>
    <hyperlink ref="K359" r:id="rId623" xr:uid="{64CBAB5E-2CBC-4423-8C4B-0D31D5A46314}"/>
    <hyperlink ref="J359" r:id="rId624" xr:uid="{ACFC3B6B-8D57-42BE-B3E4-92D8609E2025}"/>
    <hyperlink ref="K188" r:id="rId625" xr:uid="{E060AB5E-2953-4EEC-86DC-667A2008747F}"/>
    <hyperlink ref="K168" r:id="rId626" xr:uid="{7C58E90B-4CEA-4507-989A-B538D66F1889}"/>
    <hyperlink ref="J168" r:id="rId627" xr:uid="{2825BC4E-B877-4B07-B457-19C3E5055179}"/>
    <hyperlink ref="J188" r:id="rId628" xr:uid="{F913691B-DBEB-4036-A022-8F95EC733AEE}"/>
    <hyperlink ref="K167" r:id="rId629" xr:uid="{0E320964-B951-452A-BA34-3EEDD0CAB3D1}"/>
    <hyperlink ref="J167" r:id="rId630" xr:uid="{BDDD949A-F341-4888-821F-132204634ED2}"/>
    <hyperlink ref="J362" r:id="rId631" xr:uid="{92C57AF7-18B7-4CE3-9056-B7B79C2FD49D}"/>
    <hyperlink ref="K228" r:id="rId632" xr:uid="{33CD638B-D76C-48C2-B285-27CC5F0B9B4B}"/>
    <hyperlink ref="K374" r:id="rId633" xr:uid="{9D248197-1F0F-4A66-8F44-943CE4733EC6}"/>
    <hyperlink ref="J228" r:id="rId634" xr:uid="{D7D81DB1-CC0E-418E-AA90-AB22C23FD578}"/>
    <hyperlink ref="K360" r:id="rId635" xr:uid="{21996CC0-1610-4E32-875A-82BD39032555}"/>
    <hyperlink ref="K363" r:id="rId636" xr:uid="{52161FB3-A113-4B69-B4AE-8D5E05044C56}"/>
    <hyperlink ref="J363" r:id="rId637" xr:uid="{93476C83-6D25-4266-87CB-5B27083FB9D1}"/>
    <hyperlink ref="K356" r:id="rId638" xr:uid="{49BD52EB-EC2B-4FC3-B76A-218439549E90}"/>
    <hyperlink ref="J356" r:id="rId639" xr:uid="{AE0CAAF1-1ED6-4A4D-B026-852EE648C26F}"/>
    <hyperlink ref="K355" r:id="rId640" xr:uid="{B4E1CDB3-27F3-4E25-B428-FF0CB200B0A1}"/>
    <hyperlink ref="K353" r:id="rId641" xr:uid="{A1F76D9F-ADB4-4010-83CB-1C14CE8E0049}"/>
    <hyperlink ref="J353" r:id="rId642" xr:uid="{48DF1CBD-A7C6-4992-B363-D07AB8815FCC}"/>
    <hyperlink ref="J355" r:id="rId643" xr:uid="{948230E5-A5FF-4175-9484-7E5A5A442350}"/>
    <hyperlink ref="K362" r:id="rId644" xr:uid="{107768F6-3D99-40DA-94F0-17A4F2491ADB}"/>
    <hyperlink ref="J360" r:id="rId645" xr:uid="{A3C80E40-E55C-4B72-B59A-7ABDDE5AE095}"/>
    <hyperlink ref="J374" r:id="rId646" xr:uid="{693B2846-D23E-45F6-B271-094A29FE36FE}"/>
    <hyperlink ref="K55" r:id="rId647" xr:uid="{6187EE43-CA73-40C0-A67C-21E0435C8C29}"/>
    <hyperlink ref="K56" r:id="rId648" xr:uid="{5E1BA4FB-1638-4F18-9FB8-98C24F900F91}"/>
    <hyperlink ref="J56" r:id="rId649" xr:uid="{2DA0EDAA-70C4-48B9-8267-93A68A126836}"/>
    <hyperlink ref="K528" r:id="rId650" xr:uid="{56A81D5D-75F4-42AB-BD3D-7C41F55414DB}"/>
    <hyperlink ref="J528" r:id="rId651" xr:uid="{7928C0A1-CA5E-4C36-9EEB-BC3FB426D1FE}"/>
    <hyperlink ref="K103" r:id="rId652" xr:uid="{C4404DA0-5FBC-4506-910E-802A8BA08CB5}"/>
    <hyperlink ref="J103" r:id="rId653" xr:uid="{2C42C826-F837-47E1-AFB6-33E5B0960F25}"/>
    <hyperlink ref="K72" r:id="rId654" xr:uid="{035894BA-A5F5-4F58-A3EA-FB6D239231D3}"/>
    <hyperlink ref="K592" r:id="rId655" xr:uid="{846189B8-6AF2-4D61-B23A-ADE7F965E72C}"/>
    <hyperlink ref="K562" r:id="rId656" xr:uid="{5CD0F404-11E4-4A5E-AA7D-0BABC232A510}"/>
    <hyperlink ref="J72" r:id="rId657" xr:uid="{89E5601A-A518-40C6-A021-8283B0B30673}"/>
    <hyperlink ref="J592" r:id="rId658" xr:uid="{D5254B45-D8F0-46C4-9DC8-F7F5B9ABF547}"/>
    <hyperlink ref="J562" r:id="rId659" xr:uid="{BE5BD912-5688-4922-8405-6BF0C472C72F}"/>
    <hyperlink ref="K89" r:id="rId660" xr:uid="{1A0115E5-98CB-45C4-BB4A-A4659B2352FD}"/>
    <hyperlink ref="J89" r:id="rId661" xr:uid="{EED5CAAD-7E08-42B5-A576-4F3F5DE9796F}"/>
    <hyperlink ref="K289" r:id="rId662" xr:uid="{951AD2F8-198E-4BBE-980D-D6DABD71DD29}"/>
    <hyperlink ref="K93" r:id="rId663" xr:uid="{57C491B7-2C56-4E49-A862-28D9BFD1C3DF}"/>
    <hyperlink ref="K129" r:id="rId664" xr:uid="{4230DF8A-6716-4667-8664-B379CA7EAD1B}"/>
    <hyperlink ref="K549" r:id="rId665" xr:uid="{79430496-A801-4917-BA0F-4819BE07E23F}"/>
    <hyperlink ref="K419" r:id="rId666" xr:uid="{8C769DD5-0C37-4913-883D-3E643C3699A6}"/>
    <hyperlink ref="K318" r:id="rId667" xr:uid="{DCD28C45-C07C-4DF9-B820-690F5BB3FBBC}"/>
    <hyperlink ref="K80" r:id="rId668" xr:uid="{A1DBA894-B366-4BC4-B678-084727C872F6}"/>
    <hyperlink ref="K548" r:id="rId669" xr:uid="{64F642D4-F07C-4A37-A4C7-DE1E42BC4858}"/>
    <hyperlink ref="K534" r:id="rId670" xr:uid="{5E97284E-394B-404C-ACDC-6D1346BFA25B}"/>
    <hyperlink ref="K531" r:id="rId671" xr:uid="{1CB233F9-7CDC-4B14-B953-EF05EE932B16}"/>
    <hyperlink ref="K65" r:id="rId672" xr:uid="{51526725-C893-48A6-A8B6-FD2B54C3E334}"/>
    <hyperlink ref="J325" r:id="rId673" xr:uid="{FE860679-D9D2-462D-B6F8-185730A4785C}"/>
    <hyperlink ref="J378" r:id="rId674" xr:uid="{E5BD944A-8613-4B05-A79A-D9D788800860}"/>
    <hyperlink ref="J166" r:id="rId675" xr:uid="{0013D053-C93E-41C1-86E9-C49D85838B00}"/>
  </hyperlinks>
  <pageMargins left="0.7" right="0.7" top="0.75" bottom="0.75" header="0.3" footer="0.3"/>
  <pageSetup paperSize="9" orientation="portrait" r:id="rId6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Samples + YouTube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 Yumi</cp:lastModifiedBy>
  <cp:lastPrinted>2025-04-03T00:30:17Z</cp:lastPrinted>
  <dcterms:created xsi:type="dcterms:W3CDTF">2019-04-22T07:02:27Z</dcterms:created>
  <dcterms:modified xsi:type="dcterms:W3CDTF">2026-01-14T22:49:59Z</dcterms:modified>
</cp:coreProperties>
</file>